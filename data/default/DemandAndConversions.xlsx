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53" i="1" l="1"/>
  <c r="K352" i="1"/>
  <c r="K351" i="1"/>
  <c r="K98" i="1"/>
  <c r="K97" i="1"/>
  <c r="K104" i="1" l="1"/>
  <c r="K102" i="1"/>
  <c r="K200" i="1" l="1"/>
  <c r="K62" i="1"/>
  <c r="K373" i="1"/>
  <c r="K372" i="1"/>
  <c r="K375" i="1" s="1"/>
  <c r="K371" i="1"/>
  <c r="K374" i="1" s="1"/>
  <c r="K370" i="1"/>
  <c r="K390" i="1" l="1"/>
  <c r="K389" i="1"/>
  <c r="K90" i="1" s="1"/>
  <c r="K193" i="1" l="1"/>
  <c r="K192" i="1"/>
  <c r="K191" i="1"/>
  <c r="K190" i="1"/>
  <c r="K189" i="1"/>
  <c r="K188" i="1"/>
  <c r="K187" i="1"/>
  <c r="K186" i="1"/>
  <c r="K185" i="1"/>
  <c r="K232" i="1" l="1"/>
  <c r="K230" i="1"/>
  <c r="K228" i="1"/>
  <c r="K226" i="1"/>
  <c r="K224" i="1"/>
  <c r="K149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31" i="1"/>
  <c r="K329" i="1"/>
  <c r="K42" i="1" l="1"/>
  <c r="K45" i="1"/>
  <c r="K244" i="1"/>
  <c r="K35" i="1"/>
  <c r="K211" i="1" l="1"/>
  <c r="K154" i="1"/>
  <c r="K72" i="1" l="1"/>
  <c r="K301" i="1" l="1"/>
  <c r="K158" i="1" l="1"/>
  <c r="K156" i="1"/>
  <c r="K151" i="1"/>
  <c r="K147" i="1"/>
  <c r="K74" i="1" l="1"/>
  <c r="K73" i="1"/>
  <c r="K379" i="1" l="1"/>
  <c r="K380" i="1" s="1"/>
  <c r="K348" i="1" l="1"/>
  <c r="K347" i="1"/>
  <c r="K346" i="1"/>
  <c r="K122" i="1" l="1"/>
  <c r="K48" i="1"/>
  <c r="K49" i="1"/>
  <c r="K338" i="1" l="1"/>
  <c r="K337" i="1"/>
  <c r="K325" i="1"/>
  <c r="K47" i="1"/>
  <c r="K336" i="1" l="1"/>
  <c r="K335" i="1"/>
  <c r="K334" i="1"/>
  <c r="K333" i="1"/>
  <c r="K332" i="1" l="1"/>
  <c r="K328" i="1"/>
  <c r="K327" i="1"/>
  <c r="K326" i="1" s="1"/>
  <c r="K324" i="1"/>
  <c r="K330" i="1" l="1"/>
  <c r="K343" i="1"/>
  <c r="K342" i="1"/>
  <c r="K341" i="1"/>
  <c r="K3" i="1" l="1"/>
</calcChain>
</file>

<file path=xl/sharedStrings.xml><?xml version="1.0" encoding="utf-8"?>
<sst xmlns="http://schemas.openxmlformats.org/spreadsheetml/2006/main" count="1680" uniqueCount="369">
  <si>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</si>
  <si>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</si>
  <si>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</si>
  <si>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</si>
  <si>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</si>
  <si>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</si>
  <si>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</si>
  <si>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</si>
  <si>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</si>
  <si>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</si>
  <si>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</si>
  <si>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</si>
  <si>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</si>
  <si>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</si>
  <si>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</si>
  <si>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</si>
  <si>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</si>
  <si>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</si>
  <si>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</si>
  <si>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</si>
  <si>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</si>
  <si>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</si>
  <si>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</si>
  <si>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</si>
  <si>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</si>
  <si>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</si>
  <si>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</si>
  <si>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</si>
  <si>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</si>
  <si>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</si>
  <si>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</si>
  <si>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</si>
  <si>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</si>
  <si>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</si>
  <si>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</si>
  <si>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</si>
  <si>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</si>
  <si>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</si>
  <si>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</si>
  <si>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</si>
  <si>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</si>
  <si>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</si>
  <si>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</si>
  <si>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</si>
  <si>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</si>
  <si>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</si>
  <si>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</si>
  <si>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</si>
  <si>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</si>
  <si>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</si>
  <si>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</si>
  <si>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</si>
  <si>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</si>
  <si>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</si>
  <si>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</si>
  <si>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</si>
  <si>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</si>
  <si>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</si>
  <si>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</si>
  <si>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</si>
  <si>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</si>
  <si>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</si>
  <si>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</si>
  <si>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</si>
  <si>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</si>
  <si>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</si>
  <si>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</si>
  <si>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</si>
  <si>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</si>
  <si>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</si>
  <si>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</si>
  <si>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</si>
  <si>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</si>
  <si>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</si>
  <si>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</si>
  <si>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</si>
  <si>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</si>
  <si>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</si>
  <si>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</si>
  <si>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</si>
  <si>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</si>
  <si>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</si>
  <si>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</si>
  <si>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</si>
  <si>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</si>
  <si>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</si>
  <si>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</si>
  <si>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</si>
  <si>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</si>
  <si>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</si>
  <si>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</si>
  <si>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</si>
  <si>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</si>
  <si>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</si>
  <si>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</si>
  <si>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</si>
  <si>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</si>
  <si>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</si>
  <si>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</si>
  <si>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</si>
  <si>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</si>
  <si>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</si>
  <si>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</si>
  <si>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</si>
  <si>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</si>
  <si>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</si>
  <si>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</si>
  <si>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</si>
  <si>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</si>
  <si>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</si>
  <si>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</si>
  <si>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</si>
  <si>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</si>
  <si>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</si>
  <si>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</si>
  <si>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</si>
  <si>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</si>
  <si>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</si>
  <si>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</si>
  <si>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</si>
  <si>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</si>
  <si>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</si>
  <si>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</si>
  <si>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</si>
  <si>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</si>
  <si>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</si>
  <si>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</si>
  <si>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</si>
  <si>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</si>
  <si>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</si>
  <si>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</si>
  <si>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</si>
  <si>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</si>
  <si>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</si>
  <si>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</si>
  <si>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</si>
  <si>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</si>
  <si>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</si>
  <si>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</si>
  <si>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</si>
  <si>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</si>
  <si>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</si>
  <si>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</si>
  <si>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</si>
  <si>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</si>
  <si>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</si>
  <si>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</si>
  <si>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</si>
  <si>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</si>
  <si>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</si>
  <si>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</si>
  <si>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</si>
  <si>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</si>
  <si>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</si>
  <si>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</si>
  <si>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</si>
  <si>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</si>
  <si>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</si>
  <si>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</si>
  <si>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</si>
  <si>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</si>
  <si>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</si>
  <si>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</si>
  <si>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</si>
  <si>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</si>
  <si>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</si>
  <si>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</si>
  <si>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</si>
  <si>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</si>
  <si>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</si>
  <si>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</si>
  <si>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</si>
  <si>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</si>
  <si>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</si>
  <si>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</si>
  <si>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</si>
  <si>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</si>
  <si>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</si>
  <si>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</si>
  <si>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</si>
  <si>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</si>
  <si>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</si>
  <si>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</si>
  <si>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</si>
  <si>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</si>
  <si>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</si>
  <si>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</si>
  <si>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</si>
  <si>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</si>
  <si>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</si>
  <si>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</si>
  <si>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</si>
  <si>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</si>
  <si>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</si>
  <si>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</si>
  <si>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</si>
  <si>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</si>
  <si>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</si>
  <si>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</si>
  <si>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</si>
  <si>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</si>
  <si>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</si>
  <si>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</si>
  <si>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</si>
  <si>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</si>
  <si>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</si>
  <si>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</si>
  <si>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</si>
  <si>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</si>
  <si>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</si>
  <si>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</si>
  <si>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</si>
  <si>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</si>
  <si>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</si>
  <si>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</si>
  <si>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</si>
  <si>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</si>
  <si>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</si>
  <si>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</si>
  <si>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</si>
  <si>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</si>
  <si>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</si>
  <si>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</si>
  <si>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</si>
  <si>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</si>
  <si>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</si>
  <si>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</si>
  <si>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</si>
  <si>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</si>
  <si>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</si>
  <si>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</si>
  <si>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</si>
  <si>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</si>
  <si>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</si>
  <si>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</si>
  <si>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</si>
  <si>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</si>
  <si>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</si>
  <si>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</si>
  <si>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</si>
  <si>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</si>
  <si>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</si>
  <si>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</si>
  <si>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</si>
  <si>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</si>
  <si>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</si>
  <si>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</si>
  <si>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</si>
  <si>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</si>
  <si>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</si>
  <si>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</si>
  <si>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</si>
  <si>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</si>
  <si>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</si>
  <si>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</si>
  <si>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</si>
  <si>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</si>
  <si>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</si>
  <si>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</si>
  <si>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</si>
  <si>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</si>
  <si>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</si>
  <si>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</si>
  <si>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</si>
  <si>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</si>
  <si>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</si>
  <si>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</si>
  <si>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</si>
  <si>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</si>
  <si>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</si>
  <si>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</si>
  <si>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</si>
  <si>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</si>
  <si>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</si>
  <si>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</si>
  <si>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</si>
  <si>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</si>
  <si>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</si>
  <si>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</si>
  <si>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</si>
  <si>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</si>
  <si>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</si>
  <si>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</si>
  <si>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</si>
  <si>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</si>
  <si>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</si>
  <si>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</si>
  <si>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</si>
  <si>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</si>
  <si>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</si>
  <si>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</si>
  <si>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</si>
  <si>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</si>
  <si>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</si>
  <si>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</si>
  <si>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</si>
  <si>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</si>
  <si>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</si>
  <si>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</si>
  <si>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</si>
  <si>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</si>
  <si>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</si>
  <si>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</si>
  <si>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</si>
  <si>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</si>
  <si>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</si>
  <si>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</si>
  <si>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</si>
  <si>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</si>
  <si>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</si>
  <si>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</si>
  <si>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</si>
  <si>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</si>
  <si>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</si>
  <si>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</si>
  <si>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</si>
  <si>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</si>
  <si>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</si>
  <si>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</si>
  <si>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</si>
  <si>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</si>
  <si>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</si>
  <si>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</si>
  <si>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</si>
  <si>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</si>
  <si>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</si>
  <si>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</si>
  <si>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</si>
  <si>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</si>
  <si>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</si>
  <si>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</si>
  <si>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</si>
  <si>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</si>
  <si>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</si>
  <si>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</si>
  <si>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</si>
  <si>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</si>
  <si>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</si>
  <si>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</si>
  <si>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</si>
  <si>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</si>
  <si>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</si>
  <si>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</si>
  <si>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havrekli??</t>
  </si>
  <si>
    <t>oat bran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</si>
  <si>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</si>
  <si>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</si>
  <si>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</si>
  <si>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</si>
  <si>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</si>
  <si>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</si>
  <si>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</si>
  <si>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43.6% 2019. Adjusted to match slaughter statistics</t>
  </si>
  <si>
    <t>23.3% 2019. Adjusted to match slaughter statistics</t>
  </si>
  <si>
    <t>28.4% 2019. Adjusted to match slaughter statistics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</si>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</sst>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11906</xdr:colOff>
      <xdr:row>96</xdr:row>
      <xdr:rowOff>0</xdr:rowOff>
    </xdr:from>
    <xdr:to>
      <xdr:col>10</xdr:col>
      <xdr:colOff>0</xdr:colOff>
      <xdr:row>97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95</xdr:row>
      <xdr:rowOff>188119</xdr:rowOff>
    </xdr:from>
    <xdr:to>
      <xdr:col>9</xdr:col>
      <xdr:colOff>1426369</xdr:colOff>
      <xdr:row>97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97"/>
  <sheetViews>
    <sheetView tabSelected="1" zoomScale="80" zoomScaleNormal="80" zoomScaleSheetLayoutView="80" workbookViewId="0">
      <pane ySplit="1" topLeftCell="A86" activePane="bottomLeft" state="frozen"/>
      <selection pane="bottomLeft" activeCell="A98" sqref="A98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185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329</v>
      </c>
      <c r="N7" t="s">
        <v>328</v>
      </c>
    </row>
    <row r="8" spans="1:14" x14ac:dyDescent="0.25">
      <c r="A8" t="s">
        <v>190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324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326</v>
      </c>
      <c r="N9" t="s">
        <v>327</v>
      </c>
    </row>
    <row r="10" spans="1:14" x14ac:dyDescent="0.25">
      <c r="A10" t="s">
        <v>325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186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330</v>
      </c>
    </row>
    <row r="12" spans="1:14" x14ac:dyDescent="0.25">
      <c r="A12" t="s">
        <v>191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187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330</v>
      </c>
    </row>
    <row r="15" spans="1:14" x14ac:dyDescent="0.25">
      <c r="A15" t="s">
        <v>192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188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330</v>
      </c>
    </row>
    <row r="17" spans="1:14" x14ac:dyDescent="0.25">
      <c r="A17" t="s">
        <v>193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189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331</v>
      </c>
    </row>
    <row r="19" spans="1:14" x14ac:dyDescent="0.25">
      <c r="A19" s="6" t="s">
        <v>194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215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257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140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146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142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143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144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145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255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153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256</v>
      </c>
    </row>
    <row r="36" spans="1:14" x14ac:dyDescent="0.25">
      <c r="A36" s="17"/>
      <c r="K36" s="6"/>
    </row>
    <row r="37" spans="1:14" x14ac:dyDescent="0.25">
      <c r="A37" s="4" t="s">
        <v>259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247</v>
      </c>
      <c r="B38" t="s">
        <v>250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248</v>
      </c>
      <c r="B39" t="s">
        <v>250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249</v>
      </c>
      <c r="B40" t="s">
        <v>250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251</v>
      </c>
      <c r="B41" t="s">
        <v>250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260</v>
      </c>
      <c r="B42" t="s">
        <v>250</v>
      </c>
      <c r="J42" t="s">
        <v>18</v>
      </c>
      <c r="K42" s="29">
        <f>0.8+0.3/0.35+0.3</f>
        <v>1.9571428571428573</v>
      </c>
      <c r="L42" t="s">
        <v>19</v>
      </c>
      <c r="M42" t="s">
        <v>264</v>
      </c>
    </row>
    <row r="43" spans="1:14" x14ac:dyDescent="0.25">
      <c r="A43" s="17" t="s">
        <v>261</v>
      </c>
      <c r="B43" t="s">
        <v>250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267</v>
      </c>
      <c r="B44" t="s">
        <v>250</v>
      </c>
      <c r="C44" s="9"/>
      <c r="J44" t="s">
        <v>18</v>
      </c>
      <c r="K44" s="6">
        <v>0.2</v>
      </c>
      <c r="L44" t="s">
        <v>19</v>
      </c>
      <c r="M44" s="6" t="s">
        <v>270</v>
      </c>
    </row>
    <row r="45" spans="1:14" x14ac:dyDescent="0.25">
      <c r="A45" s="17" t="s">
        <v>262</v>
      </c>
      <c r="B45" t="s">
        <v>250</v>
      </c>
      <c r="J45" t="s">
        <v>18</v>
      </c>
      <c r="K45" s="29">
        <f>0.5</f>
        <v>0.5</v>
      </c>
      <c r="L45" t="s">
        <v>19</v>
      </c>
      <c r="M45" t="s">
        <v>263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358</v>
      </c>
      <c r="B59" t="s">
        <v>55</v>
      </c>
      <c r="J59" t="s">
        <v>18</v>
      </c>
      <c r="K59">
        <v>2.9</v>
      </c>
      <c r="L59" t="s">
        <v>19</v>
      </c>
    </row>
    <row r="60" spans="1:14" x14ac:dyDescent="0.25">
      <c r="A60" t="s">
        <v>273</v>
      </c>
      <c r="B60" t="s">
        <v>55</v>
      </c>
      <c r="J60" t="s">
        <v>18</v>
      </c>
      <c r="K60">
        <v>49.5</v>
      </c>
      <c r="L60" t="s">
        <v>19</v>
      </c>
    </row>
    <row r="61" spans="1:14" x14ac:dyDescent="0.25">
      <c r="A61" s="4" t="s">
        <v>15</v>
      </c>
      <c r="B61" s="4"/>
      <c r="C61" s="4"/>
      <c r="D61" s="4"/>
      <c r="E61" s="4"/>
      <c r="F61" s="4"/>
      <c r="G61" s="4"/>
      <c r="H61" s="4"/>
      <c r="I61" s="4"/>
      <c r="J61" s="5"/>
      <c r="K61" s="5"/>
      <c r="L61" s="5"/>
      <c r="M61" s="5"/>
      <c r="N61" s="5"/>
    </row>
    <row r="62" spans="1:14" x14ac:dyDescent="0.25">
      <c r="A62" t="s">
        <v>15</v>
      </c>
      <c r="B62" t="s">
        <v>332</v>
      </c>
      <c r="J62" t="s">
        <v>18</v>
      </c>
      <c r="K62" s="6">
        <f>29.3+1.6</f>
        <v>30.900000000000002</v>
      </c>
      <c r="L62" t="s">
        <v>19</v>
      </c>
      <c r="M62" s="6" t="s">
        <v>335</v>
      </c>
    </row>
    <row r="63" spans="1:14" x14ac:dyDescent="0.25">
      <c r="A63" s="4" t="s">
        <v>16</v>
      </c>
      <c r="B63" s="4"/>
      <c r="C63" s="4"/>
      <c r="D63" s="4"/>
      <c r="E63" s="4"/>
      <c r="F63" s="4"/>
      <c r="G63" s="4"/>
      <c r="H63" s="4"/>
      <c r="I63" s="4"/>
      <c r="J63" s="5"/>
      <c r="K63" s="5"/>
      <c r="L63" s="5"/>
      <c r="M63" s="5"/>
      <c r="N63" s="5"/>
    </row>
    <row r="64" spans="1:14" x14ac:dyDescent="0.25">
      <c r="A64" s="4" t="s">
        <v>20</v>
      </c>
      <c r="B64" s="4"/>
      <c r="C64" s="4"/>
      <c r="D64" s="4"/>
      <c r="E64" s="4"/>
      <c r="F64" s="4"/>
      <c r="G64" s="4"/>
      <c r="H64" s="4"/>
      <c r="I64" s="4"/>
      <c r="J64" s="5"/>
      <c r="K64" s="5"/>
      <c r="L64" s="5"/>
      <c r="M64" s="5"/>
      <c r="N64" s="5"/>
    </row>
    <row r="65" spans="1:14" x14ac:dyDescent="0.25">
      <c r="A65" t="s">
        <v>208</v>
      </c>
      <c r="B65" t="s">
        <v>213</v>
      </c>
      <c r="J65" t="s">
        <v>18</v>
      </c>
      <c r="K65">
        <v>4.5</v>
      </c>
      <c r="L65" t="s">
        <v>19</v>
      </c>
    </row>
    <row r="66" spans="1:14" x14ac:dyDescent="0.25">
      <c r="A66" s="26" t="s">
        <v>209</v>
      </c>
      <c r="B66" t="s">
        <v>213</v>
      </c>
      <c r="J66" t="s">
        <v>18</v>
      </c>
      <c r="K66" s="6">
        <v>0</v>
      </c>
      <c r="L66" t="s">
        <v>19</v>
      </c>
    </row>
    <row r="67" spans="1:14" x14ac:dyDescent="0.25">
      <c r="A67" s="26" t="s">
        <v>210</v>
      </c>
      <c r="B67" t="s">
        <v>213</v>
      </c>
      <c r="J67" t="s">
        <v>18</v>
      </c>
      <c r="K67">
        <v>0.7</v>
      </c>
      <c r="L67" t="s">
        <v>19</v>
      </c>
    </row>
    <row r="68" spans="1:14" x14ac:dyDescent="0.25">
      <c r="A68" s="26" t="s">
        <v>211</v>
      </c>
      <c r="B68" t="s">
        <v>213</v>
      </c>
      <c r="J68" t="s">
        <v>18</v>
      </c>
      <c r="K68">
        <v>0.3</v>
      </c>
      <c r="L68" t="s">
        <v>19</v>
      </c>
    </row>
    <row r="69" spans="1:14" x14ac:dyDescent="0.25">
      <c r="A69" s="26" t="s">
        <v>212</v>
      </c>
      <c r="B69" t="s">
        <v>213</v>
      </c>
      <c r="J69" t="s">
        <v>18</v>
      </c>
      <c r="K69">
        <v>0.6</v>
      </c>
      <c r="L69" t="s">
        <v>19</v>
      </c>
    </row>
    <row r="70" spans="1:14" x14ac:dyDescent="0.25">
      <c r="A70" s="4" t="s">
        <v>21</v>
      </c>
      <c r="B70" s="4"/>
      <c r="C70" s="4"/>
      <c r="D70" s="4"/>
      <c r="E70" s="4"/>
      <c r="F70" s="4"/>
      <c r="G70" s="4"/>
      <c r="H70" s="4"/>
      <c r="I70" s="4"/>
      <c r="J70" s="5"/>
      <c r="K70" s="5"/>
      <c r="L70" s="5"/>
      <c r="M70" s="5"/>
      <c r="N70" s="5"/>
    </row>
    <row r="71" spans="1:14" x14ac:dyDescent="0.25">
      <c r="A71" s="4" t="s">
        <v>22</v>
      </c>
      <c r="B71" s="4"/>
      <c r="C71" s="4"/>
      <c r="D71" s="4"/>
      <c r="E71" s="4"/>
      <c r="F71" s="4"/>
      <c r="G71" s="4"/>
      <c r="H71" s="4"/>
      <c r="I71" s="4"/>
      <c r="J71" s="5"/>
      <c r="K71" s="5"/>
      <c r="L71" s="5"/>
      <c r="M71" s="5"/>
      <c r="N71" s="5"/>
    </row>
    <row r="72" spans="1:14" x14ac:dyDescent="0.25">
      <c r="A72" t="s">
        <v>131</v>
      </c>
      <c r="B72" t="s">
        <v>132</v>
      </c>
      <c r="J72" t="s">
        <v>18</v>
      </c>
      <c r="K72" s="13">
        <f>6+4.4/3+13*0.6</f>
        <v>15.266666666666666</v>
      </c>
      <c r="L72" t="s">
        <v>19</v>
      </c>
      <c r="M72" s="6" t="s">
        <v>214</v>
      </c>
    </row>
    <row r="73" spans="1:14" x14ac:dyDescent="0.25">
      <c r="A73" t="s">
        <v>138</v>
      </c>
      <c r="B73" t="s">
        <v>132</v>
      </c>
      <c r="J73" t="s">
        <v>18</v>
      </c>
      <c r="K73" s="22">
        <f>8.2+4.4/3</f>
        <v>9.6666666666666661</v>
      </c>
      <c r="L73" t="s">
        <v>19</v>
      </c>
      <c r="M73" t="s">
        <v>137</v>
      </c>
    </row>
    <row r="74" spans="1:14" x14ac:dyDescent="0.25">
      <c r="A74" t="s">
        <v>139</v>
      </c>
      <c r="B74" t="s">
        <v>132</v>
      </c>
      <c r="J74" t="s">
        <v>18</v>
      </c>
      <c r="K74" s="22">
        <f>2.8+4.4/3</f>
        <v>4.2666666666666666</v>
      </c>
      <c r="L74" t="s">
        <v>19</v>
      </c>
      <c r="M74" t="s">
        <v>137</v>
      </c>
    </row>
    <row r="75" spans="1:14" x14ac:dyDescent="0.25">
      <c r="A75" s="4" t="s">
        <v>24</v>
      </c>
      <c r="B75" s="4"/>
      <c r="C75" s="4"/>
      <c r="D75" s="4"/>
      <c r="E75" s="4"/>
      <c r="F75" s="4"/>
      <c r="G75" s="4"/>
      <c r="H75" s="4"/>
      <c r="I75" s="4"/>
      <c r="J75" s="5"/>
      <c r="K75" s="5"/>
      <c r="L75" s="5"/>
      <c r="M75" s="5"/>
      <c r="N75" s="5"/>
    </row>
    <row r="76" spans="1:14" x14ac:dyDescent="0.25">
      <c r="A76" t="s">
        <v>223</v>
      </c>
      <c r="B76" t="s">
        <v>226</v>
      </c>
      <c r="J76" t="s">
        <v>18</v>
      </c>
      <c r="K76">
        <v>79.3</v>
      </c>
      <c r="L76" t="s">
        <v>19</v>
      </c>
    </row>
    <row r="77" spans="1:14" x14ac:dyDescent="0.25">
      <c r="A77" t="s">
        <v>225</v>
      </c>
      <c r="B77" t="s">
        <v>226</v>
      </c>
      <c r="J77" t="s">
        <v>18</v>
      </c>
      <c r="K77">
        <v>10</v>
      </c>
      <c r="L77" t="s">
        <v>19</v>
      </c>
      <c r="M77" t="s">
        <v>229</v>
      </c>
    </row>
    <row r="78" spans="1:14" x14ac:dyDescent="0.25">
      <c r="A78" t="s">
        <v>224</v>
      </c>
      <c r="B78" t="s">
        <v>226</v>
      </c>
      <c r="J78" t="s">
        <v>18</v>
      </c>
      <c r="K78">
        <v>1</v>
      </c>
      <c r="L78" t="s">
        <v>19</v>
      </c>
    </row>
    <row r="79" spans="1:14" x14ac:dyDescent="0.25">
      <c r="A79" s="4" t="s">
        <v>29</v>
      </c>
      <c r="B79" s="4"/>
      <c r="C79" s="4"/>
      <c r="D79" s="4"/>
      <c r="E79" s="4"/>
      <c r="F79" s="4"/>
      <c r="G79" s="4"/>
      <c r="H79" s="4"/>
      <c r="I79" s="4"/>
      <c r="J79" s="5"/>
      <c r="K79" s="5"/>
      <c r="L79" s="5"/>
      <c r="M79" s="5"/>
      <c r="N79" s="5"/>
    </row>
    <row r="80" spans="1:14" x14ac:dyDescent="0.25">
      <c r="A80" t="s">
        <v>233</v>
      </c>
      <c r="B80" t="s">
        <v>112</v>
      </c>
      <c r="J80" t="s">
        <v>18</v>
      </c>
      <c r="K80">
        <v>67.400000000000006</v>
      </c>
      <c r="L80" t="s">
        <v>19</v>
      </c>
    </row>
    <row r="81" spans="1:14" x14ac:dyDescent="0.25">
      <c r="A81" t="s">
        <v>236</v>
      </c>
      <c r="B81" t="s">
        <v>112</v>
      </c>
      <c r="J81" t="s">
        <v>18</v>
      </c>
      <c r="K81">
        <v>125.5</v>
      </c>
      <c r="L81" t="s">
        <v>19</v>
      </c>
    </row>
    <row r="82" spans="1:14" x14ac:dyDescent="0.25">
      <c r="A82" t="s">
        <v>234</v>
      </c>
      <c r="B82" t="s">
        <v>112</v>
      </c>
      <c r="J82" t="s">
        <v>18</v>
      </c>
      <c r="K82">
        <v>6.9</v>
      </c>
      <c r="L82" t="s">
        <v>19</v>
      </c>
      <c r="M82" t="s">
        <v>235</v>
      </c>
    </row>
    <row r="83" spans="1:14" x14ac:dyDescent="0.25">
      <c r="A83" t="s">
        <v>237</v>
      </c>
      <c r="B83" t="s">
        <v>112</v>
      </c>
      <c r="J83" t="s">
        <v>18</v>
      </c>
      <c r="K83">
        <v>7.9</v>
      </c>
      <c r="L83" t="s">
        <v>19</v>
      </c>
      <c r="M83" t="s">
        <v>238</v>
      </c>
    </row>
    <row r="84" spans="1:14" x14ac:dyDescent="0.25">
      <c r="A84" s="4" t="s">
        <v>30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31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32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7" spans="1:14" x14ac:dyDescent="0.25">
      <c r="A87" s="4" t="s">
        <v>33</v>
      </c>
      <c r="B87" s="4"/>
      <c r="C87" s="4"/>
      <c r="D87" s="4"/>
      <c r="E87" s="4"/>
      <c r="F87" s="4"/>
      <c r="G87" s="4"/>
      <c r="H87" s="4"/>
      <c r="I87" s="4"/>
      <c r="J87" s="5"/>
      <c r="K87" s="5"/>
      <c r="L87" s="5"/>
      <c r="M87" s="5"/>
      <c r="N87" s="5"/>
    </row>
    <row r="89" spans="1:14" x14ac:dyDescent="0.25">
      <c r="A89" s="2" t="s">
        <v>204</v>
      </c>
      <c r="B89" s="2"/>
      <c r="C89" s="2"/>
      <c r="D89" s="2"/>
      <c r="E89" s="2"/>
      <c r="F89" s="2"/>
      <c r="G89" s="2"/>
      <c r="H89" s="2"/>
      <c r="I89" s="2"/>
      <c r="J89" s="3"/>
      <c r="K89" s="3"/>
      <c r="L89" s="3"/>
      <c r="M89" s="3"/>
      <c r="N89" s="3"/>
    </row>
    <row r="90" spans="1:14" x14ac:dyDescent="0.25">
      <c r="A90" t="s">
        <v>200</v>
      </c>
      <c r="B90" t="s">
        <v>206</v>
      </c>
      <c r="H90" t="s">
        <v>45</v>
      </c>
      <c r="J90" t="s">
        <v>203</v>
      </c>
      <c r="K90" s="33">
        <f>600000*(K389/100)</f>
        <v>188217.14285714284</v>
      </c>
      <c r="L90" t="s">
        <v>196</v>
      </c>
      <c r="M90" s="17" t="s">
        <v>341</v>
      </c>
      <c r="N90" s="21"/>
    </row>
    <row r="91" spans="1:14" x14ac:dyDescent="0.25">
      <c r="A91" t="s">
        <v>201</v>
      </c>
      <c r="B91" t="s">
        <v>206</v>
      </c>
      <c r="H91" t="s">
        <v>45</v>
      </c>
      <c r="J91" t="s">
        <v>203</v>
      </c>
      <c r="K91" s="33">
        <v>10000</v>
      </c>
      <c r="L91" t="s">
        <v>196</v>
      </c>
      <c r="M91" t="s">
        <v>202</v>
      </c>
    </row>
    <row r="92" spans="1:14" x14ac:dyDescent="0.25">
      <c r="K92" s="33"/>
    </row>
    <row r="93" spans="1:14" x14ac:dyDescent="0.25">
      <c r="A93" t="s">
        <v>101</v>
      </c>
      <c r="B93" t="s">
        <v>206</v>
      </c>
      <c r="H93" t="s">
        <v>45</v>
      </c>
      <c r="J93" t="s">
        <v>203</v>
      </c>
      <c r="K93" s="33">
        <v>34000</v>
      </c>
      <c r="L93" t="s">
        <v>196</v>
      </c>
      <c r="M93" t="s">
        <v>308</v>
      </c>
      <c r="N93" t="s">
        <v>302</v>
      </c>
    </row>
    <row r="94" spans="1:14" x14ac:dyDescent="0.25">
      <c r="K94" s="33"/>
    </row>
    <row r="95" spans="1:14" x14ac:dyDescent="0.25">
      <c r="A95" t="s">
        <v>278</v>
      </c>
      <c r="B95" t="s">
        <v>206</v>
      </c>
      <c r="H95" t="s">
        <v>45</v>
      </c>
      <c r="J95" t="s">
        <v>203</v>
      </c>
      <c r="K95" s="37">
        <v>355.5</v>
      </c>
      <c r="L95" t="s">
        <v>279</v>
      </c>
      <c r="M95" t="s">
        <v>280</v>
      </c>
    </row>
    <row r="96" spans="1:14" x14ac:dyDescent="0.25">
      <c r="A96" s="45" t="s">
        <v>368</v>
      </c>
      <c r="K96" s="37"/>
    </row>
    <row r="97" spans="1:18" x14ac:dyDescent="0.25">
      <c r="A97" t="s">
        <v>359</v>
      </c>
      <c r="B97" t="s">
        <v>206</v>
      </c>
      <c r="H97" t="s">
        <v>45</v>
      </c>
      <c r="J97" s="44"/>
      <c r="K97" s="37">
        <f>103.1*1.12*0.78</f>
        <v>90.068160000000006</v>
      </c>
      <c r="L97" t="s">
        <v>279</v>
      </c>
      <c r="M97" t="s">
        <v>360</v>
      </c>
    </row>
    <row r="98" spans="1:18" x14ac:dyDescent="0.25">
      <c r="A98" t="s">
        <v>359</v>
      </c>
      <c r="B98" t="s">
        <v>206</v>
      </c>
      <c r="H98" t="s">
        <v>43</v>
      </c>
      <c r="J98" s="44"/>
      <c r="K98" s="37">
        <f>103.1*1.12*(1-0.78)</f>
        <v>25.403839999999999</v>
      </c>
      <c r="L98" t="s">
        <v>279</v>
      </c>
    </row>
    <row r="99" spans="1:18" x14ac:dyDescent="0.25">
      <c r="K99" s="33"/>
    </row>
    <row r="100" spans="1:18" x14ac:dyDescent="0.25">
      <c r="A100" s="2" t="s">
        <v>195</v>
      </c>
      <c r="B100" s="2"/>
      <c r="C100" s="2"/>
      <c r="D100" s="2"/>
      <c r="E100" s="2"/>
      <c r="F100" s="2"/>
      <c r="G100" s="2"/>
      <c r="H100" s="2"/>
      <c r="I100" s="2"/>
      <c r="J100" s="3"/>
      <c r="K100" s="36"/>
      <c r="L100" s="3"/>
      <c r="M100" s="3"/>
      <c r="N100" s="3"/>
    </row>
    <row r="101" spans="1:18" x14ac:dyDescent="0.25">
      <c r="A101" t="s">
        <v>295</v>
      </c>
      <c r="B101" t="s">
        <v>299</v>
      </c>
      <c r="H101" t="s">
        <v>45</v>
      </c>
      <c r="J101" t="s">
        <v>300</v>
      </c>
      <c r="K101" s="33">
        <v>558249.80000000005</v>
      </c>
      <c r="L101" t="s">
        <v>196</v>
      </c>
      <c r="M101" t="s">
        <v>303</v>
      </c>
      <c r="N101" t="s">
        <v>301</v>
      </c>
    </row>
    <row r="102" spans="1:18" x14ac:dyDescent="0.25">
      <c r="A102" t="s">
        <v>296</v>
      </c>
      <c r="B102" t="s">
        <v>299</v>
      </c>
      <c r="H102" t="s">
        <v>45</v>
      </c>
      <c r="J102" t="s">
        <v>300</v>
      </c>
      <c r="K102" s="33">
        <f>304650.4+303000</f>
        <v>607650.4</v>
      </c>
      <c r="L102" t="s">
        <v>196</v>
      </c>
      <c r="M102" t="s">
        <v>303</v>
      </c>
      <c r="N102" t="s">
        <v>301</v>
      </c>
      <c r="R102" s="6" t="s">
        <v>356</v>
      </c>
    </row>
    <row r="103" spans="1:18" x14ac:dyDescent="0.25">
      <c r="A103" t="s">
        <v>297</v>
      </c>
      <c r="B103" t="s">
        <v>299</v>
      </c>
      <c r="H103" t="s">
        <v>45</v>
      </c>
      <c r="J103" t="s">
        <v>300</v>
      </c>
      <c r="K103" s="33">
        <v>32965.800000000003</v>
      </c>
      <c r="L103" t="s">
        <v>196</v>
      </c>
      <c r="M103" t="s">
        <v>316</v>
      </c>
      <c r="N103" t="s">
        <v>301</v>
      </c>
    </row>
    <row r="104" spans="1:18" x14ac:dyDescent="0.25">
      <c r="A104" t="s">
        <v>298</v>
      </c>
      <c r="B104" t="s">
        <v>299</v>
      </c>
      <c r="H104" t="s">
        <v>45</v>
      </c>
      <c r="J104" t="s">
        <v>300</v>
      </c>
      <c r="K104" s="33">
        <f>177249.6+246000</f>
        <v>423249.6</v>
      </c>
      <c r="L104" t="s">
        <v>196</v>
      </c>
      <c r="M104" t="s">
        <v>303</v>
      </c>
      <c r="N104" t="s">
        <v>301</v>
      </c>
      <c r="R104" s="6" t="s">
        <v>357</v>
      </c>
    </row>
    <row r="105" spans="1:18" x14ac:dyDescent="0.25">
      <c r="A105" t="s">
        <v>208</v>
      </c>
      <c r="B105" t="s">
        <v>299</v>
      </c>
      <c r="H105" t="s">
        <v>45</v>
      </c>
      <c r="J105" t="s">
        <v>300</v>
      </c>
      <c r="K105" s="33">
        <v>22062.799999999999</v>
      </c>
      <c r="L105" t="s">
        <v>196</v>
      </c>
      <c r="M105" t="s">
        <v>303</v>
      </c>
      <c r="N105" t="s">
        <v>301</v>
      </c>
    </row>
    <row r="106" spans="1:18" x14ac:dyDescent="0.25">
      <c r="A106" t="s">
        <v>101</v>
      </c>
      <c r="B106" t="s">
        <v>299</v>
      </c>
      <c r="H106" t="s">
        <v>45</v>
      </c>
      <c r="J106" t="s">
        <v>300</v>
      </c>
      <c r="K106" s="33">
        <v>25000</v>
      </c>
      <c r="L106" t="s">
        <v>196</v>
      </c>
      <c r="M106" t="s">
        <v>305</v>
      </c>
      <c r="N106" t="s">
        <v>304</v>
      </c>
    </row>
    <row r="108" spans="1:18" x14ac:dyDescent="0.25">
      <c r="A108" s="2" t="s">
        <v>34</v>
      </c>
      <c r="B108" s="2"/>
      <c r="C108" s="2"/>
      <c r="D108" s="2"/>
      <c r="E108" s="2"/>
      <c r="F108" s="2"/>
      <c r="G108" s="2"/>
      <c r="H108" s="2"/>
      <c r="I108" s="2"/>
      <c r="J108" s="3"/>
      <c r="K108" s="3"/>
      <c r="L108" s="3"/>
      <c r="M108" s="3"/>
      <c r="N108" s="3"/>
    </row>
    <row r="109" spans="1:18" x14ac:dyDescent="0.25">
      <c r="B109" t="s">
        <v>26</v>
      </c>
      <c r="I109" t="s">
        <v>50</v>
      </c>
      <c r="J109" t="s">
        <v>53</v>
      </c>
      <c r="K109">
        <v>25</v>
      </c>
      <c r="L109" t="s">
        <v>38</v>
      </c>
    </row>
    <row r="110" spans="1:18" x14ac:dyDescent="0.25">
      <c r="B110" t="s">
        <v>26</v>
      </c>
      <c r="I110" t="s">
        <v>51</v>
      </c>
      <c r="J110" t="s">
        <v>53</v>
      </c>
      <c r="K110">
        <v>2</v>
      </c>
      <c r="L110" t="s">
        <v>38</v>
      </c>
    </row>
    <row r="111" spans="1:18" x14ac:dyDescent="0.25">
      <c r="B111" t="s">
        <v>26</v>
      </c>
      <c r="I111" t="s">
        <v>52</v>
      </c>
      <c r="J111" t="s">
        <v>53</v>
      </c>
      <c r="K111" s="6">
        <v>10.5</v>
      </c>
      <c r="L111" t="s">
        <v>38</v>
      </c>
      <c r="M111" s="6" t="s">
        <v>89</v>
      </c>
    </row>
    <row r="112" spans="1:18" x14ac:dyDescent="0.25">
      <c r="B112" t="s">
        <v>103</v>
      </c>
      <c r="I112" t="s">
        <v>50</v>
      </c>
      <c r="J112" t="s">
        <v>53</v>
      </c>
      <c r="K112">
        <v>17</v>
      </c>
      <c r="L112" t="s">
        <v>38</v>
      </c>
    </row>
    <row r="113" spans="2:13" x14ac:dyDescent="0.25">
      <c r="B113" t="s">
        <v>103</v>
      </c>
      <c r="I113" t="s">
        <v>51</v>
      </c>
      <c r="J113" t="s">
        <v>53</v>
      </c>
      <c r="K113">
        <v>7</v>
      </c>
      <c r="L113" t="s">
        <v>38</v>
      </c>
    </row>
    <row r="114" spans="2:13" x14ac:dyDescent="0.25">
      <c r="B114" t="s">
        <v>103</v>
      </c>
      <c r="I114" t="s">
        <v>52</v>
      </c>
      <c r="J114" t="s">
        <v>53</v>
      </c>
      <c r="K114" s="6">
        <v>15</v>
      </c>
      <c r="L114" t="s">
        <v>38</v>
      </c>
      <c r="M114" s="6" t="s">
        <v>89</v>
      </c>
    </row>
    <row r="115" spans="2:13" x14ac:dyDescent="0.25">
      <c r="B115" t="s">
        <v>108</v>
      </c>
      <c r="I115" t="s">
        <v>50</v>
      </c>
      <c r="J115" t="s">
        <v>53</v>
      </c>
      <c r="K115">
        <v>19</v>
      </c>
      <c r="L115" t="s">
        <v>38</v>
      </c>
    </row>
    <row r="116" spans="2:13" x14ac:dyDescent="0.25">
      <c r="B116" t="s">
        <v>108</v>
      </c>
      <c r="I116" t="s">
        <v>51</v>
      </c>
      <c r="J116" t="s">
        <v>53</v>
      </c>
      <c r="K116">
        <v>10</v>
      </c>
      <c r="L116" t="s">
        <v>38</v>
      </c>
    </row>
    <row r="117" spans="2:13" x14ac:dyDescent="0.25">
      <c r="B117" t="s">
        <v>108</v>
      </c>
      <c r="I117" t="s">
        <v>52</v>
      </c>
      <c r="J117" t="s">
        <v>53</v>
      </c>
      <c r="K117" s="6">
        <v>2</v>
      </c>
      <c r="L117" t="s">
        <v>38</v>
      </c>
      <c r="M117" s="6" t="s">
        <v>89</v>
      </c>
    </row>
    <row r="118" spans="2:13" x14ac:dyDescent="0.25">
      <c r="B118" t="s">
        <v>250</v>
      </c>
      <c r="I118" t="s">
        <v>50</v>
      </c>
      <c r="J118" t="s">
        <v>53</v>
      </c>
      <c r="K118">
        <v>19</v>
      </c>
      <c r="L118" t="s">
        <v>38</v>
      </c>
    </row>
    <row r="119" spans="2:13" x14ac:dyDescent="0.25">
      <c r="B119" t="s">
        <v>250</v>
      </c>
      <c r="I119" t="s">
        <v>51</v>
      </c>
      <c r="J119" t="s">
        <v>53</v>
      </c>
      <c r="K119">
        <v>10</v>
      </c>
      <c r="L119" t="s">
        <v>38</v>
      </c>
    </row>
    <row r="120" spans="2:13" x14ac:dyDescent="0.25">
      <c r="B120" t="s">
        <v>250</v>
      </c>
      <c r="I120" t="s">
        <v>52</v>
      </c>
      <c r="J120" t="s">
        <v>53</v>
      </c>
      <c r="K120" s="6">
        <v>2</v>
      </c>
      <c r="L120" t="s">
        <v>38</v>
      </c>
      <c r="M120" s="6" t="s">
        <v>89</v>
      </c>
    </row>
    <row r="121" spans="2:13" x14ac:dyDescent="0.25">
      <c r="B121" t="s">
        <v>81</v>
      </c>
      <c r="I121" t="s">
        <v>50</v>
      </c>
      <c r="J121" t="s">
        <v>53</v>
      </c>
      <c r="K121">
        <v>11</v>
      </c>
      <c r="L121" t="s">
        <v>38</v>
      </c>
    </row>
    <row r="122" spans="2:13" x14ac:dyDescent="0.25">
      <c r="B122" t="s">
        <v>81</v>
      </c>
      <c r="I122" t="s">
        <v>51</v>
      </c>
      <c r="J122" t="s">
        <v>53</v>
      </c>
      <c r="K122">
        <f>0.5</f>
        <v>0.5</v>
      </c>
      <c r="L122" t="s">
        <v>38</v>
      </c>
    </row>
    <row r="123" spans="2:13" x14ac:dyDescent="0.25">
      <c r="B123" t="s">
        <v>81</v>
      </c>
      <c r="I123" t="s">
        <v>52</v>
      </c>
      <c r="J123" t="s">
        <v>53</v>
      </c>
      <c r="K123" s="6">
        <v>1</v>
      </c>
      <c r="L123" t="s">
        <v>38</v>
      </c>
      <c r="M123" s="6" t="s">
        <v>89</v>
      </c>
    </row>
    <row r="124" spans="2:13" x14ac:dyDescent="0.25">
      <c r="B124" t="s">
        <v>55</v>
      </c>
      <c r="I124" t="s">
        <v>50</v>
      </c>
      <c r="J124" t="s">
        <v>53</v>
      </c>
      <c r="K124">
        <v>11</v>
      </c>
      <c r="L124" t="s">
        <v>38</v>
      </c>
    </row>
    <row r="125" spans="2:13" x14ac:dyDescent="0.25">
      <c r="B125" t="s">
        <v>55</v>
      </c>
      <c r="I125" t="s">
        <v>51</v>
      </c>
      <c r="J125" t="s">
        <v>53</v>
      </c>
      <c r="K125">
        <v>4</v>
      </c>
      <c r="L125" t="s">
        <v>38</v>
      </c>
    </row>
    <row r="126" spans="2:13" x14ac:dyDescent="0.25">
      <c r="B126" t="s">
        <v>55</v>
      </c>
      <c r="I126" t="s">
        <v>52</v>
      </c>
      <c r="J126" t="s">
        <v>53</v>
      </c>
      <c r="K126" s="6">
        <v>5</v>
      </c>
      <c r="L126" t="s">
        <v>38</v>
      </c>
      <c r="M126" s="6" t="s">
        <v>89</v>
      </c>
    </row>
    <row r="127" spans="2:13" x14ac:dyDescent="0.25">
      <c r="B127" t="s">
        <v>332</v>
      </c>
      <c r="I127" t="s">
        <v>50</v>
      </c>
      <c r="J127" t="s">
        <v>53</v>
      </c>
      <c r="K127">
        <v>11</v>
      </c>
      <c r="L127" t="s">
        <v>38</v>
      </c>
    </row>
    <row r="128" spans="2:13" x14ac:dyDescent="0.25">
      <c r="B128" t="s">
        <v>332</v>
      </c>
      <c r="I128" t="s">
        <v>51</v>
      </c>
      <c r="J128" t="s">
        <v>53</v>
      </c>
      <c r="K128">
        <v>4</v>
      </c>
      <c r="L128" t="s">
        <v>38</v>
      </c>
    </row>
    <row r="129" spans="1:14" x14ac:dyDescent="0.25">
      <c r="B129" t="s">
        <v>332</v>
      </c>
      <c r="I129" t="s">
        <v>52</v>
      </c>
      <c r="J129" t="s">
        <v>53</v>
      </c>
      <c r="K129" s="6">
        <v>5</v>
      </c>
      <c r="L129" t="s">
        <v>38</v>
      </c>
      <c r="M129" s="6" t="s">
        <v>89</v>
      </c>
    </row>
    <row r="130" spans="1:14" x14ac:dyDescent="0.25">
      <c r="B130" t="s">
        <v>213</v>
      </c>
      <c r="I130" t="s">
        <v>50</v>
      </c>
      <c r="J130" t="s">
        <v>53</v>
      </c>
      <c r="K130">
        <v>4</v>
      </c>
      <c r="L130" t="s">
        <v>38</v>
      </c>
    </row>
    <row r="131" spans="1:14" x14ac:dyDescent="0.25">
      <c r="B131" t="s">
        <v>213</v>
      </c>
      <c r="I131" t="s">
        <v>51</v>
      </c>
      <c r="J131" t="s">
        <v>53</v>
      </c>
      <c r="K131">
        <v>1</v>
      </c>
      <c r="L131" t="s">
        <v>38</v>
      </c>
    </row>
    <row r="132" spans="1:14" x14ac:dyDescent="0.25">
      <c r="B132" t="s">
        <v>213</v>
      </c>
      <c r="I132" t="s">
        <v>52</v>
      </c>
      <c r="J132" t="s">
        <v>53</v>
      </c>
      <c r="K132" s="6">
        <v>5</v>
      </c>
      <c r="L132" t="s">
        <v>38</v>
      </c>
      <c r="M132" s="6" t="s">
        <v>89</v>
      </c>
    </row>
    <row r="133" spans="1:14" x14ac:dyDescent="0.25">
      <c r="B133" t="s">
        <v>132</v>
      </c>
      <c r="I133" t="s">
        <v>50</v>
      </c>
      <c r="J133" t="s">
        <v>53</v>
      </c>
      <c r="K133">
        <v>4</v>
      </c>
      <c r="L133" t="s">
        <v>38</v>
      </c>
    </row>
    <row r="134" spans="1:14" x14ac:dyDescent="0.25">
      <c r="B134" t="s">
        <v>132</v>
      </c>
      <c r="I134" t="s">
        <v>51</v>
      </c>
      <c r="J134" t="s">
        <v>53</v>
      </c>
      <c r="K134">
        <v>1</v>
      </c>
      <c r="L134" t="s">
        <v>38</v>
      </c>
    </row>
    <row r="135" spans="1:14" x14ac:dyDescent="0.25">
      <c r="B135" t="s">
        <v>132</v>
      </c>
      <c r="I135" t="s">
        <v>52</v>
      </c>
      <c r="J135" t="s">
        <v>53</v>
      </c>
      <c r="K135" s="6">
        <v>5</v>
      </c>
      <c r="L135" t="s">
        <v>38</v>
      </c>
      <c r="M135" s="6" t="s">
        <v>89</v>
      </c>
    </row>
    <row r="136" spans="1:14" x14ac:dyDescent="0.25">
      <c r="B136" t="s">
        <v>226</v>
      </c>
      <c r="I136" t="s">
        <v>50</v>
      </c>
      <c r="J136" t="s">
        <v>53</v>
      </c>
      <c r="K136">
        <v>13</v>
      </c>
      <c r="L136" t="s">
        <v>38</v>
      </c>
    </row>
    <row r="137" spans="1:14" x14ac:dyDescent="0.25">
      <c r="B137" t="s">
        <v>226</v>
      </c>
      <c r="I137" t="s">
        <v>51</v>
      </c>
      <c r="J137" t="s">
        <v>53</v>
      </c>
      <c r="K137">
        <v>5</v>
      </c>
      <c r="L137" t="s">
        <v>38</v>
      </c>
    </row>
    <row r="138" spans="1:14" x14ac:dyDescent="0.25">
      <c r="B138" t="s">
        <v>226</v>
      </c>
      <c r="I138" t="s">
        <v>52</v>
      </c>
      <c r="J138" t="s">
        <v>53</v>
      </c>
      <c r="K138" s="6">
        <v>5</v>
      </c>
      <c r="L138" t="s">
        <v>38</v>
      </c>
      <c r="M138" s="6" t="s">
        <v>89</v>
      </c>
    </row>
    <row r="139" spans="1:14" x14ac:dyDescent="0.25">
      <c r="B139" t="s">
        <v>112</v>
      </c>
      <c r="I139" t="s">
        <v>50</v>
      </c>
      <c r="J139" t="s">
        <v>53</v>
      </c>
      <c r="K139">
        <v>0</v>
      </c>
      <c r="L139" t="s">
        <v>38</v>
      </c>
    </row>
    <row r="140" spans="1:14" x14ac:dyDescent="0.25">
      <c r="B140" t="s">
        <v>112</v>
      </c>
      <c r="I140" t="s">
        <v>51</v>
      </c>
      <c r="J140" t="s">
        <v>53</v>
      </c>
      <c r="K140">
        <v>5</v>
      </c>
      <c r="L140" t="s">
        <v>38</v>
      </c>
    </row>
    <row r="141" spans="1:14" x14ac:dyDescent="0.25">
      <c r="B141" t="s">
        <v>112</v>
      </c>
      <c r="I141" t="s">
        <v>52</v>
      </c>
      <c r="J141" t="s">
        <v>53</v>
      </c>
      <c r="K141" s="6">
        <v>5</v>
      </c>
      <c r="L141" t="s">
        <v>38</v>
      </c>
      <c r="M141" s="6" t="s">
        <v>89</v>
      </c>
    </row>
    <row r="142" spans="1:14" x14ac:dyDescent="0.25">
      <c r="K142" s="6"/>
      <c r="M142" s="6"/>
    </row>
    <row r="143" spans="1:14" x14ac:dyDescent="0.25">
      <c r="A143" s="2" t="s">
        <v>39</v>
      </c>
      <c r="B143" s="2"/>
      <c r="C143" s="2"/>
      <c r="D143" s="2"/>
      <c r="E143" s="2"/>
      <c r="F143" s="2"/>
      <c r="G143" s="2"/>
      <c r="H143" s="2"/>
      <c r="I143" s="2"/>
      <c r="J143" s="3"/>
      <c r="K143" s="3"/>
      <c r="L143" s="3"/>
      <c r="M143" s="3"/>
      <c r="N143" s="3"/>
    </row>
    <row r="144" spans="1:14" x14ac:dyDescent="0.25">
      <c r="J144" s="7" t="s">
        <v>40</v>
      </c>
      <c r="K144" s="7">
        <v>100</v>
      </c>
      <c r="L144" s="7" t="s">
        <v>38</v>
      </c>
      <c r="M144" s="7" t="s">
        <v>44</v>
      </c>
    </row>
    <row r="145" spans="1:14" x14ac:dyDescent="0.25">
      <c r="A145" s="4" t="s">
        <v>10</v>
      </c>
      <c r="B145" s="4"/>
      <c r="C145" s="4"/>
      <c r="D145" s="4"/>
      <c r="E145" s="4"/>
      <c r="F145" s="4"/>
      <c r="G145" s="4"/>
      <c r="H145" s="4"/>
      <c r="I145" s="4"/>
      <c r="J145" s="5"/>
      <c r="K145" s="5"/>
      <c r="L145" s="5"/>
      <c r="M145" s="5"/>
      <c r="N145" s="5"/>
    </row>
    <row r="146" spans="1:14" x14ac:dyDescent="0.25">
      <c r="A146" t="s">
        <v>185</v>
      </c>
      <c r="J146" t="s">
        <v>40</v>
      </c>
      <c r="K146">
        <v>22</v>
      </c>
      <c r="L146" t="s">
        <v>38</v>
      </c>
    </row>
    <row r="147" spans="1:14" x14ac:dyDescent="0.25">
      <c r="A147" t="s">
        <v>190</v>
      </c>
      <c r="J147" t="s">
        <v>40</v>
      </c>
      <c r="K147" s="27">
        <f>K146</f>
        <v>22</v>
      </c>
      <c r="L147" s="27" t="s">
        <v>38</v>
      </c>
      <c r="M147" s="27" t="s">
        <v>222</v>
      </c>
    </row>
    <row r="148" spans="1:14" x14ac:dyDescent="0.25">
      <c r="A148" t="s">
        <v>324</v>
      </c>
      <c r="J148" t="s">
        <v>40</v>
      </c>
      <c r="K148">
        <v>100</v>
      </c>
      <c r="L148" t="s">
        <v>38</v>
      </c>
    </row>
    <row r="149" spans="1:14" x14ac:dyDescent="0.25">
      <c r="A149" t="s">
        <v>325</v>
      </c>
      <c r="J149" t="s">
        <v>40</v>
      </c>
      <c r="K149" s="27">
        <f>K148</f>
        <v>100</v>
      </c>
      <c r="L149" s="27" t="s">
        <v>38</v>
      </c>
      <c r="M149" s="27" t="s">
        <v>222</v>
      </c>
    </row>
    <row r="150" spans="1:14" x14ac:dyDescent="0.25">
      <c r="A150" t="s">
        <v>186</v>
      </c>
      <c r="J150" t="s">
        <v>40</v>
      </c>
      <c r="K150">
        <v>4</v>
      </c>
      <c r="L150" t="s">
        <v>38</v>
      </c>
    </row>
    <row r="151" spans="1:14" x14ac:dyDescent="0.25">
      <c r="A151" t="s">
        <v>191</v>
      </c>
      <c r="J151" t="s">
        <v>40</v>
      </c>
      <c r="K151" s="27">
        <f>K150</f>
        <v>4</v>
      </c>
      <c r="L151" s="27" t="s">
        <v>38</v>
      </c>
      <c r="M151" s="27" t="s">
        <v>222</v>
      </c>
    </row>
    <row r="152" spans="1:14" x14ac:dyDescent="0.25">
      <c r="A152" t="s">
        <v>88</v>
      </c>
      <c r="J152" t="s">
        <v>40</v>
      </c>
      <c r="K152">
        <v>100</v>
      </c>
      <c r="L152" t="s">
        <v>38</v>
      </c>
    </row>
    <row r="153" spans="1:14" x14ac:dyDescent="0.25">
      <c r="A153" t="s">
        <v>187</v>
      </c>
      <c r="J153" t="s">
        <v>40</v>
      </c>
      <c r="K153">
        <v>8</v>
      </c>
      <c r="L153" t="s">
        <v>38</v>
      </c>
    </row>
    <row r="154" spans="1:14" x14ac:dyDescent="0.25">
      <c r="A154" t="s">
        <v>192</v>
      </c>
      <c r="J154" t="s">
        <v>40</v>
      </c>
      <c r="K154" s="27">
        <f>K153</f>
        <v>8</v>
      </c>
      <c r="L154" s="27" t="s">
        <v>38</v>
      </c>
      <c r="M154" s="27" t="s">
        <v>222</v>
      </c>
    </row>
    <row r="155" spans="1:14" x14ac:dyDescent="0.25">
      <c r="A155" t="s">
        <v>188</v>
      </c>
      <c r="J155" t="s">
        <v>40</v>
      </c>
      <c r="K155">
        <v>1</v>
      </c>
      <c r="L155" t="s">
        <v>38</v>
      </c>
    </row>
    <row r="156" spans="1:14" x14ac:dyDescent="0.25">
      <c r="A156" t="s">
        <v>193</v>
      </c>
      <c r="J156" t="s">
        <v>40</v>
      </c>
      <c r="K156" s="27">
        <f>K155</f>
        <v>1</v>
      </c>
      <c r="L156" s="27" t="s">
        <v>38</v>
      </c>
      <c r="M156" s="27" t="s">
        <v>222</v>
      </c>
    </row>
    <row r="157" spans="1:14" x14ac:dyDescent="0.25">
      <c r="A157" t="s">
        <v>189</v>
      </c>
      <c r="J157" t="s">
        <v>40</v>
      </c>
      <c r="K157" s="6">
        <v>22</v>
      </c>
      <c r="L157" s="17" t="s">
        <v>38</v>
      </c>
      <c r="M157" t="s">
        <v>154</v>
      </c>
    </row>
    <row r="158" spans="1:14" x14ac:dyDescent="0.25">
      <c r="A158" t="s">
        <v>194</v>
      </c>
      <c r="J158" t="s">
        <v>40</v>
      </c>
      <c r="K158" s="27">
        <f>K157</f>
        <v>22</v>
      </c>
      <c r="L158" s="27" t="s">
        <v>38</v>
      </c>
      <c r="M158" s="27" t="s">
        <v>222</v>
      </c>
    </row>
    <row r="159" spans="1:14" x14ac:dyDescent="0.25">
      <c r="A159" s="4" t="s">
        <v>11</v>
      </c>
      <c r="B159" s="4"/>
      <c r="C159" s="4"/>
      <c r="D159" s="4"/>
      <c r="E159" s="4"/>
      <c r="F159" s="4"/>
      <c r="G159" s="4"/>
      <c r="H159" s="4"/>
      <c r="I159" s="4"/>
      <c r="J159" s="5"/>
      <c r="K159" s="5"/>
      <c r="L159" s="5"/>
      <c r="M159" s="5"/>
      <c r="N159" s="5"/>
    </row>
    <row r="160" spans="1:14" x14ac:dyDescent="0.25">
      <c r="A160" s="17" t="s">
        <v>99</v>
      </c>
      <c r="J160" t="s">
        <v>40</v>
      </c>
      <c r="K160" s="17">
        <v>16</v>
      </c>
      <c r="L160" s="17" t="s">
        <v>38</v>
      </c>
    </row>
    <row r="161" spans="1:14" x14ac:dyDescent="0.25">
      <c r="A161" s="17" t="s">
        <v>100</v>
      </c>
      <c r="J161" t="s">
        <v>40</v>
      </c>
      <c r="K161" s="17">
        <v>16</v>
      </c>
      <c r="L161" s="17" t="s">
        <v>38</v>
      </c>
    </row>
    <row r="162" spans="1:14" x14ac:dyDescent="0.25">
      <c r="A162" s="17" t="s">
        <v>215</v>
      </c>
      <c r="J162" t="s">
        <v>40</v>
      </c>
      <c r="K162" s="17">
        <v>16</v>
      </c>
      <c r="L162" s="17" t="s">
        <v>38</v>
      </c>
    </row>
    <row r="163" spans="1:14" x14ac:dyDescent="0.25">
      <c r="A163" s="17" t="s">
        <v>101</v>
      </c>
      <c r="J163" t="s">
        <v>40</v>
      </c>
      <c r="K163" s="17">
        <v>16</v>
      </c>
      <c r="L163" s="17" t="s">
        <v>38</v>
      </c>
    </row>
    <row r="164" spans="1:14" x14ac:dyDescent="0.25">
      <c r="A164" s="4" t="s">
        <v>13</v>
      </c>
      <c r="B164" s="4"/>
      <c r="C164" s="4"/>
      <c r="D164" s="4"/>
      <c r="E164" s="4"/>
      <c r="F164" s="4"/>
      <c r="G164" s="4"/>
      <c r="H164" s="4"/>
      <c r="I164" s="4"/>
      <c r="J164" s="5"/>
      <c r="K164" s="5"/>
      <c r="L164" s="5"/>
      <c r="M164" s="5"/>
      <c r="N164" s="5"/>
    </row>
    <row r="165" spans="1:14" x14ac:dyDescent="0.25">
      <c r="A165" s="17" t="s">
        <v>247</v>
      </c>
      <c r="J165" t="s">
        <v>40</v>
      </c>
      <c r="K165" s="17">
        <v>85</v>
      </c>
      <c r="L165" s="17" t="s">
        <v>38</v>
      </c>
    </row>
    <row r="166" spans="1:14" x14ac:dyDescent="0.25">
      <c r="A166" s="17" t="s">
        <v>248</v>
      </c>
      <c r="J166" t="s">
        <v>40</v>
      </c>
      <c r="K166" s="17">
        <v>85</v>
      </c>
      <c r="L166" s="17" t="s">
        <v>38</v>
      </c>
    </row>
    <row r="167" spans="1:14" x14ac:dyDescent="0.25">
      <c r="A167" s="17" t="s">
        <v>249</v>
      </c>
      <c r="J167" t="s">
        <v>40</v>
      </c>
      <c r="K167" s="17">
        <v>85</v>
      </c>
      <c r="L167" s="17" t="s">
        <v>38</v>
      </c>
    </row>
    <row r="168" spans="1:14" x14ac:dyDescent="0.25">
      <c r="A168" s="17" t="s">
        <v>251</v>
      </c>
      <c r="J168" t="s">
        <v>40</v>
      </c>
      <c r="K168" s="17">
        <v>95</v>
      </c>
      <c r="L168" s="17" t="s">
        <v>38</v>
      </c>
    </row>
    <row r="169" spans="1:14" x14ac:dyDescent="0.25">
      <c r="A169" s="17" t="s">
        <v>260</v>
      </c>
      <c r="J169" t="s">
        <v>40</v>
      </c>
      <c r="K169" s="6">
        <v>97</v>
      </c>
      <c r="L169" s="17" t="s">
        <v>38</v>
      </c>
      <c r="M169" s="6" t="s">
        <v>272</v>
      </c>
    </row>
    <row r="170" spans="1:14" x14ac:dyDescent="0.25">
      <c r="A170" s="17" t="s">
        <v>261</v>
      </c>
      <c r="J170" t="s">
        <v>40</v>
      </c>
      <c r="K170" s="17">
        <v>29</v>
      </c>
      <c r="L170" s="17" t="s">
        <v>38</v>
      </c>
    </row>
    <row r="171" spans="1:14" x14ac:dyDescent="0.25">
      <c r="A171" s="17" t="s">
        <v>267</v>
      </c>
      <c r="C171" s="9"/>
      <c r="J171" t="s">
        <v>40</v>
      </c>
      <c r="K171" s="6">
        <v>50</v>
      </c>
      <c r="L171" s="17" t="s">
        <v>38</v>
      </c>
      <c r="M171" s="6" t="s">
        <v>271</v>
      </c>
    </row>
    <row r="172" spans="1:14" x14ac:dyDescent="0.25">
      <c r="A172" s="17" t="s">
        <v>262</v>
      </c>
      <c r="J172" t="s">
        <v>40</v>
      </c>
      <c r="K172" s="6">
        <v>90</v>
      </c>
      <c r="L172" s="17" t="s">
        <v>38</v>
      </c>
      <c r="M172" s="6" t="s">
        <v>271</v>
      </c>
    </row>
    <row r="173" spans="1:14" x14ac:dyDescent="0.25">
      <c r="A173" s="4" t="s">
        <v>12</v>
      </c>
      <c r="B173" s="4"/>
      <c r="C173" s="4"/>
      <c r="D173" s="4"/>
      <c r="E173" s="4"/>
      <c r="F173" s="4"/>
      <c r="G173" s="4"/>
      <c r="H173" s="4"/>
      <c r="I173" s="4"/>
      <c r="J173" s="5"/>
      <c r="K173" s="5"/>
      <c r="L173" s="5"/>
      <c r="M173" s="5"/>
      <c r="N173" s="5"/>
    </row>
    <row r="174" spans="1:14" x14ac:dyDescent="0.25">
      <c r="A174" s="17" t="s">
        <v>140</v>
      </c>
      <c r="J174" t="s">
        <v>40</v>
      </c>
      <c r="K174">
        <v>7</v>
      </c>
      <c r="L174" s="17" t="s">
        <v>38</v>
      </c>
    </row>
    <row r="175" spans="1:14" x14ac:dyDescent="0.25">
      <c r="A175" s="17" t="s">
        <v>146</v>
      </c>
      <c r="J175" t="s">
        <v>40</v>
      </c>
      <c r="K175" s="17">
        <v>35</v>
      </c>
      <c r="L175" s="17" t="s">
        <v>38</v>
      </c>
    </row>
    <row r="176" spans="1:14" x14ac:dyDescent="0.25">
      <c r="A176" s="17" t="s">
        <v>142</v>
      </c>
      <c r="J176" t="s">
        <v>40</v>
      </c>
      <c r="K176" s="17">
        <v>63</v>
      </c>
      <c r="L176" s="17" t="s">
        <v>38</v>
      </c>
    </row>
    <row r="177" spans="1:14" x14ac:dyDescent="0.25">
      <c r="A177" s="17" t="s">
        <v>143</v>
      </c>
      <c r="J177" t="s">
        <v>40</v>
      </c>
      <c r="K177" s="17">
        <v>54</v>
      </c>
      <c r="L177" s="17" t="s">
        <v>38</v>
      </c>
      <c r="M177" s="6"/>
    </row>
    <row r="178" spans="1:14" x14ac:dyDescent="0.25">
      <c r="A178" s="17" t="s">
        <v>144</v>
      </c>
      <c r="J178" t="s">
        <v>40</v>
      </c>
      <c r="K178" s="6">
        <v>75</v>
      </c>
      <c r="L178" s="17" t="s">
        <v>38</v>
      </c>
      <c r="M178" s="6" t="s">
        <v>258</v>
      </c>
    </row>
    <row r="179" spans="1:14" x14ac:dyDescent="0.25">
      <c r="A179" s="17" t="s">
        <v>145</v>
      </c>
      <c r="J179" t="s">
        <v>40</v>
      </c>
      <c r="K179" s="17">
        <v>10</v>
      </c>
      <c r="L179" s="17" t="s">
        <v>38</v>
      </c>
    </row>
    <row r="180" spans="1:14" x14ac:dyDescent="0.25">
      <c r="A180" s="17" t="s">
        <v>107</v>
      </c>
      <c r="J180" t="s">
        <v>40</v>
      </c>
      <c r="K180" s="17">
        <v>90</v>
      </c>
      <c r="L180" s="17" t="s">
        <v>38</v>
      </c>
    </row>
    <row r="181" spans="1:14" x14ac:dyDescent="0.25">
      <c r="A181" s="17" t="s">
        <v>110</v>
      </c>
      <c r="J181" t="s">
        <v>40</v>
      </c>
      <c r="K181" s="17">
        <v>46</v>
      </c>
      <c r="L181" s="17" t="s">
        <v>38</v>
      </c>
    </row>
    <row r="182" spans="1:14" x14ac:dyDescent="0.25">
      <c r="A182" s="17" t="s">
        <v>255</v>
      </c>
      <c r="J182" t="s">
        <v>40</v>
      </c>
      <c r="K182" s="17">
        <v>100</v>
      </c>
      <c r="L182" s="17" t="s">
        <v>38</v>
      </c>
    </row>
    <row r="183" spans="1:14" x14ac:dyDescent="0.25">
      <c r="A183" s="17" t="s">
        <v>153</v>
      </c>
      <c r="J183" t="s">
        <v>40</v>
      </c>
      <c r="K183" s="6">
        <v>90</v>
      </c>
      <c r="L183" s="17" t="s">
        <v>38</v>
      </c>
      <c r="M183" s="6" t="s">
        <v>271</v>
      </c>
    </row>
    <row r="184" spans="1:14" x14ac:dyDescent="0.25">
      <c r="A184" s="4" t="s">
        <v>14</v>
      </c>
      <c r="B184" s="4"/>
      <c r="C184" s="4"/>
      <c r="D184" s="4"/>
      <c r="E184" s="4"/>
      <c r="F184" s="4"/>
      <c r="G184" s="4"/>
      <c r="H184" s="4"/>
      <c r="I184" s="4"/>
      <c r="J184" s="5"/>
      <c r="K184" s="5"/>
      <c r="L184" s="5" t="s">
        <v>334</v>
      </c>
      <c r="M184" s="41">
        <v>0.81799999999999995</v>
      </c>
      <c r="N184" s="5"/>
    </row>
    <row r="185" spans="1:14" x14ac:dyDescent="0.25">
      <c r="A185" s="6" t="s">
        <v>62</v>
      </c>
      <c r="J185" t="s">
        <v>40</v>
      </c>
      <c r="K185" s="13">
        <f>8.5*20/(29.5+8.5)*$M$184</f>
        <v>3.6594736842105262</v>
      </c>
      <c r="L185" t="s">
        <v>38</v>
      </c>
    </row>
    <row r="186" spans="1:14" x14ac:dyDescent="0.25">
      <c r="A186" s="6" t="s">
        <v>61</v>
      </c>
      <c r="J186" t="s">
        <v>40</v>
      </c>
      <c r="K186" s="13">
        <f>(80.7*0+14.4*20+0.3*5*0)/(80.7+14.4+0.3*5)*$M$184</f>
        <v>2.438757763975155</v>
      </c>
      <c r="L186" t="s">
        <v>38</v>
      </c>
    </row>
    <row r="187" spans="1:14" x14ac:dyDescent="0.25">
      <c r="A187" s="6" t="s">
        <v>63</v>
      </c>
      <c r="J187" t="s">
        <v>40</v>
      </c>
      <c r="K187" s="13">
        <f>(45.6*0+44.1*20+1.3*5*0+1.8*10*0)/(45.6+44.1+1.3*5+1.8*10)*$M$184</f>
        <v>6.317653239929947</v>
      </c>
      <c r="L187" t="s">
        <v>38</v>
      </c>
    </row>
    <row r="188" spans="1:14" x14ac:dyDescent="0.25">
      <c r="A188" s="6" t="s">
        <v>64</v>
      </c>
      <c r="J188" t="s">
        <v>40</v>
      </c>
      <c r="K188">
        <f>60*$M$184</f>
        <v>49.08</v>
      </c>
      <c r="L188" t="s">
        <v>38</v>
      </c>
    </row>
    <row r="189" spans="1:14" x14ac:dyDescent="0.25">
      <c r="A189" s="6" t="s">
        <v>68</v>
      </c>
      <c r="J189" t="s">
        <v>40</v>
      </c>
      <c r="K189">
        <f>0*$M$184</f>
        <v>0</v>
      </c>
      <c r="L189" t="s">
        <v>38</v>
      </c>
    </row>
    <row r="190" spans="1:14" x14ac:dyDescent="0.25">
      <c r="A190" s="6" t="s">
        <v>69</v>
      </c>
      <c r="J190" t="s">
        <v>40</v>
      </c>
      <c r="K190">
        <f>20*$M$184</f>
        <v>16.36</v>
      </c>
      <c r="L190" t="s">
        <v>38</v>
      </c>
    </row>
    <row r="191" spans="1:14" x14ac:dyDescent="0.25">
      <c r="A191" s="6" t="s">
        <v>66</v>
      </c>
      <c r="J191" t="s">
        <v>40</v>
      </c>
      <c r="K191">
        <f>20*$M$184</f>
        <v>16.36</v>
      </c>
      <c r="L191" t="s">
        <v>38</v>
      </c>
    </row>
    <row r="192" spans="1:14" x14ac:dyDescent="0.25">
      <c r="A192" s="6" t="s">
        <v>67</v>
      </c>
      <c r="J192" t="s">
        <v>40</v>
      </c>
      <c r="K192">
        <f>20*$M$184</f>
        <v>16.36</v>
      </c>
      <c r="L192" t="s">
        <v>38</v>
      </c>
    </row>
    <row r="193" spans="1:14" x14ac:dyDescent="0.25">
      <c r="A193" s="6" t="s">
        <v>65</v>
      </c>
      <c r="J193" t="s">
        <v>40</v>
      </c>
      <c r="K193">
        <f>43*$M$184</f>
        <v>35.173999999999999</v>
      </c>
      <c r="L193" t="s">
        <v>38</v>
      </c>
    </row>
    <row r="194" spans="1:14" x14ac:dyDescent="0.25">
      <c r="A194" s="4" t="s">
        <v>23</v>
      </c>
      <c r="B194" s="4"/>
      <c r="C194" s="4"/>
      <c r="D194" s="4"/>
      <c r="E194" s="4"/>
      <c r="F194" s="4"/>
      <c r="G194" s="4"/>
      <c r="H194" s="4"/>
      <c r="I194" s="4"/>
      <c r="J194" s="5"/>
      <c r="K194" s="5"/>
      <c r="L194" s="5"/>
      <c r="M194" s="5"/>
      <c r="N194" s="5"/>
    </row>
    <row r="195" spans="1:14" x14ac:dyDescent="0.25">
      <c r="A195" t="s">
        <v>54</v>
      </c>
      <c r="J195" t="s">
        <v>40</v>
      </c>
      <c r="K195" s="6">
        <v>37.5</v>
      </c>
      <c r="L195" t="s">
        <v>38</v>
      </c>
      <c r="M195" s="6" t="s">
        <v>353</v>
      </c>
      <c r="N195" t="s">
        <v>351</v>
      </c>
    </row>
    <row r="196" spans="1:14" x14ac:dyDescent="0.25">
      <c r="A196" t="s">
        <v>95</v>
      </c>
      <c r="J196" t="s">
        <v>40</v>
      </c>
      <c r="K196" s="6">
        <v>48.1</v>
      </c>
      <c r="L196" t="s">
        <v>38</v>
      </c>
      <c r="M196" s="6" t="s">
        <v>352</v>
      </c>
      <c r="N196" t="s">
        <v>351</v>
      </c>
    </row>
    <row r="197" spans="1:14" x14ac:dyDescent="0.25">
      <c r="A197" t="s">
        <v>358</v>
      </c>
      <c r="J197" t="s">
        <v>40</v>
      </c>
      <c r="K197" s="17">
        <v>64</v>
      </c>
      <c r="L197" s="17" t="s">
        <v>38</v>
      </c>
      <c r="M197" s="6"/>
    </row>
    <row r="198" spans="1:14" x14ac:dyDescent="0.25">
      <c r="A198" t="s">
        <v>273</v>
      </c>
      <c r="J198" t="s">
        <v>40</v>
      </c>
      <c r="K198" s="6">
        <v>46.1</v>
      </c>
      <c r="L198" t="s">
        <v>38</v>
      </c>
      <c r="M198" s="6" t="s">
        <v>354</v>
      </c>
      <c r="N198" t="s">
        <v>351</v>
      </c>
    </row>
    <row r="199" spans="1:14" x14ac:dyDescent="0.25">
      <c r="A199" s="4" t="s">
        <v>15</v>
      </c>
      <c r="B199" s="4"/>
      <c r="C199" s="4"/>
      <c r="D199" s="4"/>
      <c r="E199" s="4"/>
      <c r="F199" s="4"/>
      <c r="G199" s="4"/>
      <c r="H199" s="4"/>
      <c r="I199" s="4"/>
      <c r="J199" s="5"/>
      <c r="K199" s="5"/>
      <c r="L199" s="5"/>
      <c r="M199" s="5"/>
      <c r="N199" s="5"/>
    </row>
    <row r="200" spans="1:14" x14ac:dyDescent="0.25">
      <c r="A200" t="s">
        <v>15</v>
      </c>
      <c r="J200" t="s">
        <v>40</v>
      </c>
      <c r="K200" s="17">
        <f>2.5</f>
        <v>2.5</v>
      </c>
      <c r="L200" t="s">
        <v>38</v>
      </c>
      <c r="M200" s="17" t="s">
        <v>355</v>
      </c>
      <c r="N200" t="s">
        <v>351</v>
      </c>
    </row>
    <row r="201" spans="1:14" x14ac:dyDescent="0.25">
      <c r="A201" s="4" t="s">
        <v>20</v>
      </c>
      <c r="B201" s="4"/>
      <c r="C201" s="4"/>
      <c r="D201" s="4"/>
      <c r="E201" s="4"/>
      <c r="F201" s="4"/>
      <c r="G201" s="4"/>
      <c r="H201" s="4"/>
      <c r="I201" s="4"/>
      <c r="J201" s="5"/>
      <c r="K201" s="5"/>
      <c r="L201" s="5"/>
      <c r="M201" s="5"/>
      <c r="N201" s="5"/>
    </row>
    <row r="202" spans="1:14" x14ac:dyDescent="0.25">
      <c r="A202" t="s">
        <v>208</v>
      </c>
      <c r="J202" t="s">
        <v>40</v>
      </c>
      <c r="K202">
        <v>5</v>
      </c>
      <c r="L202" t="s">
        <v>38</v>
      </c>
    </row>
    <row r="203" spans="1:14" x14ac:dyDescent="0.25">
      <c r="A203" s="26" t="s">
        <v>209</v>
      </c>
      <c r="J203" t="s">
        <v>40</v>
      </c>
      <c r="K203">
        <v>0.4</v>
      </c>
      <c r="L203" t="s">
        <v>38</v>
      </c>
    </row>
    <row r="204" spans="1:14" x14ac:dyDescent="0.25">
      <c r="A204" s="26" t="s">
        <v>210</v>
      </c>
      <c r="J204" t="s">
        <v>40</v>
      </c>
      <c r="K204" s="6">
        <v>95</v>
      </c>
      <c r="L204" t="s">
        <v>38</v>
      </c>
      <c r="M204" s="6" t="s">
        <v>155</v>
      </c>
    </row>
    <row r="205" spans="1:14" x14ac:dyDescent="0.25">
      <c r="A205" s="26" t="s">
        <v>211</v>
      </c>
      <c r="J205" t="s">
        <v>40</v>
      </c>
      <c r="K205">
        <v>100</v>
      </c>
      <c r="L205" t="s">
        <v>38</v>
      </c>
    </row>
    <row r="206" spans="1:14" x14ac:dyDescent="0.25">
      <c r="A206" s="26" t="s">
        <v>212</v>
      </c>
      <c r="B206" s="8"/>
      <c r="C206" s="8"/>
      <c r="D206" s="9"/>
      <c r="E206" s="9"/>
      <c r="F206" s="8"/>
      <c r="G206" s="8"/>
      <c r="H206" s="8"/>
      <c r="I206" s="8"/>
      <c r="J206" t="s">
        <v>40</v>
      </c>
      <c r="K206">
        <v>100</v>
      </c>
      <c r="L206" t="s">
        <v>38</v>
      </c>
      <c r="M206" s="8"/>
      <c r="N206" s="8"/>
    </row>
    <row r="207" spans="1:14" x14ac:dyDescent="0.25">
      <c r="A207" s="4" t="s">
        <v>22</v>
      </c>
      <c r="B207" s="4"/>
      <c r="C207" s="4"/>
      <c r="D207" s="4"/>
      <c r="E207" s="4"/>
      <c r="F207" s="4"/>
      <c r="G207" s="4"/>
      <c r="H207" s="4"/>
      <c r="I207" s="4"/>
      <c r="J207" s="5"/>
      <c r="K207" s="5"/>
      <c r="L207" s="5"/>
      <c r="M207" s="5"/>
      <c r="N207" s="5"/>
    </row>
    <row r="208" spans="1:14" x14ac:dyDescent="0.25">
      <c r="A208" t="s">
        <v>131</v>
      </c>
      <c r="J208" t="s">
        <v>40</v>
      </c>
      <c r="K208" s="15">
        <v>52</v>
      </c>
      <c r="L208" t="s">
        <v>38</v>
      </c>
      <c r="M208" s="24"/>
    </row>
    <row r="209" spans="1:14" x14ac:dyDescent="0.25">
      <c r="A209" s="4" t="s">
        <v>24</v>
      </c>
      <c r="B209" s="4"/>
      <c r="C209" s="4"/>
      <c r="D209" s="4"/>
      <c r="E209" s="4"/>
      <c r="F209" s="4"/>
      <c r="G209" s="4"/>
      <c r="H209" s="4"/>
      <c r="I209" s="4"/>
      <c r="J209" s="5"/>
      <c r="K209" s="5"/>
      <c r="L209" s="5"/>
      <c r="M209" s="5"/>
      <c r="N209" s="5"/>
    </row>
    <row r="210" spans="1:14" x14ac:dyDescent="0.25">
      <c r="A210" t="s">
        <v>223</v>
      </c>
      <c r="J210" t="s">
        <v>40</v>
      </c>
      <c r="K210" s="6">
        <v>24</v>
      </c>
      <c r="L210" t="s">
        <v>38</v>
      </c>
      <c r="M210" s="6" t="s">
        <v>228</v>
      </c>
    </row>
    <row r="211" spans="1:14" x14ac:dyDescent="0.25">
      <c r="A211" t="s">
        <v>225</v>
      </c>
      <c r="J211" t="s">
        <v>40</v>
      </c>
      <c r="K211" s="27">
        <f>K210</f>
        <v>24</v>
      </c>
      <c r="L211" s="27" t="s">
        <v>38</v>
      </c>
      <c r="M211" s="27" t="s">
        <v>227</v>
      </c>
    </row>
    <row r="212" spans="1:14" x14ac:dyDescent="0.25">
      <c r="A212" t="s">
        <v>224</v>
      </c>
      <c r="J212" t="s">
        <v>40</v>
      </c>
      <c r="K212">
        <v>61</v>
      </c>
      <c r="L212" t="s">
        <v>38</v>
      </c>
    </row>
    <row r="213" spans="1:14" x14ac:dyDescent="0.25">
      <c r="A213" s="4" t="s">
        <v>29</v>
      </c>
      <c r="B213" s="4"/>
      <c r="C213" s="4"/>
      <c r="D213" s="4"/>
      <c r="E213" s="4"/>
      <c r="F213" s="4"/>
      <c r="G213" s="4"/>
      <c r="H213" s="4"/>
      <c r="I213" s="4"/>
      <c r="J213" s="5"/>
      <c r="K213" s="5"/>
      <c r="L213" s="5"/>
      <c r="M213" s="5"/>
      <c r="N213" s="5"/>
    </row>
    <row r="214" spans="1:14" x14ac:dyDescent="0.25">
      <c r="A214" t="s">
        <v>233</v>
      </c>
      <c r="J214" t="s">
        <v>40</v>
      </c>
      <c r="K214">
        <v>100</v>
      </c>
      <c r="L214" t="s">
        <v>38</v>
      </c>
    </row>
    <row r="215" spans="1:14" x14ac:dyDescent="0.25">
      <c r="A215" t="s">
        <v>236</v>
      </c>
      <c r="J215" t="s">
        <v>40</v>
      </c>
      <c r="K215">
        <v>4</v>
      </c>
      <c r="L215" t="s">
        <v>38</v>
      </c>
      <c r="M215" t="s">
        <v>113</v>
      </c>
    </row>
    <row r="216" spans="1:14" x14ac:dyDescent="0.25">
      <c r="A216" t="s">
        <v>234</v>
      </c>
      <c r="J216" t="s">
        <v>40</v>
      </c>
      <c r="K216">
        <v>85</v>
      </c>
      <c r="L216" t="s">
        <v>38</v>
      </c>
      <c r="M216" t="s">
        <v>239</v>
      </c>
    </row>
    <row r="217" spans="1:14" x14ac:dyDescent="0.25">
      <c r="A217" t="s">
        <v>237</v>
      </c>
      <c r="J217" t="s">
        <v>40</v>
      </c>
      <c r="K217">
        <v>22</v>
      </c>
      <c r="L217" t="s">
        <v>38</v>
      </c>
      <c r="M217" t="s">
        <v>240</v>
      </c>
    </row>
    <row r="219" spans="1:14" x14ac:dyDescent="0.25">
      <c r="A219" s="2" t="s">
        <v>156</v>
      </c>
      <c r="B219" s="2"/>
      <c r="C219" s="2"/>
      <c r="D219" s="2"/>
      <c r="E219" s="2"/>
      <c r="F219" s="2"/>
      <c r="G219" s="2"/>
      <c r="H219" s="2"/>
      <c r="I219" s="2"/>
      <c r="J219" s="3"/>
      <c r="K219" s="3"/>
      <c r="L219" s="3"/>
      <c r="M219" s="3"/>
      <c r="N219" s="3"/>
    </row>
    <row r="220" spans="1:14" x14ac:dyDescent="0.25">
      <c r="G220" s="7"/>
      <c r="H220" s="7" t="s">
        <v>45</v>
      </c>
      <c r="I220" s="7"/>
      <c r="J220" s="7" t="s">
        <v>41</v>
      </c>
      <c r="K220" s="7">
        <v>-100</v>
      </c>
      <c r="L220" s="7" t="s">
        <v>46</v>
      </c>
      <c r="M220" s="7" t="s">
        <v>183</v>
      </c>
    </row>
    <row r="221" spans="1:14" x14ac:dyDescent="0.25">
      <c r="G221" s="7"/>
      <c r="H221" s="7" t="s">
        <v>43</v>
      </c>
      <c r="I221" s="7"/>
      <c r="J221" s="7" t="s">
        <v>41</v>
      </c>
      <c r="K221" s="7">
        <v>0</v>
      </c>
      <c r="L221" s="7" t="s">
        <v>38</v>
      </c>
      <c r="M221" s="7" t="s">
        <v>44</v>
      </c>
    </row>
    <row r="222" spans="1:14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5"/>
      <c r="K222" s="5"/>
      <c r="L222" s="5"/>
      <c r="M222" s="5"/>
      <c r="N222" s="5"/>
    </row>
    <row r="223" spans="1:14" x14ac:dyDescent="0.25">
      <c r="A223" t="s">
        <v>185</v>
      </c>
      <c r="G223" t="s">
        <v>87</v>
      </c>
      <c r="H223" t="s">
        <v>43</v>
      </c>
      <c r="J223" t="s">
        <v>41</v>
      </c>
      <c r="K223" s="17">
        <v>5.3</v>
      </c>
      <c r="L223" t="s">
        <v>38</v>
      </c>
      <c r="M223" t="s">
        <v>174</v>
      </c>
      <c r="N223" t="s">
        <v>98</v>
      </c>
    </row>
    <row r="224" spans="1:14" x14ac:dyDescent="0.25">
      <c r="A224" t="s">
        <v>190</v>
      </c>
      <c r="G224" t="s">
        <v>87</v>
      </c>
      <c r="H224" t="s">
        <v>43</v>
      </c>
      <c r="J224" t="s">
        <v>41</v>
      </c>
      <c r="K224" s="40">
        <f>K223</f>
        <v>5.3</v>
      </c>
      <c r="L224" t="s">
        <v>38</v>
      </c>
    </row>
    <row r="225" spans="1:14" x14ac:dyDescent="0.25">
      <c r="A225" t="s">
        <v>186</v>
      </c>
      <c r="G225" t="s">
        <v>87</v>
      </c>
      <c r="H225" t="s">
        <v>43</v>
      </c>
      <c r="J225" t="s">
        <v>41</v>
      </c>
      <c r="K225" s="17">
        <v>4.9000000000000004</v>
      </c>
      <c r="L225" t="s">
        <v>38</v>
      </c>
      <c r="M225" t="s">
        <v>174</v>
      </c>
      <c r="N225" t="s">
        <v>98</v>
      </c>
    </row>
    <row r="226" spans="1:14" x14ac:dyDescent="0.25">
      <c r="A226" t="s">
        <v>191</v>
      </c>
      <c r="G226" t="s">
        <v>87</v>
      </c>
      <c r="H226" t="s">
        <v>43</v>
      </c>
      <c r="J226" t="s">
        <v>41</v>
      </c>
      <c r="K226" s="40">
        <f>K225</f>
        <v>4.9000000000000004</v>
      </c>
      <c r="L226" t="s">
        <v>38</v>
      </c>
    </row>
    <row r="227" spans="1:14" x14ac:dyDescent="0.25">
      <c r="A227" t="s">
        <v>187</v>
      </c>
      <c r="G227" t="s">
        <v>87</v>
      </c>
      <c r="H227" t="s">
        <v>43</v>
      </c>
      <c r="J227" t="s">
        <v>41</v>
      </c>
      <c r="K227" s="17">
        <v>12.7</v>
      </c>
      <c r="L227" t="s">
        <v>38</v>
      </c>
      <c r="M227" t="s">
        <v>174</v>
      </c>
      <c r="N227" t="s">
        <v>98</v>
      </c>
    </row>
    <row r="228" spans="1:14" x14ac:dyDescent="0.25">
      <c r="A228" t="s">
        <v>192</v>
      </c>
      <c r="G228" t="s">
        <v>87</v>
      </c>
      <c r="H228" t="s">
        <v>43</v>
      </c>
      <c r="J228" t="s">
        <v>41</v>
      </c>
      <c r="K228" s="40">
        <f>K227</f>
        <v>12.7</v>
      </c>
      <c r="L228" t="s">
        <v>38</v>
      </c>
    </row>
    <row r="229" spans="1:14" x14ac:dyDescent="0.25">
      <c r="A229" t="s">
        <v>188</v>
      </c>
      <c r="G229" t="s">
        <v>87</v>
      </c>
      <c r="H229" t="s">
        <v>43</v>
      </c>
      <c r="J229" t="s">
        <v>41</v>
      </c>
      <c r="K229" s="17">
        <v>24</v>
      </c>
      <c r="L229" t="s">
        <v>38</v>
      </c>
      <c r="M229" t="s">
        <v>175</v>
      </c>
      <c r="N229" s="26" t="s">
        <v>172</v>
      </c>
    </row>
    <row r="230" spans="1:14" x14ac:dyDescent="0.25">
      <c r="A230" t="s">
        <v>193</v>
      </c>
      <c r="G230" t="s">
        <v>87</v>
      </c>
      <c r="H230" t="s">
        <v>43</v>
      </c>
      <c r="J230" t="s">
        <v>41</v>
      </c>
      <c r="K230" s="40">
        <f>K229</f>
        <v>24</v>
      </c>
      <c r="L230" t="s">
        <v>38</v>
      </c>
      <c r="N230" s="26"/>
    </row>
    <row r="231" spans="1:14" x14ac:dyDescent="0.25">
      <c r="A231" t="s">
        <v>189</v>
      </c>
      <c r="G231" t="s">
        <v>87</v>
      </c>
      <c r="H231" t="s">
        <v>43</v>
      </c>
      <c r="J231" t="s">
        <v>41</v>
      </c>
      <c r="K231" s="6">
        <v>10</v>
      </c>
      <c r="L231" t="s">
        <v>38</v>
      </c>
    </row>
    <row r="232" spans="1:14" x14ac:dyDescent="0.25">
      <c r="A232" t="s">
        <v>194</v>
      </c>
      <c r="G232" t="s">
        <v>87</v>
      </c>
      <c r="H232" t="s">
        <v>43</v>
      </c>
      <c r="J232" t="s">
        <v>41</v>
      </c>
      <c r="K232" s="40">
        <f>K231</f>
        <v>10</v>
      </c>
      <c r="L232" t="s">
        <v>38</v>
      </c>
    </row>
    <row r="233" spans="1:14" x14ac:dyDescent="0.25">
      <c r="A233" s="4" t="s">
        <v>11</v>
      </c>
      <c r="B233" s="4"/>
      <c r="C233" s="4"/>
      <c r="D233" s="4"/>
      <c r="E233" s="4"/>
      <c r="F233" s="4"/>
      <c r="G233" s="4"/>
      <c r="H233" s="4"/>
      <c r="I233" s="4"/>
      <c r="J233" s="5"/>
      <c r="K233" s="5"/>
      <c r="L233" s="5"/>
      <c r="M233" s="5"/>
      <c r="N233" s="5"/>
    </row>
    <row r="234" spans="1:14" x14ac:dyDescent="0.25">
      <c r="A234" s="17" t="s">
        <v>99</v>
      </c>
      <c r="G234" t="s">
        <v>87</v>
      </c>
      <c r="H234" t="s">
        <v>43</v>
      </c>
      <c r="J234" t="s">
        <v>41</v>
      </c>
      <c r="K234" s="17">
        <v>12</v>
      </c>
      <c r="L234" t="s">
        <v>38</v>
      </c>
      <c r="N234" s="26" t="s">
        <v>172</v>
      </c>
    </row>
    <row r="235" spans="1:14" x14ac:dyDescent="0.25">
      <c r="A235" s="17" t="s">
        <v>100</v>
      </c>
      <c r="G235" t="s">
        <v>87</v>
      </c>
      <c r="H235" t="s">
        <v>43</v>
      </c>
      <c r="J235" t="s">
        <v>41</v>
      </c>
      <c r="K235" s="17">
        <v>12</v>
      </c>
      <c r="L235" t="s">
        <v>38</v>
      </c>
      <c r="N235" s="26" t="s">
        <v>172</v>
      </c>
    </row>
    <row r="236" spans="1:14" x14ac:dyDescent="0.25">
      <c r="A236" s="17" t="s">
        <v>215</v>
      </c>
      <c r="G236" t="s">
        <v>87</v>
      </c>
      <c r="H236" t="s">
        <v>43</v>
      </c>
      <c r="J236" t="s">
        <v>41</v>
      </c>
      <c r="K236" s="17">
        <v>0</v>
      </c>
      <c r="L236" t="s">
        <v>38</v>
      </c>
    </row>
    <row r="237" spans="1:14" x14ac:dyDescent="0.25">
      <c r="A237" s="17" t="s">
        <v>101</v>
      </c>
      <c r="G237" t="s">
        <v>87</v>
      </c>
      <c r="H237" t="s">
        <v>43</v>
      </c>
      <c r="J237" t="s">
        <v>41</v>
      </c>
      <c r="K237" s="17">
        <v>0</v>
      </c>
      <c r="L237" t="s">
        <v>38</v>
      </c>
    </row>
    <row r="238" spans="1:14" x14ac:dyDescent="0.25">
      <c r="A238" s="4" t="s">
        <v>12</v>
      </c>
      <c r="B238" s="4"/>
      <c r="C238" s="4"/>
      <c r="D238" s="4"/>
      <c r="E238" s="4"/>
      <c r="F238" s="4"/>
      <c r="G238" s="4"/>
      <c r="H238" s="4"/>
      <c r="I238" s="4"/>
      <c r="J238" s="5"/>
      <c r="K238" s="5"/>
      <c r="L238" s="5"/>
      <c r="M238" s="5"/>
      <c r="N238" s="5"/>
    </row>
    <row r="239" spans="1:14" x14ac:dyDescent="0.25">
      <c r="A239" s="17" t="s">
        <v>140</v>
      </c>
      <c r="G239" t="s">
        <v>87</v>
      </c>
      <c r="H239" t="s">
        <v>43</v>
      </c>
      <c r="J239" t="s">
        <v>41</v>
      </c>
      <c r="K239" s="17">
        <v>25</v>
      </c>
      <c r="L239" t="s">
        <v>38</v>
      </c>
      <c r="M239" t="s">
        <v>177</v>
      </c>
      <c r="N239" s="26" t="s">
        <v>172</v>
      </c>
    </row>
    <row r="240" spans="1:14" x14ac:dyDescent="0.25">
      <c r="A240" s="17" t="s">
        <v>146</v>
      </c>
      <c r="G240" t="s">
        <v>87</v>
      </c>
      <c r="H240" t="s">
        <v>43</v>
      </c>
      <c r="J240" t="s">
        <v>41</v>
      </c>
      <c r="K240" s="17">
        <v>13</v>
      </c>
      <c r="L240" t="s">
        <v>38</v>
      </c>
      <c r="M240" t="s">
        <v>178</v>
      </c>
      <c r="N240" s="26" t="s">
        <v>172</v>
      </c>
    </row>
    <row r="241" spans="1:14" x14ac:dyDescent="0.25">
      <c r="A241" s="17" t="s">
        <v>143</v>
      </c>
      <c r="G241" t="s">
        <v>87</v>
      </c>
      <c r="H241" t="s">
        <v>43</v>
      </c>
      <c r="J241" t="s">
        <v>41</v>
      </c>
      <c r="K241" s="17">
        <v>19</v>
      </c>
      <c r="L241" t="s">
        <v>38</v>
      </c>
      <c r="M241" t="s">
        <v>176</v>
      </c>
      <c r="N241" s="26" t="s">
        <v>172</v>
      </c>
    </row>
    <row r="242" spans="1:14" x14ac:dyDescent="0.25">
      <c r="A242" s="17" t="s">
        <v>107</v>
      </c>
      <c r="G242" t="s">
        <v>87</v>
      </c>
      <c r="H242" t="s">
        <v>43</v>
      </c>
      <c r="J242" t="s">
        <v>41</v>
      </c>
      <c r="K242" s="17">
        <v>9</v>
      </c>
      <c r="L242" t="s">
        <v>38</v>
      </c>
      <c r="M242" t="s">
        <v>180</v>
      </c>
      <c r="N242" s="26" t="s">
        <v>172</v>
      </c>
    </row>
    <row r="243" spans="1:14" x14ac:dyDescent="0.25">
      <c r="A243" s="17" t="s">
        <v>110</v>
      </c>
      <c r="G243" t="s">
        <v>87</v>
      </c>
      <c r="H243" t="s">
        <v>43</v>
      </c>
      <c r="J243" t="s">
        <v>41</v>
      </c>
      <c r="K243" s="17">
        <v>11</v>
      </c>
      <c r="L243" t="s">
        <v>38</v>
      </c>
      <c r="M243" s="26" t="s">
        <v>179</v>
      </c>
      <c r="N243" s="26" t="s">
        <v>172</v>
      </c>
    </row>
    <row r="244" spans="1:14" x14ac:dyDescent="0.25">
      <c r="A244" s="17" t="s">
        <v>153</v>
      </c>
      <c r="G244" t="s">
        <v>87</v>
      </c>
      <c r="H244" t="s">
        <v>43</v>
      </c>
      <c r="J244" t="s">
        <v>41</v>
      </c>
      <c r="K244" s="6">
        <f>AVERAGE(K240:K243)</f>
        <v>13</v>
      </c>
      <c r="L244" t="s">
        <v>38</v>
      </c>
      <c r="M244" s="26"/>
      <c r="N244" s="26"/>
    </row>
    <row r="245" spans="1:14" x14ac:dyDescent="0.25">
      <c r="A245" s="4" t="s">
        <v>13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A246" s="17" t="s">
        <v>247</v>
      </c>
      <c r="H246" t="s">
        <v>43</v>
      </c>
      <c r="J246" t="s">
        <v>41</v>
      </c>
      <c r="K246" s="17">
        <v>7.9</v>
      </c>
      <c r="L246" s="17" t="s">
        <v>38</v>
      </c>
      <c r="M246" t="s">
        <v>252</v>
      </c>
      <c r="N246" t="s">
        <v>172</v>
      </c>
    </row>
    <row r="247" spans="1:14" x14ac:dyDescent="0.25">
      <c r="A247" s="17" t="s">
        <v>248</v>
      </c>
      <c r="H247" t="s">
        <v>43</v>
      </c>
      <c r="J247" t="s">
        <v>41</v>
      </c>
      <c r="K247" s="17">
        <v>7.9</v>
      </c>
      <c r="L247" s="17" t="s">
        <v>38</v>
      </c>
      <c r="M247" t="s">
        <v>252</v>
      </c>
      <c r="N247" t="s">
        <v>172</v>
      </c>
    </row>
    <row r="248" spans="1:14" x14ac:dyDescent="0.25">
      <c r="A248" s="17" t="s">
        <v>249</v>
      </c>
      <c r="H248" t="s">
        <v>43</v>
      </c>
      <c r="J248" t="s">
        <v>41</v>
      </c>
      <c r="K248" s="17">
        <v>7.9</v>
      </c>
      <c r="L248" s="17" t="s">
        <v>38</v>
      </c>
      <c r="M248" t="s">
        <v>252</v>
      </c>
      <c r="N248" t="s">
        <v>172</v>
      </c>
    </row>
    <row r="249" spans="1:14" x14ac:dyDescent="0.25">
      <c r="A249" s="17" t="s">
        <v>251</v>
      </c>
      <c r="H249" t="s">
        <v>43</v>
      </c>
      <c r="J249" t="s">
        <v>41</v>
      </c>
      <c r="K249" s="17">
        <v>7.9</v>
      </c>
      <c r="L249" s="17" t="s">
        <v>38</v>
      </c>
      <c r="M249" t="s">
        <v>252</v>
      </c>
      <c r="N249" t="s">
        <v>172</v>
      </c>
    </row>
    <row r="250" spans="1:14" x14ac:dyDescent="0.25">
      <c r="A250" s="4" t="s">
        <v>14</v>
      </c>
      <c r="B250" s="4"/>
      <c r="C250" s="4"/>
      <c r="D250" s="4"/>
      <c r="E250" s="4"/>
      <c r="F250" s="4"/>
      <c r="G250" s="4"/>
      <c r="H250" s="4"/>
      <c r="I250" s="4"/>
      <c r="J250" s="5"/>
      <c r="K250" s="5"/>
      <c r="L250" s="5"/>
      <c r="M250" s="5"/>
      <c r="N250" s="5"/>
    </row>
    <row r="251" spans="1:14" x14ac:dyDescent="0.25">
      <c r="A251" s="6"/>
      <c r="B251" t="s">
        <v>81</v>
      </c>
      <c r="G251" t="s">
        <v>87</v>
      </c>
      <c r="H251" t="s">
        <v>43</v>
      </c>
      <c r="J251" t="s">
        <v>41</v>
      </c>
      <c r="K251" s="29">
        <v>15.75</v>
      </c>
      <c r="L251" t="s">
        <v>38</v>
      </c>
      <c r="M251" t="s">
        <v>173</v>
      </c>
      <c r="N251" t="s">
        <v>94</v>
      </c>
    </row>
    <row r="252" spans="1:14" x14ac:dyDescent="0.25">
      <c r="A252" s="4" t="s">
        <v>23</v>
      </c>
      <c r="B252" s="4"/>
      <c r="C252" s="4"/>
      <c r="D252" s="4"/>
      <c r="E252" s="4"/>
      <c r="F252" s="4"/>
      <c r="G252" s="4"/>
      <c r="H252" s="4"/>
      <c r="I252" s="4"/>
      <c r="J252" s="5"/>
      <c r="K252" s="5"/>
      <c r="L252" s="5"/>
      <c r="M252" s="5"/>
      <c r="N252" s="5"/>
    </row>
    <row r="253" spans="1:14" x14ac:dyDescent="0.25">
      <c r="A253" t="s">
        <v>54</v>
      </c>
      <c r="G253" t="s">
        <v>87</v>
      </c>
      <c r="H253" t="s">
        <v>43</v>
      </c>
      <c r="J253" t="s">
        <v>41</v>
      </c>
      <c r="K253" s="6">
        <v>2.2999999999999998</v>
      </c>
      <c r="L253" t="s">
        <v>38</v>
      </c>
      <c r="M253" t="s">
        <v>333</v>
      </c>
    </row>
    <row r="254" spans="1:14" x14ac:dyDescent="0.25">
      <c r="A254" t="s">
        <v>95</v>
      </c>
      <c r="G254" t="s">
        <v>87</v>
      </c>
      <c r="H254" t="s">
        <v>43</v>
      </c>
      <c r="J254" t="s">
        <v>41</v>
      </c>
      <c r="K254" s="6">
        <v>18.100000000000001</v>
      </c>
      <c r="L254" t="s">
        <v>38</v>
      </c>
      <c r="M254" t="s">
        <v>333</v>
      </c>
    </row>
    <row r="255" spans="1:14" x14ac:dyDescent="0.25">
      <c r="A255" t="s">
        <v>358</v>
      </c>
      <c r="G255" t="s">
        <v>87</v>
      </c>
      <c r="H255" t="s">
        <v>43</v>
      </c>
      <c r="J255" t="s">
        <v>41</v>
      </c>
      <c r="K255" s="6">
        <v>20</v>
      </c>
      <c r="L255" t="s">
        <v>38</v>
      </c>
      <c r="M255" s="6" t="s">
        <v>367</v>
      </c>
    </row>
    <row r="256" spans="1:14" x14ac:dyDescent="0.25">
      <c r="A256" t="s">
        <v>273</v>
      </c>
      <c r="G256" t="s">
        <v>87</v>
      </c>
      <c r="H256" t="s">
        <v>43</v>
      </c>
      <c r="J256" t="s">
        <v>41</v>
      </c>
      <c r="K256" s="6">
        <v>0.95</v>
      </c>
      <c r="L256" t="s">
        <v>38</v>
      </c>
      <c r="M256" t="s">
        <v>333</v>
      </c>
    </row>
    <row r="257" spans="1:14" x14ac:dyDescent="0.25">
      <c r="A257" s="4" t="s">
        <v>15</v>
      </c>
      <c r="B257" s="4"/>
      <c r="C257" s="4"/>
      <c r="D257" s="4"/>
      <c r="E257" s="4"/>
      <c r="F257" s="4"/>
      <c r="G257" s="4"/>
      <c r="H257" s="4"/>
      <c r="I257" s="4"/>
      <c r="J257" s="5"/>
      <c r="K257" s="5"/>
      <c r="L257" s="5"/>
      <c r="M257" s="5"/>
      <c r="N257" s="5"/>
    </row>
    <row r="258" spans="1:14" x14ac:dyDescent="0.25">
      <c r="A258" t="s">
        <v>15</v>
      </c>
      <c r="G258" t="s">
        <v>87</v>
      </c>
      <c r="H258" t="s">
        <v>43</v>
      </c>
      <c r="J258" t="s">
        <v>41</v>
      </c>
      <c r="K258" s="6">
        <v>16.5</v>
      </c>
      <c r="L258" t="s">
        <v>38</v>
      </c>
      <c r="M258" s="6" t="s">
        <v>336</v>
      </c>
      <c r="N258" s="26" t="s">
        <v>221</v>
      </c>
    </row>
    <row r="259" spans="1:14" x14ac:dyDescent="0.25">
      <c r="A259" s="4" t="s">
        <v>20</v>
      </c>
      <c r="B259" s="4"/>
      <c r="C259" s="4"/>
      <c r="D259" s="4"/>
      <c r="E259" s="4"/>
      <c r="F259" s="4"/>
      <c r="G259" s="4"/>
      <c r="H259" s="4"/>
      <c r="I259" s="4"/>
      <c r="J259" s="5"/>
      <c r="K259" s="5"/>
      <c r="L259" s="5"/>
      <c r="M259" s="5"/>
      <c r="N259" s="5"/>
    </row>
    <row r="260" spans="1:14" x14ac:dyDescent="0.25">
      <c r="B260" t="s">
        <v>213</v>
      </c>
      <c r="H260" t="s">
        <v>43</v>
      </c>
      <c r="J260" t="s">
        <v>41</v>
      </c>
      <c r="K260">
        <v>34.200000000000003</v>
      </c>
      <c r="L260" t="s">
        <v>38</v>
      </c>
      <c r="M260" t="s">
        <v>220</v>
      </c>
      <c r="N260" s="26" t="s">
        <v>221</v>
      </c>
    </row>
    <row r="261" spans="1:14" x14ac:dyDescent="0.25">
      <c r="A261" s="4" t="s">
        <v>22</v>
      </c>
      <c r="B261" s="4"/>
      <c r="C261" s="4"/>
      <c r="D261" s="4"/>
      <c r="E261" s="4"/>
      <c r="F261" s="4"/>
      <c r="G261" s="4"/>
      <c r="H261" s="4"/>
      <c r="I261" s="4"/>
      <c r="J261" s="5"/>
      <c r="K261" s="5"/>
      <c r="L261" s="5"/>
      <c r="M261" s="5"/>
      <c r="N261" s="5"/>
    </row>
    <row r="262" spans="1:14" x14ac:dyDescent="0.25">
      <c r="A262" t="s">
        <v>131</v>
      </c>
      <c r="G262" t="s">
        <v>87</v>
      </c>
      <c r="H262" t="s">
        <v>43</v>
      </c>
      <c r="J262" t="s">
        <v>41</v>
      </c>
      <c r="K262" s="23">
        <v>1</v>
      </c>
      <c r="L262" t="s">
        <v>38</v>
      </c>
    </row>
    <row r="263" spans="1:14" x14ac:dyDescent="0.25">
      <c r="A263" s="4" t="s">
        <v>29</v>
      </c>
      <c r="B263" s="4"/>
      <c r="C263" s="4"/>
      <c r="D263" s="4"/>
      <c r="E263" s="4"/>
      <c r="F263" s="4"/>
      <c r="G263" s="4"/>
      <c r="H263" s="4"/>
      <c r="I263" s="4"/>
      <c r="J263" s="5"/>
      <c r="K263" s="5"/>
      <c r="L263" s="5"/>
      <c r="M263" s="5"/>
      <c r="N263" s="5"/>
    </row>
    <row r="264" spans="1:14" x14ac:dyDescent="0.25">
      <c r="A264" t="s">
        <v>233</v>
      </c>
      <c r="H264" t="s">
        <v>43</v>
      </c>
      <c r="J264" t="s">
        <v>41</v>
      </c>
      <c r="K264" s="17">
        <v>24.7</v>
      </c>
      <c r="L264" t="s">
        <v>38</v>
      </c>
      <c r="M264" t="s">
        <v>241</v>
      </c>
      <c r="N264" s="26" t="s">
        <v>172</v>
      </c>
    </row>
    <row r="265" spans="1:14" x14ac:dyDescent="0.25">
      <c r="A265" t="s">
        <v>236</v>
      </c>
      <c r="H265" t="s">
        <v>43</v>
      </c>
      <c r="J265" t="s">
        <v>41</v>
      </c>
      <c r="K265" s="17">
        <v>8</v>
      </c>
      <c r="L265" t="s">
        <v>38</v>
      </c>
      <c r="M265" t="s">
        <v>171</v>
      </c>
      <c r="N265" s="26" t="s">
        <v>172</v>
      </c>
    </row>
    <row r="266" spans="1:14" x14ac:dyDescent="0.25">
      <c r="A266" t="s">
        <v>234</v>
      </c>
      <c r="H266" t="s">
        <v>43</v>
      </c>
      <c r="J266" t="s">
        <v>41</v>
      </c>
      <c r="K266">
        <v>7.9</v>
      </c>
      <c r="L266" t="s">
        <v>38</v>
      </c>
      <c r="M266" t="s">
        <v>254</v>
      </c>
      <c r="N266" s="26" t="s">
        <v>172</v>
      </c>
    </row>
    <row r="267" spans="1:14" x14ac:dyDescent="0.25">
      <c r="A267" t="s">
        <v>237</v>
      </c>
      <c r="H267" t="s">
        <v>43</v>
      </c>
      <c r="J267" t="s">
        <v>41</v>
      </c>
      <c r="K267">
        <v>4.7</v>
      </c>
      <c r="L267" t="s">
        <v>38</v>
      </c>
      <c r="M267" t="s">
        <v>242</v>
      </c>
      <c r="N267" s="26" t="s">
        <v>172</v>
      </c>
    </row>
    <row r="270" spans="1:14" x14ac:dyDescent="0.25">
      <c r="A270" s="2" t="s">
        <v>58</v>
      </c>
      <c r="B270" s="2"/>
      <c r="C270" s="2"/>
      <c r="D270" s="2"/>
      <c r="E270" s="2"/>
      <c r="F270" s="2"/>
      <c r="G270" s="2"/>
      <c r="H270" s="2"/>
      <c r="I270" s="2"/>
      <c r="J270" s="3"/>
      <c r="K270" s="3"/>
      <c r="L270" s="3"/>
      <c r="M270" s="3"/>
      <c r="N270" s="3"/>
    </row>
    <row r="271" spans="1:14" x14ac:dyDescent="0.25">
      <c r="J271" s="7" t="s">
        <v>85</v>
      </c>
      <c r="K271" s="7">
        <v>0</v>
      </c>
      <c r="L271" s="7" t="s">
        <v>38</v>
      </c>
      <c r="M271" s="7" t="s">
        <v>44</v>
      </c>
    </row>
    <row r="272" spans="1:14" x14ac:dyDescent="0.25">
      <c r="J272" s="7" t="s">
        <v>86</v>
      </c>
      <c r="K272" s="7">
        <v>0</v>
      </c>
      <c r="L272" s="7" t="s">
        <v>38</v>
      </c>
      <c r="M272" s="7" t="s">
        <v>44</v>
      </c>
    </row>
    <row r="273" spans="1:14" x14ac:dyDescent="0.25">
      <c r="A273" s="4" t="s">
        <v>10</v>
      </c>
      <c r="B273" s="4"/>
      <c r="C273" s="4"/>
      <c r="D273" s="4"/>
      <c r="E273" s="4"/>
      <c r="F273" s="4"/>
      <c r="G273" s="4"/>
      <c r="H273" s="4"/>
      <c r="I273" s="4"/>
      <c r="J273" s="5"/>
      <c r="K273" s="5"/>
      <c r="L273" s="5"/>
      <c r="M273" s="5"/>
      <c r="N273" s="5"/>
    </row>
    <row r="274" spans="1:14" x14ac:dyDescent="0.25">
      <c r="A274" t="s">
        <v>185</v>
      </c>
      <c r="C274" t="s">
        <v>37</v>
      </c>
      <c r="J274" t="s">
        <v>85</v>
      </c>
      <c r="K274">
        <v>79</v>
      </c>
      <c r="L274" t="s">
        <v>38</v>
      </c>
      <c r="N274" t="s">
        <v>92</v>
      </c>
    </row>
    <row r="275" spans="1:14" x14ac:dyDescent="0.25">
      <c r="A275" t="s">
        <v>185</v>
      </c>
      <c r="C275" t="s">
        <v>37</v>
      </c>
      <c r="F275" t="s">
        <v>116</v>
      </c>
      <c r="J275" t="s">
        <v>86</v>
      </c>
      <c r="K275">
        <v>19</v>
      </c>
      <c r="L275" t="s">
        <v>38</v>
      </c>
      <c r="N275" t="s">
        <v>92</v>
      </c>
    </row>
    <row r="276" spans="1:14" x14ac:dyDescent="0.25">
      <c r="A276" t="s">
        <v>185</v>
      </c>
      <c r="C276" t="s">
        <v>37</v>
      </c>
      <c r="F276" t="s">
        <v>117</v>
      </c>
      <c r="J276" t="s">
        <v>86</v>
      </c>
      <c r="K276">
        <v>2</v>
      </c>
      <c r="L276" t="s">
        <v>38</v>
      </c>
      <c r="N276" t="s">
        <v>92</v>
      </c>
    </row>
    <row r="277" spans="1:14" x14ac:dyDescent="0.25">
      <c r="A277" t="s">
        <v>190</v>
      </c>
      <c r="C277" t="s">
        <v>37</v>
      </c>
      <c r="J277" t="s">
        <v>85</v>
      </c>
      <c r="K277">
        <v>100</v>
      </c>
      <c r="L277" t="s">
        <v>38</v>
      </c>
      <c r="N277" t="s">
        <v>92</v>
      </c>
    </row>
    <row r="278" spans="1:14" x14ac:dyDescent="0.25">
      <c r="A278" s="8" t="s">
        <v>186</v>
      </c>
      <c r="B278" s="8"/>
      <c r="C278" s="8" t="s">
        <v>48</v>
      </c>
      <c r="D278" s="8"/>
      <c r="E278" s="8"/>
      <c r="F278" s="8"/>
      <c r="G278" s="8"/>
      <c r="H278" s="8"/>
      <c r="I278" s="8"/>
      <c r="J278" t="s">
        <v>85</v>
      </c>
      <c r="K278" s="8">
        <v>72</v>
      </c>
      <c r="L278" s="8" t="s">
        <v>38</v>
      </c>
      <c r="M278" s="8"/>
      <c r="N278" t="s">
        <v>92</v>
      </c>
    </row>
    <row r="279" spans="1:14" x14ac:dyDescent="0.25">
      <c r="A279" s="8" t="s">
        <v>186</v>
      </c>
      <c r="B279" s="8"/>
      <c r="C279" s="8" t="s">
        <v>48</v>
      </c>
      <c r="D279" s="8"/>
      <c r="E279" s="8"/>
      <c r="F279" s="8" t="s">
        <v>118</v>
      </c>
      <c r="G279" s="8"/>
      <c r="H279" s="8"/>
      <c r="I279" s="8"/>
      <c r="J279" t="s">
        <v>86</v>
      </c>
      <c r="K279" s="8">
        <v>19</v>
      </c>
      <c r="L279" s="8" t="s">
        <v>38</v>
      </c>
      <c r="M279" s="8"/>
      <c r="N279" t="s">
        <v>92</v>
      </c>
    </row>
    <row r="280" spans="1:14" x14ac:dyDescent="0.25">
      <c r="A280" s="8" t="s">
        <v>186</v>
      </c>
      <c r="B280" s="8"/>
      <c r="C280" s="8" t="s">
        <v>48</v>
      </c>
      <c r="D280" s="8"/>
      <c r="E280" s="8"/>
      <c r="F280" s="8" t="s">
        <v>119</v>
      </c>
      <c r="G280" s="8"/>
      <c r="H280" s="8"/>
      <c r="I280" s="8"/>
      <c r="J280" t="s">
        <v>86</v>
      </c>
      <c r="K280" s="8">
        <v>9</v>
      </c>
      <c r="L280" s="8" t="s">
        <v>38</v>
      </c>
      <c r="M280" s="8"/>
      <c r="N280" t="s">
        <v>92</v>
      </c>
    </row>
    <row r="281" spans="1:14" x14ac:dyDescent="0.25">
      <c r="A281" s="8" t="s">
        <v>191</v>
      </c>
      <c r="B281" s="8"/>
      <c r="C281" s="8" t="s">
        <v>48</v>
      </c>
      <c r="D281" s="8"/>
      <c r="E281" s="8"/>
      <c r="F281" s="8"/>
      <c r="G281" s="8"/>
      <c r="H281" s="8"/>
      <c r="I281" s="8"/>
      <c r="J281" t="s">
        <v>85</v>
      </c>
      <c r="K281" s="9">
        <v>91</v>
      </c>
      <c r="L281" s="8" t="s">
        <v>38</v>
      </c>
      <c r="M281" s="8"/>
      <c r="N281" t="s">
        <v>92</v>
      </c>
    </row>
    <row r="282" spans="1:14" x14ac:dyDescent="0.25">
      <c r="A282" s="8" t="s">
        <v>191</v>
      </c>
      <c r="B282" s="8"/>
      <c r="C282" s="8" t="s">
        <v>48</v>
      </c>
      <c r="D282" s="8"/>
      <c r="E282" s="8"/>
      <c r="F282" s="8" t="s">
        <v>119</v>
      </c>
      <c r="G282" s="8"/>
      <c r="H282" s="8"/>
      <c r="I282" s="8"/>
      <c r="J282" t="s">
        <v>86</v>
      </c>
      <c r="K282" s="9">
        <v>9</v>
      </c>
      <c r="L282" s="9" t="s">
        <v>38</v>
      </c>
      <c r="M282" s="8"/>
      <c r="N282" t="s">
        <v>92</v>
      </c>
    </row>
    <row r="283" spans="1:14" x14ac:dyDescent="0.25">
      <c r="A283" t="s">
        <v>187</v>
      </c>
      <c r="B283" s="8"/>
      <c r="C283" s="9" t="s">
        <v>90</v>
      </c>
      <c r="D283" s="8"/>
      <c r="E283" s="8"/>
      <c r="F283" s="8"/>
      <c r="G283" s="8"/>
      <c r="H283" s="8"/>
      <c r="I283" s="8"/>
      <c r="J283" t="s">
        <v>85</v>
      </c>
      <c r="K283" s="9">
        <v>80</v>
      </c>
      <c r="L283" s="9" t="s">
        <v>38</v>
      </c>
      <c r="M283" s="8"/>
      <c r="N283" t="s">
        <v>92</v>
      </c>
    </row>
    <row r="284" spans="1:14" x14ac:dyDescent="0.25">
      <c r="A284" t="s">
        <v>187</v>
      </c>
      <c r="B284" s="8"/>
      <c r="C284" s="9" t="s">
        <v>90</v>
      </c>
      <c r="D284" s="8"/>
      <c r="E284" s="8"/>
      <c r="F284" s="9" t="s">
        <v>120</v>
      </c>
      <c r="G284" s="8"/>
      <c r="H284" s="8"/>
      <c r="I284" s="8"/>
      <c r="J284" t="s">
        <v>86</v>
      </c>
      <c r="K284" s="9">
        <v>20</v>
      </c>
      <c r="L284" s="9" t="s">
        <v>38</v>
      </c>
      <c r="M284" s="8"/>
      <c r="N284" t="s">
        <v>92</v>
      </c>
    </row>
    <row r="285" spans="1:14" x14ac:dyDescent="0.25">
      <c r="A285" t="s">
        <v>192</v>
      </c>
      <c r="B285" s="8"/>
      <c r="C285" s="9" t="s">
        <v>90</v>
      </c>
      <c r="D285" s="8"/>
      <c r="E285" s="8"/>
      <c r="F285" s="9"/>
      <c r="G285" s="8"/>
      <c r="H285" s="8"/>
      <c r="I285" s="8"/>
      <c r="J285" t="s">
        <v>85</v>
      </c>
      <c r="K285" s="9">
        <v>100</v>
      </c>
      <c r="L285" s="9" t="s">
        <v>38</v>
      </c>
      <c r="M285" s="8"/>
      <c r="N285" t="s">
        <v>92</v>
      </c>
    </row>
    <row r="286" spans="1:14" x14ac:dyDescent="0.25">
      <c r="A286" t="s">
        <v>188</v>
      </c>
      <c r="B286" s="8"/>
      <c r="C286" s="9" t="s">
        <v>91</v>
      </c>
      <c r="D286" s="8"/>
      <c r="E286" s="8"/>
      <c r="F286" s="8"/>
      <c r="G286" s="8"/>
      <c r="H286" s="8"/>
      <c r="I286" s="8"/>
      <c r="J286" t="s">
        <v>85</v>
      </c>
      <c r="K286" s="9">
        <v>53</v>
      </c>
      <c r="L286" s="9" t="s">
        <v>38</v>
      </c>
      <c r="M286" s="8"/>
      <c r="N286" t="s">
        <v>92</v>
      </c>
    </row>
    <row r="287" spans="1:14" x14ac:dyDescent="0.25">
      <c r="A287" t="s">
        <v>188</v>
      </c>
      <c r="B287" s="8"/>
      <c r="C287" s="9" t="s">
        <v>91</v>
      </c>
      <c r="D287" s="8"/>
      <c r="E287" s="8"/>
      <c r="F287" s="9" t="s">
        <v>344</v>
      </c>
      <c r="G287" s="8"/>
      <c r="H287" s="8"/>
      <c r="I287" s="8"/>
      <c r="J287" t="s">
        <v>86</v>
      </c>
      <c r="K287" s="9">
        <v>20</v>
      </c>
      <c r="L287" s="9" t="s">
        <v>38</v>
      </c>
      <c r="M287" s="10" t="s">
        <v>343</v>
      </c>
      <c r="N287" t="s">
        <v>92</v>
      </c>
    </row>
    <row r="288" spans="1:14" x14ac:dyDescent="0.25">
      <c r="A288" t="s">
        <v>188</v>
      </c>
      <c r="B288" s="8"/>
      <c r="C288" s="9" t="s">
        <v>91</v>
      </c>
      <c r="D288" s="8"/>
      <c r="E288" s="8"/>
      <c r="F288" s="9" t="s">
        <v>184</v>
      </c>
      <c r="G288" s="8"/>
      <c r="H288" s="8"/>
      <c r="I288" s="8"/>
      <c r="J288" t="s">
        <v>86</v>
      </c>
      <c r="K288" s="9">
        <v>27</v>
      </c>
      <c r="L288" s="9" t="s">
        <v>38</v>
      </c>
      <c r="M288" s="8"/>
      <c r="N288" t="s">
        <v>92</v>
      </c>
    </row>
    <row r="289" spans="1:14" x14ac:dyDescent="0.25">
      <c r="A289" t="s">
        <v>193</v>
      </c>
      <c r="B289" s="8"/>
      <c r="C289" s="9" t="s">
        <v>91</v>
      </c>
      <c r="D289" s="8"/>
      <c r="E289" s="8"/>
      <c r="F289" s="9"/>
      <c r="G289" s="8"/>
      <c r="H289" s="8"/>
      <c r="I289" s="8"/>
      <c r="J289" t="s">
        <v>85</v>
      </c>
      <c r="K289" s="9">
        <v>73</v>
      </c>
      <c r="L289" s="9" t="s">
        <v>38</v>
      </c>
      <c r="M289" s="8"/>
      <c r="N289" t="s">
        <v>92</v>
      </c>
    </row>
    <row r="290" spans="1:14" x14ac:dyDescent="0.25">
      <c r="A290" t="s">
        <v>193</v>
      </c>
      <c r="B290" s="8"/>
      <c r="C290" s="9" t="s">
        <v>91</v>
      </c>
      <c r="D290" s="8"/>
      <c r="E290" s="8"/>
      <c r="F290" s="9" t="s">
        <v>184</v>
      </c>
      <c r="G290" s="8"/>
      <c r="H290" s="8"/>
      <c r="I290" s="8"/>
      <c r="J290" t="s">
        <v>86</v>
      </c>
      <c r="K290" s="9">
        <v>27</v>
      </c>
      <c r="L290" s="9" t="s">
        <v>38</v>
      </c>
      <c r="M290" s="8"/>
      <c r="N290" t="s">
        <v>92</v>
      </c>
    </row>
    <row r="291" spans="1:14" x14ac:dyDescent="0.25">
      <c r="A291" t="s">
        <v>295</v>
      </c>
      <c r="B291" s="10"/>
      <c r="C291" s="9" t="s">
        <v>37</v>
      </c>
      <c r="D291" s="10"/>
      <c r="E291" s="10"/>
      <c r="F291" s="10"/>
      <c r="G291" s="10"/>
      <c r="H291" s="10"/>
      <c r="I291" s="10"/>
      <c r="J291" t="s">
        <v>85</v>
      </c>
      <c r="K291" s="20">
        <v>100</v>
      </c>
      <c r="L291" s="9" t="s">
        <v>38</v>
      </c>
      <c r="M291" s="8" t="s">
        <v>307</v>
      </c>
      <c r="N291" s="8"/>
    </row>
    <row r="292" spans="1:14" x14ac:dyDescent="0.25">
      <c r="A292" t="s">
        <v>296</v>
      </c>
      <c r="B292" s="10"/>
      <c r="C292" s="8" t="s">
        <v>48</v>
      </c>
      <c r="D292" s="10"/>
      <c r="E292" s="10"/>
      <c r="F292" s="10"/>
      <c r="G292" s="10"/>
      <c r="H292" s="10"/>
      <c r="I292" s="10"/>
      <c r="J292" t="s">
        <v>85</v>
      </c>
      <c r="K292" s="20">
        <v>100</v>
      </c>
      <c r="L292" s="9" t="s">
        <v>38</v>
      </c>
      <c r="M292" s="8" t="s">
        <v>307</v>
      </c>
      <c r="N292" s="8"/>
    </row>
    <row r="293" spans="1:14" x14ac:dyDescent="0.25">
      <c r="A293" t="s">
        <v>297</v>
      </c>
      <c r="B293" s="10"/>
      <c r="C293" s="9" t="s">
        <v>90</v>
      </c>
      <c r="D293" s="10"/>
      <c r="E293" s="10"/>
      <c r="F293" s="10"/>
      <c r="G293" s="10"/>
      <c r="H293" s="10"/>
      <c r="I293" s="10"/>
      <c r="J293" t="s">
        <v>85</v>
      </c>
      <c r="K293" s="20">
        <v>100</v>
      </c>
      <c r="L293" s="9" t="s">
        <v>38</v>
      </c>
      <c r="M293" s="8" t="s">
        <v>307</v>
      </c>
      <c r="N293" s="8"/>
    </row>
    <row r="294" spans="1:14" x14ac:dyDescent="0.25">
      <c r="A294" t="s">
        <v>298</v>
      </c>
      <c r="B294" s="10"/>
      <c r="C294" s="9" t="s">
        <v>91</v>
      </c>
      <c r="D294" s="10"/>
      <c r="E294" s="10"/>
      <c r="F294" s="10"/>
      <c r="G294" s="10"/>
      <c r="H294" s="10"/>
      <c r="I294" s="10"/>
      <c r="J294" t="s">
        <v>85</v>
      </c>
      <c r="K294" s="20">
        <v>100</v>
      </c>
      <c r="L294" s="9" t="s">
        <v>38</v>
      </c>
      <c r="M294" s="8" t="s">
        <v>307</v>
      </c>
      <c r="N294" s="8"/>
    </row>
    <row r="295" spans="1:14" x14ac:dyDescent="0.25">
      <c r="A295" s="4" t="s">
        <v>11</v>
      </c>
      <c r="B295" s="4"/>
      <c r="C295" s="4"/>
      <c r="D295" s="4"/>
      <c r="E295" s="4"/>
      <c r="F295" s="4"/>
      <c r="G295" s="4"/>
      <c r="H295" s="4"/>
      <c r="I295" s="4"/>
      <c r="J295" s="5"/>
      <c r="K295" s="5"/>
      <c r="L295" s="5"/>
      <c r="M295" s="5"/>
      <c r="N295" s="5"/>
    </row>
    <row r="296" spans="1:14" x14ac:dyDescent="0.25">
      <c r="A296" s="17" t="s">
        <v>99</v>
      </c>
      <c r="B296" s="8"/>
      <c r="C296" s="9" t="s">
        <v>105</v>
      </c>
      <c r="D296" s="8"/>
      <c r="E296" s="8"/>
      <c r="F296" s="9"/>
      <c r="G296" s="8"/>
      <c r="H296" s="8"/>
      <c r="I296" s="8"/>
      <c r="J296" t="s">
        <v>85</v>
      </c>
      <c r="K296" s="11">
        <v>100</v>
      </c>
      <c r="L296" s="9" t="s">
        <v>38</v>
      </c>
      <c r="M296" s="10" t="s">
        <v>104</v>
      </c>
    </row>
    <row r="297" spans="1:14" x14ac:dyDescent="0.25">
      <c r="A297" s="17" t="s">
        <v>100</v>
      </c>
      <c r="B297" s="8"/>
      <c r="C297" s="9" t="s">
        <v>105</v>
      </c>
      <c r="D297" s="8"/>
      <c r="E297" s="8"/>
      <c r="F297" s="9"/>
      <c r="G297" s="8"/>
      <c r="H297" s="8"/>
      <c r="I297" s="8"/>
      <c r="J297" t="s">
        <v>85</v>
      </c>
      <c r="K297" s="9">
        <v>50</v>
      </c>
      <c r="L297" s="9" t="s">
        <v>38</v>
      </c>
      <c r="M297" s="8"/>
    </row>
    <row r="298" spans="1:14" x14ac:dyDescent="0.25">
      <c r="A298" s="17" t="s">
        <v>100</v>
      </c>
      <c r="B298" s="8"/>
      <c r="C298" s="9" t="s">
        <v>105</v>
      </c>
      <c r="D298" s="8"/>
      <c r="E298" s="8"/>
      <c r="F298" s="9" t="s">
        <v>121</v>
      </c>
      <c r="G298" s="8"/>
      <c r="H298" s="8"/>
      <c r="I298" s="8"/>
      <c r="J298" t="s">
        <v>86</v>
      </c>
      <c r="K298" s="9">
        <v>50</v>
      </c>
      <c r="L298" s="9" t="s">
        <v>38</v>
      </c>
      <c r="M298" s="8"/>
    </row>
    <row r="299" spans="1:14" x14ac:dyDescent="0.25">
      <c r="A299" s="17" t="s">
        <v>215</v>
      </c>
      <c r="B299" s="8"/>
      <c r="C299" s="11" t="s">
        <v>106</v>
      </c>
      <c r="D299" s="8"/>
      <c r="E299" s="8"/>
      <c r="F299" s="9"/>
      <c r="G299" s="8"/>
      <c r="H299" s="8"/>
      <c r="I299" s="8"/>
      <c r="J299" t="s">
        <v>85</v>
      </c>
      <c r="K299" s="18">
        <v>20</v>
      </c>
      <c r="L299" s="9" t="s">
        <v>38</v>
      </c>
      <c r="M299" s="10" t="s">
        <v>216</v>
      </c>
    </row>
    <row r="300" spans="1:14" x14ac:dyDescent="0.25">
      <c r="A300" s="17" t="s">
        <v>101</v>
      </c>
      <c r="B300" s="8"/>
      <c r="C300" s="9" t="s">
        <v>106</v>
      </c>
      <c r="D300" s="8"/>
      <c r="E300" s="8"/>
      <c r="F300" s="9"/>
      <c r="G300" s="8"/>
      <c r="H300" s="8"/>
      <c r="I300" s="8"/>
      <c r="J300" t="s">
        <v>85</v>
      </c>
      <c r="K300" s="18">
        <v>19</v>
      </c>
      <c r="L300" s="9" t="s">
        <v>38</v>
      </c>
      <c r="M300" s="19"/>
    </row>
    <row r="301" spans="1:14" x14ac:dyDescent="0.25">
      <c r="A301" s="17" t="s">
        <v>101</v>
      </c>
      <c r="B301" s="8"/>
      <c r="C301" s="9" t="s">
        <v>106</v>
      </c>
      <c r="D301" s="8"/>
      <c r="E301" s="8"/>
      <c r="F301" t="s">
        <v>197</v>
      </c>
      <c r="G301" s="8"/>
      <c r="H301" s="8"/>
      <c r="I301" s="8"/>
      <c r="J301" t="s">
        <v>86</v>
      </c>
      <c r="K301" s="28">
        <f>0.02*0.5*100/(844/1000)/0.9</f>
        <v>1.3164823591363877</v>
      </c>
      <c r="L301" s="9" t="s">
        <v>38</v>
      </c>
      <c r="M301" s="19" t="s">
        <v>198</v>
      </c>
      <c r="N301" s="9" t="s">
        <v>199</v>
      </c>
    </row>
    <row r="302" spans="1:14" x14ac:dyDescent="0.25">
      <c r="A302" s="4" t="s">
        <v>12</v>
      </c>
      <c r="B302" s="4"/>
      <c r="C302" s="4"/>
      <c r="D302" s="4"/>
      <c r="E302" s="4"/>
      <c r="F302" s="4"/>
      <c r="G302" s="4"/>
      <c r="H302" s="4"/>
      <c r="I302" s="4"/>
      <c r="J302" s="5"/>
      <c r="K302" s="5"/>
      <c r="L302" s="5"/>
      <c r="M302" s="5"/>
      <c r="N302" s="5"/>
    </row>
    <row r="303" spans="1:14" x14ac:dyDescent="0.25">
      <c r="A303" s="17" t="s">
        <v>140</v>
      </c>
      <c r="C303" s="9" t="s">
        <v>141</v>
      </c>
      <c r="J303" t="s">
        <v>85</v>
      </c>
      <c r="K303" s="18">
        <v>100</v>
      </c>
      <c r="L303" s="17" t="s">
        <v>38</v>
      </c>
    </row>
    <row r="304" spans="1:14" x14ac:dyDescent="0.25">
      <c r="A304" s="17" t="s">
        <v>146</v>
      </c>
      <c r="C304" s="9" t="s">
        <v>152</v>
      </c>
      <c r="J304" t="s">
        <v>85</v>
      </c>
      <c r="K304" s="18">
        <v>100</v>
      </c>
      <c r="L304" s="17" t="s">
        <v>38</v>
      </c>
    </row>
    <row r="305" spans="1:14" x14ac:dyDescent="0.25">
      <c r="A305" s="17" t="s">
        <v>142</v>
      </c>
      <c r="C305" s="9" t="s">
        <v>148</v>
      </c>
      <c r="J305" t="s">
        <v>85</v>
      </c>
      <c r="K305" s="18">
        <v>100</v>
      </c>
      <c r="L305" s="17" t="s">
        <v>38</v>
      </c>
    </row>
    <row r="306" spans="1:14" x14ac:dyDescent="0.25">
      <c r="A306" s="17" t="s">
        <v>143</v>
      </c>
      <c r="C306" s="9" t="s">
        <v>149</v>
      </c>
      <c r="J306" t="s">
        <v>85</v>
      </c>
      <c r="K306" s="18">
        <v>100</v>
      </c>
      <c r="L306" s="17" t="s">
        <v>38</v>
      </c>
    </row>
    <row r="307" spans="1:14" x14ac:dyDescent="0.25">
      <c r="A307" s="17" t="s">
        <v>144</v>
      </c>
      <c r="C307" s="9" t="s">
        <v>150</v>
      </c>
      <c r="J307" t="s">
        <v>85</v>
      </c>
      <c r="K307" s="18">
        <v>100</v>
      </c>
      <c r="L307" s="17" t="s">
        <v>38</v>
      </c>
    </row>
    <row r="308" spans="1:14" x14ac:dyDescent="0.25">
      <c r="A308" s="17" t="s">
        <v>145</v>
      </c>
      <c r="C308" s="9" t="s">
        <v>147</v>
      </c>
      <c r="J308" t="s">
        <v>85</v>
      </c>
      <c r="K308" s="18">
        <v>100</v>
      </c>
      <c r="L308" s="17" t="s">
        <v>38</v>
      </c>
    </row>
    <row r="309" spans="1:14" x14ac:dyDescent="0.25">
      <c r="A309" s="17" t="s">
        <v>107</v>
      </c>
      <c r="B309" s="8"/>
      <c r="C309" s="9" t="s">
        <v>109</v>
      </c>
      <c r="D309" s="8"/>
      <c r="E309" s="8"/>
      <c r="F309" s="9"/>
      <c r="G309" s="8"/>
      <c r="H309" s="8"/>
      <c r="I309" s="8"/>
      <c r="J309" t="s">
        <v>85</v>
      </c>
      <c r="K309" s="18">
        <v>100</v>
      </c>
      <c r="L309" s="17" t="s">
        <v>38</v>
      </c>
      <c r="M309" s="10"/>
    </row>
    <row r="310" spans="1:14" x14ac:dyDescent="0.25">
      <c r="A310" s="17" t="s">
        <v>110</v>
      </c>
      <c r="B310" s="8"/>
      <c r="C310" s="9" t="s">
        <v>111</v>
      </c>
      <c r="D310" s="8"/>
      <c r="E310" s="8"/>
      <c r="F310" s="9"/>
      <c r="G310" s="8"/>
      <c r="H310" s="8"/>
      <c r="I310" s="8"/>
      <c r="J310" t="s">
        <v>85</v>
      </c>
      <c r="K310" s="18">
        <v>100</v>
      </c>
      <c r="L310" s="17" t="s">
        <v>38</v>
      </c>
      <c r="M310" s="10"/>
    </row>
    <row r="311" spans="1:14" x14ac:dyDescent="0.25">
      <c r="A311" s="17" t="s">
        <v>153</v>
      </c>
      <c r="B311" s="8"/>
      <c r="C311" s="9" t="s">
        <v>151</v>
      </c>
      <c r="D311" s="8"/>
      <c r="E311" s="8"/>
      <c r="F311" s="9"/>
      <c r="G311" s="8"/>
      <c r="H311" s="8"/>
      <c r="I311" s="8"/>
      <c r="J311" t="s">
        <v>85</v>
      </c>
      <c r="K311" s="18">
        <v>100</v>
      </c>
      <c r="L311" s="17" t="s">
        <v>38</v>
      </c>
      <c r="M311" s="10"/>
    </row>
    <row r="312" spans="1:14" x14ac:dyDescent="0.25">
      <c r="A312" s="4" t="s">
        <v>13</v>
      </c>
      <c r="B312" s="4"/>
      <c r="C312" s="4"/>
      <c r="D312" s="4"/>
      <c r="E312" s="4"/>
      <c r="F312" s="4"/>
      <c r="G312" s="4"/>
      <c r="H312" s="4"/>
      <c r="I312" s="4"/>
      <c r="J312" s="5"/>
      <c r="K312" s="5"/>
      <c r="L312" s="5"/>
      <c r="M312" s="5"/>
      <c r="N312" s="5"/>
    </row>
    <row r="313" spans="1:14" x14ac:dyDescent="0.25">
      <c r="A313" s="17" t="s">
        <v>247</v>
      </c>
      <c r="C313" s="9" t="s">
        <v>244</v>
      </c>
      <c r="J313" t="s">
        <v>85</v>
      </c>
      <c r="K313" s="17">
        <v>100</v>
      </c>
      <c r="L313" s="17" t="s">
        <v>38</v>
      </c>
    </row>
    <row r="314" spans="1:14" x14ac:dyDescent="0.25">
      <c r="A314" s="17" t="s">
        <v>248</v>
      </c>
      <c r="C314" s="9" t="s">
        <v>244</v>
      </c>
      <c r="J314" t="s">
        <v>85</v>
      </c>
      <c r="K314" s="17">
        <v>65</v>
      </c>
      <c r="L314" s="17" t="s">
        <v>38</v>
      </c>
      <c r="N314" t="s">
        <v>92</v>
      </c>
    </row>
    <row r="315" spans="1:14" x14ac:dyDescent="0.25">
      <c r="A315" s="17" t="s">
        <v>248</v>
      </c>
      <c r="C315" s="9" t="s">
        <v>244</v>
      </c>
      <c r="F315" s="19" t="s">
        <v>245</v>
      </c>
      <c r="J315" t="s">
        <v>86</v>
      </c>
      <c r="K315" s="17">
        <v>35</v>
      </c>
      <c r="L315" s="17" t="s">
        <v>38</v>
      </c>
      <c r="N315" t="s">
        <v>92</v>
      </c>
    </row>
    <row r="316" spans="1:14" x14ac:dyDescent="0.25">
      <c r="A316" s="17" t="s">
        <v>249</v>
      </c>
      <c r="C316" s="9" t="s">
        <v>244</v>
      </c>
      <c r="J316" t="s">
        <v>85</v>
      </c>
      <c r="K316" s="17">
        <v>22</v>
      </c>
      <c r="L316" s="17" t="s">
        <v>38</v>
      </c>
      <c r="N316" t="s">
        <v>92</v>
      </c>
    </row>
    <row r="317" spans="1:14" x14ac:dyDescent="0.25">
      <c r="A317" s="17" t="s">
        <v>249</v>
      </c>
      <c r="C317" s="9" t="s">
        <v>244</v>
      </c>
      <c r="F317" s="19" t="s">
        <v>245</v>
      </c>
      <c r="J317" t="s">
        <v>86</v>
      </c>
      <c r="K317" s="17">
        <v>35</v>
      </c>
      <c r="L317" s="17" t="s">
        <v>38</v>
      </c>
      <c r="N317" t="s">
        <v>92</v>
      </c>
    </row>
    <row r="318" spans="1:14" x14ac:dyDescent="0.25">
      <c r="A318" s="17" t="s">
        <v>251</v>
      </c>
      <c r="C318" s="9" t="s">
        <v>253</v>
      </c>
      <c r="J318" t="s">
        <v>85</v>
      </c>
      <c r="K318" s="17">
        <v>100</v>
      </c>
      <c r="L318" s="17" t="s">
        <v>38</v>
      </c>
    </row>
    <row r="319" spans="1:14" x14ac:dyDescent="0.25">
      <c r="A319" s="17" t="s">
        <v>260</v>
      </c>
      <c r="C319" s="9" t="s">
        <v>265</v>
      </c>
      <c r="J319" t="s">
        <v>85</v>
      </c>
      <c r="K319" s="17">
        <v>100</v>
      </c>
      <c r="L319" s="17" t="s">
        <v>38</v>
      </c>
    </row>
    <row r="320" spans="1:14" x14ac:dyDescent="0.25">
      <c r="A320" s="17" t="s">
        <v>261</v>
      </c>
      <c r="C320" s="9" t="s">
        <v>266</v>
      </c>
      <c r="J320" t="s">
        <v>85</v>
      </c>
      <c r="K320" s="17">
        <v>100</v>
      </c>
      <c r="L320" s="17" t="s">
        <v>38</v>
      </c>
    </row>
    <row r="321" spans="1:14" x14ac:dyDescent="0.25">
      <c r="A321" s="17" t="s">
        <v>267</v>
      </c>
      <c r="C321" s="9" t="s">
        <v>268</v>
      </c>
      <c r="J321" t="s">
        <v>85</v>
      </c>
      <c r="K321" s="17">
        <v>100</v>
      </c>
      <c r="L321" s="17" t="s">
        <v>38</v>
      </c>
    </row>
    <row r="322" spans="1:14" x14ac:dyDescent="0.25">
      <c r="A322" s="17" t="s">
        <v>262</v>
      </c>
      <c r="C322" s="9" t="s">
        <v>269</v>
      </c>
      <c r="J322" t="s">
        <v>85</v>
      </c>
      <c r="K322" s="17">
        <v>100</v>
      </c>
      <c r="L322" s="17" t="s">
        <v>38</v>
      </c>
    </row>
    <row r="323" spans="1:14" x14ac:dyDescent="0.25">
      <c r="A323" s="4" t="s">
        <v>14</v>
      </c>
      <c r="B323" s="4"/>
      <c r="C323" s="4"/>
      <c r="D323" s="4"/>
      <c r="E323" s="4"/>
      <c r="F323" s="4"/>
      <c r="G323" s="4"/>
      <c r="H323" s="4"/>
      <c r="I323" s="4"/>
      <c r="J323" s="5"/>
      <c r="K323" s="5"/>
      <c r="L323" s="5"/>
      <c r="M323" s="5"/>
      <c r="N323" s="5"/>
    </row>
    <row r="324" spans="1:14" x14ac:dyDescent="0.25">
      <c r="A324" s="10" t="s">
        <v>62</v>
      </c>
      <c r="B324" s="10"/>
      <c r="C324" s="10"/>
      <c r="D324" s="10" t="s">
        <v>79</v>
      </c>
      <c r="E324" s="10" t="s">
        <v>59</v>
      </c>
      <c r="F324" s="10"/>
      <c r="G324" s="10"/>
      <c r="H324" s="10"/>
      <c r="I324" s="10"/>
      <c r="J324" t="s">
        <v>85</v>
      </c>
      <c r="K324" s="12">
        <f>100-K325</f>
        <v>90.75</v>
      </c>
      <c r="L324" s="10" t="s">
        <v>38</v>
      </c>
      <c r="M324" t="s">
        <v>71</v>
      </c>
      <c r="N324" s="8" t="s">
        <v>93</v>
      </c>
    </row>
    <row r="325" spans="1:14" x14ac:dyDescent="0.25">
      <c r="A325" s="10" t="s">
        <v>62</v>
      </c>
      <c r="B325" s="10"/>
      <c r="C325" s="10"/>
      <c r="D325" s="10" t="s">
        <v>79</v>
      </c>
      <c r="E325" s="10" t="s">
        <v>59</v>
      </c>
      <c r="F325" s="10" t="s">
        <v>60</v>
      </c>
      <c r="G325" s="10"/>
      <c r="H325" s="10"/>
      <c r="I325" s="10"/>
      <c r="J325" t="s">
        <v>86</v>
      </c>
      <c r="K325" s="12">
        <f>(0.042-0.005)/0.4*100</f>
        <v>9.2500000000000018</v>
      </c>
      <c r="L325" s="10" t="s">
        <v>38</v>
      </c>
      <c r="N325" s="8" t="s">
        <v>93</v>
      </c>
    </row>
    <row r="326" spans="1:14" x14ac:dyDescent="0.25">
      <c r="A326" s="10" t="s">
        <v>61</v>
      </c>
      <c r="B326" s="10"/>
      <c r="C326" s="10"/>
      <c r="D326" s="10" t="s">
        <v>79</v>
      </c>
      <c r="E326" s="10" t="s">
        <v>59</v>
      </c>
      <c r="F326" s="10"/>
      <c r="G326" s="10"/>
      <c r="H326" s="10"/>
      <c r="I326" s="10"/>
      <c r="J326" t="s">
        <v>85</v>
      </c>
      <c r="K326" s="12">
        <f>100-K327</f>
        <v>93.25</v>
      </c>
      <c r="L326" s="10" t="s">
        <v>38</v>
      </c>
      <c r="M326" t="s">
        <v>72</v>
      </c>
      <c r="N326" s="8" t="s">
        <v>93</v>
      </c>
    </row>
    <row r="327" spans="1:14" x14ac:dyDescent="0.25">
      <c r="A327" s="10" t="s">
        <v>61</v>
      </c>
      <c r="B327" s="10"/>
      <c r="C327" s="10"/>
      <c r="D327" s="10" t="s">
        <v>79</v>
      </c>
      <c r="E327" s="10" t="s">
        <v>59</v>
      </c>
      <c r="F327" s="10" t="s">
        <v>60</v>
      </c>
      <c r="G327" s="10"/>
      <c r="H327" s="10"/>
      <c r="I327" s="10"/>
      <c r="J327" t="s">
        <v>86</v>
      </c>
      <c r="K327" s="12">
        <f>(0.042-0.015)/0.4*100</f>
        <v>6.75</v>
      </c>
      <c r="L327" s="10" t="s">
        <v>38</v>
      </c>
      <c r="N327" s="8" t="s">
        <v>93</v>
      </c>
    </row>
    <row r="328" spans="1:14" x14ac:dyDescent="0.25">
      <c r="A328" s="10" t="s">
        <v>63</v>
      </c>
      <c r="B328" s="10"/>
      <c r="C328" s="10"/>
      <c r="D328" s="10" t="s">
        <v>79</v>
      </c>
      <c r="E328" s="10" t="s">
        <v>59</v>
      </c>
      <c r="F328" s="10"/>
      <c r="G328" s="10"/>
      <c r="H328" s="10"/>
      <c r="I328" s="10"/>
      <c r="J328" t="s">
        <v>85</v>
      </c>
      <c r="K328" s="12">
        <f>100-K329</f>
        <v>97</v>
      </c>
      <c r="L328" s="10" t="s">
        <v>38</v>
      </c>
      <c r="M328" t="s">
        <v>73</v>
      </c>
      <c r="N328" s="8" t="s">
        <v>93</v>
      </c>
    </row>
    <row r="329" spans="1:14" x14ac:dyDescent="0.25">
      <c r="A329" s="10" t="s">
        <v>63</v>
      </c>
      <c r="B329" s="10"/>
      <c r="C329" s="10"/>
      <c r="D329" s="10" t="s">
        <v>79</v>
      </c>
      <c r="E329" s="10" t="s">
        <v>59</v>
      </c>
      <c r="F329" s="10" t="s">
        <v>60</v>
      </c>
      <c r="G329" s="10"/>
      <c r="H329" s="10"/>
      <c r="I329" s="10"/>
      <c r="J329" t="s">
        <v>86</v>
      </c>
      <c r="K329" s="12">
        <f>(0.042-0.03)/0.4*100</f>
        <v>3.0000000000000009</v>
      </c>
      <c r="L329" s="10" t="s">
        <v>38</v>
      </c>
      <c r="N329" s="8" t="s">
        <v>93</v>
      </c>
    </row>
    <row r="330" spans="1:14" x14ac:dyDescent="0.25">
      <c r="A330" s="10" t="s">
        <v>64</v>
      </c>
      <c r="B330" s="10"/>
      <c r="C330" s="10"/>
      <c r="D330" s="10" t="s">
        <v>79</v>
      </c>
      <c r="E330" s="10" t="s">
        <v>59</v>
      </c>
      <c r="F330" s="10"/>
      <c r="G330" s="10"/>
      <c r="H330" s="10"/>
      <c r="I330" s="10"/>
      <c r="J330" t="s">
        <v>85</v>
      </c>
      <c r="K330" s="12">
        <f>(100-K331)*0.1</f>
        <v>9.7000000000000011</v>
      </c>
      <c r="L330" s="10" t="s">
        <v>38</v>
      </c>
      <c r="M330" t="s">
        <v>80</v>
      </c>
      <c r="N330" s="8" t="s">
        <v>93</v>
      </c>
    </row>
    <row r="331" spans="1:14" x14ac:dyDescent="0.25">
      <c r="A331" s="10" t="s">
        <v>64</v>
      </c>
      <c r="B331" s="10"/>
      <c r="C331" s="10"/>
      <c r="D331" s="10" t="s">
        <v>79</v>
      </c>
      <c r="E331" s="10" t="s">
        <v>59</v>
      </c>
      <c r="F331" s="10" t="s">
        <v>60</v>
      </c>
      <c r="G331" s="10"/>
      <c r="H331" s="10"/>
      <c r="I331" s="10"/>
      <c r="J331" t="s">
        <v>86</v>
      </c>
      <c r="K331" s="12">
        <f>(0.042-0.03)/0.4*100</f>
        <v>3.0000000000000009</v>
      </c>
      <c r="L331" s="10" t="s">
        <v>38</v>
      </c>
      <c r="N331" s="8" t="s">
        <v>93</v>
      </c>
    </row>
    <row r="332" spans="1:14" x14ac:dyDescent="0.25">
      <c r="A332" s="10" t="s">
        <v>64</v>
      </c>
      <c r="B332" s="10"/>
      <c r="C332" s="10"/>
      <c r="D332" s="10" t="s">
        <v>79</v>
      </c>
      <c r="E332" s="10" t="s">
        <v>59</v>
      </c>
      <c r="F332" s="10" t="s">
        <v>70</v>
      </c>
      <c r="G332" s="10"/>
      <c r="H332" s="10"/>
      <c r="I332" s="10"/>
      <c r="J332" t="s">
        <v>86</v>
      </c>
      <c r="K332" s="12">
        <f>(100-K331)*0.9</f>
        <v>87.3</v>
      </c>
      <c r="L332" s="10" t="s">
        <v>38</v>
      </c>
      <c r="N332" s="8" t="s">
        <v>93</v>
      </c>
    </row>
    <row r="333" spans="1:14" x14ac:dyDescent="0.25">
      <c r="A333" s="10" t="s">
        <v>68</v>
      </c>
      <c r="B333" s="10"/>
      <c r="C333" s="10"/>
      <c r="D333" s="10" t="s">
        <v>79</v>
      </c>
      <c r="E333" s="10" t="s">
        <v>60</v>
      </c>
      <c r="F333" s="10"/>
      <c r="G333" s="10"/>
      <c r="H333" s="10"/>
      <c r="I333" s="10"/>
      <c r="J333" t="s">
        <v>85</v>
      </c>
      <c r="K333" s="10">
        <f>1/(0.1/0.4)*100</f>
        <v>400</v>
      </c>
      <c r="L333" s="10" t="s">
        <v>38</v>
      </c>
      <c r="M333" t="s">
        <v>78</v>
      </c>
      <c r="N333" s="8" t="s">
        <v>93</v>
      </c>
    </row>
    <row r="334" spans="1:14" x14ac:dyDescent="0.25">
      <c r="A334" s="11" t="s">
        <v>69</v>
      </c>
      <c r="B334" s="10"/>
      <c r="C334" s="10"/>
      <c r="D334" s="10" t="s">
        <v>79</v>
      </c>
      <c r="E334" s="10" t="s">
        <v>60</v>
      </c>
      <c r="F334" s="10"/>
      <c r="G334" s="10"/>
      <c r="H334" s="10"/>
      <c r="I334" s="10"/>
      <c r="J334" t="s">
        <v>85</v>
      </c>
      <c r="K334" s="12">
        <f>1/(0.12/0.4)*100</f>
        <v>333.33333333333337</v>
      </c>
      <c r="L334" s="10" t="s">
        <v>38</v>
      </c>
      <c r="M334" t="s">
        <v>74</v>
      </c>
      <c r="N334" s="8" t="s">
        <v>93</v>
      </c>
    </row>
    <row r="335" spans="1:14" x14ac:dyDescent="0.25">
      <c r="A335" s="10" t="s">
        <v>66</v>
      </c>
      <c r="B335" s="10"/>
      <c r="C335" s="10"/>
      <c r="D335" s="10" t="s">
        <v>79</v>
      </c>
      <c r="E335" s="10" t="s">
        <v>60</v>
      </c>
      <c r="F335" s="10"/>
      <c r="G335" s="10"/>
      <c r="H335" s="10"/>
      <c r="I335" s="10"/>
      <c r="J335" t="s">
        <v>85</v>
      </c>
      <c r="K335" s="12">
        <f>1/(0.13/0.4)*100</f>
        <v>307.69230769230768</v>
      </c>
      <c r="L335" s="10" t="s">
        <v>38</v>
      </c>
      <c r="M335" t="s">
        <v>75</v>
      </c>
      <c r="N335" s="8" t="s">
        <v>93</v>
      </c>
    </row>
    <row r="336" spans="1:14" x14ac:dyDescent="0.25">
      <c r="A336" s="10" t="s">
        <v>67</v>
      </c>
      <c r="B336" s="10"/>
      <c r="C336" s="10"/>
      <c r="D336" s="10" t="s">
        <v>79</v>
      </c>
      <c r="E336" s="10" t="s">
        <v>60</v>
      </c>
      <c r="F336" s="10"/>
      <c r="G336" s="10"/>
      <c r="H336" s="10"/>
      <c r="I336" s="10"/>
      <c r="J336" t="s">
        <v>85</v>
      </c>
      <c r="K336" s="10">
        <f>1/(0.4/0.4)*100</f>
        <v>100</v>
      </c>
      <c r="L336" s="10" t="s">
        <v>38</v>
      </c>
      <c r="M336" t="s">
        <v>76</v>
      </c>
      <c r="N336" s="8" t="s">
        <v>93</v>
      </c>
    </row>
    <row r="337" spans="1:14" x14ac:dyDescent="0.25">
      <c r="A337" s="10" t="s">
        <v>65</v>
      </c>
      <c r="B337" s="10"/>
      <c r="C337" s="10"/>
      <c r="D337" s="10" t="s">
        <v>79</v>
      </c>
      <c r="E337" s="10" t="s">
        <v>60</v>
      </c>
      <c r="F337" s="10"/>
      <c r="G337" s="10"/>
      <c r="H337" s="10"/>
      <c r="I337" s="10"/>
      <c r="J337" t="s">
        <v>85</v>
      </c>
      <c r="K337" s="12">
        <f>1/((0.4-0.8)/(0.01-0.4)+1)*100</f>
        <v>49.367088607594937</v>
      </c>
      <c r="L337" s="10" t="s">
        <v>38</v>
      </c>
      <c r="M337" t="s">
        <v>77</v>
      </c>
      <c r="N337" s="8" t="s">
        <v>93</v>
      </c>
    </row>
    <row r="338" spans="1:14" x14ac:dyDescent="0.25">
      <c r="A338" s="10" t="s">
        <v>65</v>
      </c>
      <c r="B338" s="8"/>
      <c r="C338" s="8"/>
      <c r="D338" s="10" t="s">
        <v>79</v>
      </c>
      <c r="E338" s="10" t="s">
        <v>60</v>
      </c>
      <c r="F338" s="10" t="s">
        <v>82</v>
      </c>
      <c r="G338" s="8"/>
      <c r="H338" s="8"/>
      <c r="I338" s="8"/>
      <c r="J338" t="s">
        <v>86</v>
      </c>
      <c r="K338" s="14">
        <f>1/((0.01-0.4)/(0.4-0.8)+1)*100</f>
        <v>50.632911392405056</v>
      </c>
      <c r="L338" s="10" t="s">
        <v>38</v>
      </c>
      <c r="M338" s="8" t="s">
        <v>83</v>
      </c>
      <c r="N338" s="8" t="s">
        <v>93</v>
      </c>
    </row>
    <row r="339" spans="1:14" x14ac:dyDescent="0.25">
      <c r="A339" s="4" t="s">
        <v>23</v>
      </c>
      <c r="B339" s="4"/>
      <c r="C339" s="4"/>
      <c r="D339" s="4"/>
      <c r="E339" s="4"/>
      <c r="F339" s="4"/>
      <c r="G339" s="4"/>
      <c r="H339" s="4"/>
      <c r="I339" s="4"/>
      <c r="J339" s="5"/>
      <c r="K339" s="5"/>
      <c r="L339" s="5"/>
      <c r="M339" s="5"/>
      <c r="N339" s="5"/>
    </row>
    <row r="340" spans="1:14" x14ac:dyDescent="0.25">
      <c r="A340" s="8" t="s">
        <v>54</v>
      </c>
      <c r="B340" s="8"/>
      <c r="C340" s="8"/>
      <c r="D340" s="8" t="s">
        <v>57</v>
      </c>
      <c r="E340" s="8" t="s">
        <v>55</v>
      </c>
      <c r="F340" s="8"/>
      <c r="G340" s="8"/>
      <c r="H340" s="8"/>
      <c r="I340" s="8"/>
      <c r="J340" t="s">
        <v>85</v>
      </c>
      <c r="K340" s="9">
        <v>73</v>
      </c>
      <c r="L340" s="8" t="s">
        <v>38</v>
      </c>
      <c r="M340" s="8"/>
      <c r="N340" s="8" t="s">
        <v>92</v>
      </c>
    </row>
    <row r="341" spans="1:14" x14ac:dyDescent="0.25">
      <c r="A341" s="8" t="s">
        <v>54</v>
      </c>
      <c r="B341" s="8"/>
      <c r="C341" s="8"/>
      <c r="D341" s="8" t="s">
        <v>57</v>
      </c>
      <c r="E341" s="8" t="s">
        <v>55</v>
      </c>
      <c r="F341" s="8" t="s">
        <v>122</v>
      </c>
      <c r="G341" s="8"/>
      <c r="H341" s="8"/>
      <c r="I341" s="8"/>
      <c r="J341" t="s">
        <v>86</v>
      </c>
      <c r="K341" s="16">
        <f>(1/0.76)*4</f>
        <v>5.2631578947368425</v>
      </c>
      <c r="L341" s="8" t="s">
        <v>38</v>
      </c>
      <c r="M341" s="9" t="s">
        <v>96</v>
      </c>
      <c r="N341" s="8" t="s">
        <v>92</v>
      </c>
    </row>
    <row r="342" spans="1:14" x14ac:dyDescent="0.25">
      <c r="A342" s="8" t="s">
        <v>54</v>
      </c>
      <c r="B342" s="8"/>
      <c r="C342" s="8"/>
      <c r="D342" s="8" t="s">
        <v>57</v>
      </c>
      <c r="E342" s="8" t="s">
        <v>55</v>
      </c>
      <c r="F342" s="8" t="s">
        <v>123</v>
      </c>
      <c r="G342" s="8"/>
      <c r="H342" s="8"/>
      <c r="I342" s="8"/>
      <c r="J342" t="s">
        <v>86</v>
      </c>
      <c r="K342" s="16">
        <f>(1/0.76)*6</f>
        <v>7.8947368421052637</v>
      </c>
      <c r="L342" s="8" t="s">
        <v>38</v>
      </c>
      <c r="M342" s="9" t="s">
        <v>96</v>
      </c>
      <c r="N342" s="8" t="s">
        <v>92</v>
      </c>
    </row>
    <row r="343" spans="1:14" x14ac:dyDescent="0.25">
      <c r="A343" s="8" t="s">
        <v>54</v>
      </c>
      <c r="B343" s="8"/>
      <c r="C343" s="8"/>
      <c r="D343" s="8" t="s">
        <v>57</v>
      </c>
      <c r="E343" s="8" t="s">
        <v>55</v>
      </c>
      <c r="F343" s="8" t="s">
        <v>124</v>
      </c>
      <c r="G343" s="8"/>
      <c r="H343" s="8"/>
      <c r="I343" s="8"/>
      <c r="J343" t="s">
        <v>86</v>
      </c>
      <c r="K343" s="16">
        <f>(1/0.76)*5</f>
        <v>6.5789473684210531</v>
      </c>
      <c r="L343" s="8" t="s">
        <v>38</v>
      </c>
      <c r="M343" s="9" t="s">
        <v>96</v>
      </c>
      <c r="N343" s="8" t="s">
        <v>92</v>
      </c>
    </row>
    <row r="344" spans="1:14" x14ac:dyDescent="0.25">
      <c r="A344" s="8" t="s">
        <v>54</v>
      </c>
      <c r="B344" s="8"/>
      <c r="C344" s="8"/>
      <c r="D344" s="8" t="s">
        <v>57</v>
      </c>
      <c r="E344" s="8" t="s">
        <v>55</v>
      </c>
      <c r="F344" s="8" t="s">
        <v>125</v>
      </c>
      <c r="G344" s="8"/>
      <c r="H344" s="8"/>
      <c r="I344" s="8"/>
      <c r="J344" t="s">
        <v>86</v>
      </c>
      <c r="K344" s="9">
        <v>18</v>
      </c>
      <c r="L344" s="8" t="s">
        <v>38</v>
      </c>
      <c r="M344" s="8"/>
      <c r="N344" s="8" t="s">
        <v>92</v>
      </c>
    </row>
    <row r="345" spans="1:14" x14ac:dyDescent="0.25">
      <c r="A345" t="s">
        <v>95</v>
      </c>
      <c r="B345" s="8"/>
      <c r="C345" s="8"/>
      <c r="D345" s="9" t="s">
        <v>79</v>
      </c>
      <c r="E345" s="9" t="s">
        <v>55</v>
      </c>
      <c r="F345" s="8"/>
      <c r="G345" s="8"/>
      <c r="H345" s="8"/>
      <c r="I345" s="8"/>
      <c r="J345" t="s">
        <v>85</v>
      </c>
      <c r="K345" s="9">
        <v>71</v>
      </c>
      <c r="L345" s="9" t="s">
        <v>38</v>
      </c>
      <c r="M345" s="8"/>
      <c r="N345" s="8" t="s">
        <v>92</v>
      </c>
    </row>
    <row r="346" spans="1:14" x14ac:dyDescent="0.25">
      <c r="A346" t="s">
        <v>95</v>
      </c>
      <c r="B346" s="8"/>
      <c r="C346" s="8"/>
      <c r="D346" s="9" t="s">
        <v>79</v>
      </c>
      <c r="E346" s="9" t="s">
        <v>55</v>
      </c>
      <c r="F346" s="9" t="s">
        <v>126</v>
      </c>
      <c r="G346" s="8"/>
      <c r="H346" s="8"/>
      <c r="I346" s="8"/>
      <c r="J346" t="s">
        <v>86</v>
      </c>
      <c r="K346" s="16">
        <f>(1/0.52)*7</f>
        <v>13.46153846153846</v>
      </c>
      <c r="L346" s="9" t="s">
        <v>38</v>
      </c>
      <c r="M346" s="9" t="s">
        <v>97</v>
      </c>
      <c r="N346" s="8" t="s">
        <v>92</v>
      </c>
    </row>
    <row r="347" spans="1:14" x14ac:dyDescent="0.25">
      <c r="A347" t="s">
        <v>95</v>
      </c>
      <c r="B347" s="8"/>
      <c r="C347" s="8"/>
      <c r="D347" s="9" t="s">
        <v>79</v>
      </c>
      <c r="E347" s="9" t="s">
        <v>55</v>
      </c>
      <c r="F347" s="8" t="s">
        <v>127</v>
      </c>
      <c r="G347" s="8"/>
      <c r="H347" s="8"/>
      <c r="I347" s="8"/>
      <c r="J347" t="s">
        <v>86</v>
      </c>
      <c r="K347" s="16">
        <f>(1/0.52)*3</f>
        <v>5.7692307692307683</v>
      </c>
      <c r="L347" s="9" t="s">
        <v>38</v>
      </c>
      <c r="M347" s="9" t="s">
        <v>97</v>
      </c>
      <c r="N347" s="8" t="s">
        <v>92</v>
      </c>
    </row>
    <row r="348" spans="1:14" x14ac:dyDescent="0.25">
      <c r="A348" t="s">
        <v>95</v>
      </c>
      <c r="B348" s="8"/>
      <c r="C348" s="8"/>
      <c r="D348" s="9" t="s">
        <v>79</v>
      </c>
      <c r="E348" s="9" t="s">
        <v>55</v>
      </c>
      <c r="F348" s="9" t="s">
        <v>128</v>
      </c>
      <c r="G348" s="8"/>
      <c r="H348" s="8"/>
      <c r="I348" s="8"/>
      <c r="J348" t="s">
        <v>86</v>
      </c>
      <c r="K348" s="16">
        <f>(1/0.52)*6</f>
        <v>11.538461538461537</v>
      </c>
      <c r="L348" s="9" t="s">
        <v>38</v>
      </c>
      <c r="M348" s="9" t="s">
        <v>97</v>
      </c>
      <c r="N348" s="8" t="s">
        <v>92</v>
      </c>
    </row>
    <row r="349" spans="1:14" x14ac:dyDescent="0.25">
      <c r="A349" t="s">
        <v>95</v>
      </c>
      <c r="B349" s="8"/>
      <c r="C349" s="8"/>
      <c r="D349" s="9" t="s">
        <v>79</v>
      </c>
      <c r="E349" s="9" t="s">
        <v>55</v>
      </c>
      <c r="F349" s="8" t="s">
        <v>129</v>
      </c>
      <c r="G349" s="8"/>
      <c r="H349" s="8"/>
      <c r="I349" s="8"/>
      <c r="J349" t="s">
        <v>86</v>
      </c>
      <c r="K349" s="9">
        <v>12</v>
      </c>
      <c r="L349" s="9" t="s">
        <v>38</v>
      </c>
      <c r="M349" s="8"/>
      <c r="N349" s="8" t="s">
        <v>92</v>
      </c>
    </row>
    <row r="350" spans="1:14" x14ac:dyDescent="0.25">
      <c r="A350" t="s">
        <v>358</v>
      </c>
      <c r="B350" s="8"/>
      <c r="C350" s="8"/>
      <c r="D350" s="9" t="s">
        <v>361</v>
      </c>
      <c r="E350" s="9" t="s">
        <v>55</v>
      </c>
      <c r="F350" s="8"/>
      <c r="G350" s="8"/>
      <c r="H350" s="8"/>
      <c r="I350" s="8"/>
      <c r="J350" t="s">
        <v>85</v>
      </c>
      <c r="K350" s="9">
        <v>66</v>
      </c>
      <c r="L350" s="9" t="s">
        <v>38</v>
      </c>
      <c r="M350" s="8"/>
      <c r="N350" s="26" t="s">
        <v>362</v>
      </c>
    </row>
    <row r="351" spans="1:14" x14ac:dyDescent="0.25">
      <c r="A351" t="s">
        <v>358</v>
      </c>
      <c r="B351" s="8"/>
      <c r="C351" s="8"/>
      <c r="D351" s="9" t="s">
        <v>361</v>
      </c>
      <c r="E351" s="9" t="s">
        <v>55</v>
      </c>
      <c r="F351" s="26" t="s">
        <v>365</v>
      </c>
      <c r="G351" s="26"/>
      <c r="H351" s="26"/>
      <c r="I351" s="26"/>
      <c r="J351" t="s">
        <v>86</v>
      </c>
      <c r="K351" s="16">
        <f>(1/0.5)*8</f>
        <v>16</v>
      </c>
      <c r="L351" s="9" t="s">
        <v>38</v>
      </c>
      <c r="M351" s="9" t="s">
        <v>366</v>
      </c>
      <c r="N351" s="26" t="s">
        <v>362</v>
      </c>
    </row>
    <row r="352" spans="1:14" x14ac:dyDescent="0.25">
      <c r="A352" t="s">
        <v>358</v>
      </c>
      <c r="B352" s="8"/>
      <c r="C352" s="8"/>
      <c r="D352" s="9" t="s">
        <v>361</v>
      </c>
      <c r="E352" s="9" t="s">
        <v>55</v>
      </c>
      <c r="F352" s="26" t="s">
        <v>364</v>
      </c>
      <c r="G352" s="8"/>
      <c r="H352" s="8"/>
      <c r="I352" s="8"/>
      <c r="J352" t="s">
        <v>86</v>
      </c>
      <c r="K352" s="16">
        <f>(1/0.5)*3</f>
        <v>6</v>
      </c>
      <c r="L352" s="9" t="s">
        <v>38</v>
      </c>
      <c r="M352" s="9" t="s">
        <v>366</v>
      </c>
      <c r="N352" s="26" t="s">
        <v>362</v>
      </c>
    </row>
    <row r="353" spans="1:14" x14ac:dyDescent="0.25">
      <c r="A353" t="s">
        <v>358</v>
      </c>
      <c r="B353" s="8"/>
      <c r="C353" s="8"/>
      <c r="D353" s="9" t="s">
        <v>361</v>
      </c>
      <c r="E353" s="9" t="s">
        <v>55</v>
      </c>
      <c r="F353" s="26" t="s">
        <v>363</v>
      </c>
      <c r="G353" s="8"/>
      <c r="H353" s="8"/>
      <c r="I353" s="8"/>
      <c r="J353" t="s">
        <v>86</v>
      </c>
      <c r="K353" s="9">
        <f>(1/0.5)*8</f>
        <v>16</v>
      </c>
      <c r="L353" s="9" t="s">
        <v>38</v>
      </c>
      <c r="M353" s="9" t="s">
        <v>366</v>
      </c>
      <c r="N353" s="26" t="s">
        <v>362</v>
      </c>
    </row>
    <row r="354" spans="1:14" x14ac:dyDescent="0.25">
      <c r="A354" t="s">
        <v>273</v>
      </c>
      <c r="B354" s="8"/>
      <c r="C354" s="8"/>
      <c r="D354" s="9" t="s">
        <v>274</v>
      </c>
      <c r="E354" s="9" t="s">
        <v>55</v>
      </c>
      <c r="F354" s="8"/>
      <c r="G354" s="8"/>
      <c r="H354" s="8"/>
      <c r="I354" s="8"/>
      <c r="J354" t="s">
        <v>85</v>
      </c>
      <c r="K354" s="9">
        <v>77</v>
      </c>
      <c r="L354" s="9" t="s">
        <v>38</v>
      </c>
      <c r="M354" s="8"/>
      <c r="N354" s="8"/>
    </row>
    <row r="355" spans="1:14" x14ac:dyDescent="0.25">
      <c r="A355" s="6" t="s">
        <v>273</v>
      </c>
      <c r="B355" s="10"/>
      <c r="C355" s="10"/>
      <c r="D355" s="11" t="s">
        <v>274</v>
      </c>
      <c r="E355" s="11" t="s">
        <v>55</v>
      </c>
      <c r="F355" s="11" t="s">
        <v>275</v>
      </c>
      <c r="G355" s="8"/>
      <c r="H355" s="8"/>
      <c r="I355" s="8"/>
      <c r="K355" s="9"/>
      <c r="L355" s="9"/>
      <c r="M355" s="8"/>
      <c r="N355" s="8"/>
    </row>
    <row r="356" spans="1:14" x14ac:dyDescent="0.25">
      <c r="A356" s="4" t="s">
        <v>15</v>
      </c>
      <c r="B356" s="4"/>
      <c r="C356" s="4"/>
      <c r="D356" s="4"/>
      <c r="E356" s="4"/>
      <c r="F356" s="4"/>
      <c r="G356" s="4"/>
      <c r="H356" s="4"/>
      <c r="I356" s="4"/>
      <c r="J356" s="5"/>
      <c r="K356" s="5"/>
      <c r="L356" s="5"/>
      <c r="M356" s="5"/>
      <c r="N356" s="5"/>
    </row>
    <row r="357" spans="1:14" x14ac:dyDescent="0.25">
      <c r="A357" t="s">
        <v>15</v>
      </c>
      <c r="B357" s="8"/>
      <c r="C357" s="8"/>
      <c r="D357" s="9" t="s">
        <v>274</v>
      </c>
      <c r="E357" s="9" t="s">
        <v>332</v>
      </c>
      <c r="F357" s="8"/>
      <c r="G357" s="8"/>
      <c r="H357" s="8"/>
      <c r="I357" s="8"/>
      <c r="J357" t="s">
        <v>85</v>
      </c>
      <c r="K357" s="9">
        <v>100</v>
      </c>
      <c r="L357" s="9" t="s">
        <v>38</v>
      </c>
      <c r="M357" s="8"/>
      <c r="N357" s="8"/>
    </row>
    <row r="358" spans="1:14" x14ac:dyDescent="0.25">
      <c r="A358" s="4" t="s">
        <v>20</v>
      </c>
      <c r="B358" s="4"/>
      <c r="C358" s="4"/>
      <c r="D358" s="4"/>
      <c r="E358" s="4"/>
      <c r="F358" s="4"/>
      <c r="G358" s="4"/>
      <c r="H358" s="4"/>
      <c r="I358" s="4"/>
      <c r="J358" s="5"/>
      <c r="K358" s="5"/>
      <c r="L358" s="5"/>
      <c r="M358" s="5"/>
      <c r="N358" s="5"/>
    </row>
    <row r="359" spans="1:14" x14ac:dyDescent="0.25">
      <c r="A359" t="s">
        <v>208</v>
      </c>
      <c r="C359" t="s">
        <v>217</v>
      </c>
      <c r="J359" t="s">
        <v>85</v>
      </c>
      <c r="K359">
        <v>100</v>
      </c>
      <c r="L359" t="s">
        <v>38</v>
      </c>
    </row>
    <row r="360" spans="1:14" x14ac:dyDescent="0.25">
      <c r="A360" s="26" t="s">
        <v>209</v>
      </c>
      <c r="C360" t="s">
        <v>218</v>
      </c>
      <c r="J360" t="s">
        <v>85</v>
      </c>
      <c r="K360">
        <v>100</v>
      </c>
      <c r="L360" t="s">
        <v>38</v>
      </c>
    </row>
    <row r="361" spans="1:14" x14ac:dyDescent="0.25">
      <c r="A361" s="26" t="s">
        <v>210</v>
      </c>
      <c r="C361" t="s">
        <v>219</v>
      </c>
      <c r="J361" t="s">
        <v>85</v>
      </c>
      <c r="K361">
        <v>100</v>
      </c>
      <c r="L361" t="s">
        <v>38</v>
      </c>
    </row>
    <row r="362" spans="1:14" x14ac:dyDescent="0.25">
      <c r="A362" s="6" t="s">
        <v>211</v>
      </c>
    </row>
    <row r="363" spans="1:14" x14ac:dyDescent="0.25">
      <c r="A363" s="6" t="s">
        <v>212</v>
      </c>
      <c r="B363" s="8"/>
      <c r="C363" s="8"/>
      <c r="D363" s="9"/>
      <c r="E363" s="9"/>
      <c r="F363" s="8"/>
      <c r="G363" s="8"/>
      <c r="H363" s="8"/>
      <c r="I363" s="8"/>
      <c r="M363" s="8"/>
      <c r="N363" s="8"/>
    </row>
    <row r="364" spans="1:14" x14ac:dyDescent="0.25">
      <c r="A364" s="4" t="s">
        <v>22</v>
      </c>
      <c r="B364" s="4"/>
      <c r="C364" s="4"/>
      <c r="D364" s="4"/>
      <c r="E364" s="4"/>
      <c r="F364" s="4"/>
      <c r="G364" s="4"/>
      <c r="H364" s="4"/>
      <c r="I364" s="4"/>
      <c r="J364" s="5"/>
      <c r="K364" s="5"/>
      <c r="L364" s="5"/>
      <c r="M364" s="5"/>
      <c r="N364" s="5"/>
    </row>
    <row r="365" spans="1:14" x14ac:dyDescent="0.25">
      <c r="A365" t="s">
        <v>131</v>
      </c>
      <c r="C365" t="s">
        <v>133</v>
      </c>
      <c r="H365" t="s">
        <v>45</v>
      </c>
      <c r="J365" t="s">
        <v>85</v>
      </c>
      <c r="K365" s="21">
        <v>38</v>
      </c>
      <c r="L365" t="s">
        <v>38</v>
      </c>
      <c r="M365" s="11"/>
      <c r="N365" s="8" t="s">
        <v>92</v>
      </c>
    </row>
    <row r="366" spans="1:14" x14ac:dyDescent="0.25">
      <c r="A366" t="s">
        <v>131</v>
      </c>
      <c r="C366" t="s">
        <v>133</v>
      </c>
      <c r="F366" t="s">
        <v>134</v>
      </c>
      <c r="H366" t="s">
        <v>45</v>
      </c>
      <c r="J366" t="s">
        <v>86</v>
      </c>
      <c r="K366" s="21">
        <v>60</v>
      </c>
      <c r="L366" t="s">
        <v>38</v>
      </c>
      <c r="N366" s="8" t="s">
        <v>92</v>
      </c>
    </row>
    <row r="367" spans="1:14" x14ac:dyDescent="0.25">
      <c r="A367" t="s">
        <v>131</v>
      </c>
      <c r="C367" t="s">
        <v>133</v>
      </c>
      <c r="H367" t="s">
        <v>43</v>
      </c>
      <c r="J367" t="s">
        <v>85</v>
      </c>
      <c r="K367" s="21">
        <v>32</v>
      </c>
      <c r="L367" t="s">
        <v>38</v>
      </c>
      <c r="M367" t="s">
        <v>136</v>
      </c>
      <c r="N367" s="8"/>
    </row>
    <row r="368" spans="1:14" x14ac:dyDescent="0.25">
      <c r="A368" t="s">
        <v>131</v>
      </c>
      <c r="C368" t="s">
        <v>133</v>
      </c>
      <c r="F368" t="s">
        <v>135</v>
      </c>
      <c r="H368" t="s">
        <v>43</v>
      </c>
      <c r="J368" t="s">
        <v>86</v>
      </c>
      <c r="K368" s="21">
        <v>68</v>
      </c>
      <c r="L368" t="s">
        <v>38</v>
      </c>
      <c r="N368" s="8"/>
    </row>
    <row r="369" spans="1:14" x14ac:dyDescent="0.25">
      <c r="A369" s="4" t="s">
        <v>24</v>
      </c>
      <c r="B369" s="4"/>
      <c r="C369" s="4"/>
      <c r="D369" s="4"/>
      <c r="E369" s="4"/>
      <c r="F369" s="4"/>
      <c r="G369" s="4"/>
      <c r="H369" s="4"/>
      <c r="I369" s="4"/>
      <c r="J369" s="5"/>
      <c r="K369" s="5"/>
      <c r="L369" s="5"/>
      <c r="M369" s="5"/>
      <c r="N369" s="5"/>
    </row>
    <row r="370" spans="1:14" x14ac:dyDescent="0.25">
      <c r="A370" t="s">
        <v>223</v>
      </c>
      <c r="C370" t="s">
        <v>230</v>
      </c>
      <c r="J370" t="s">
        <v>85</v>
      </c>
      <c r="K370" s="22">
        <f>161/1000*100</f>
        <v>16.100000000000001</v>
      </c>
      <c r="L370" t="s">
        <v>38</v>
      </c>
      <c r="M370" t="s">
        <v>345</v>
      </c>
      <c r="N370" s="17" t="s">
        <v>347</v>
      </c>
    </row>
    <row r="371" spans="1:14" x14ac:dyDescent="0.25">
      <c r="A371" t="s">
        <v>223</v>
      </c>
      <c r="C371" t="s">
        <v>230</v>
      </c>
      <c r="F371" t="s">
        <v>231</v>
      </c>
      <c r="J371" t="s">
        <v>86</v>
      </c>
      <c r="K371" s="22">
        <f>(6.4+25.2)/1000/0.9*100</f>
        <v>3.5111111111111115</v>
      </c>
      <c r="L371" t="s">
        <v>38</v>
      </c>
      <c r="M371" t="s">
        <v>348</v>
      </c>
      <c r="N371" s="17" t="s">
        <v>347</v>
      </c>
    </row>
    <row r="372" spans="1:14" x14ac:dyDescent="0.25">
      <c r="A372" t="s">
        <v>223</v>
      </c>
      <c r="C372" t="s">
        <v>230</v>
      </c>
      <c r="F372" t="s">
        <v>232</v>
      </c>
      <c r="J372" t="s">
        <v>86</v>
      </c>
      <c r="K372" s="22">
        <f>19/1000/0.76*100</f>
        <v>2.5</v>
      </c>
      <c r="L372" t="s">
        <v>38</v>
      </c>
      <c r="M372" t="s">
        <v>349</v>
      </c>
      <c r="N372" s="17" t="s">
        <v>347</v>
      </c>
    </row>
    <row r="373" spans="1:14" x14ac:dyDescent="0.25">
      <c r="A373" t="s">
        <v>225</v>
      </c>
      <c r="C373" t="s">
        <v>230</v>
      </c>
      <c r="J373" t="s">
        <v>85</v>
      </c>
      <c r="K373" s="43">
        <f>K370/0.8</f>
        <v>20.125</v>
      </c>
      <c r="L373" t="s">
        <v>38</v>
      </c>
      <c r="M373" s="17" t="s">
        <v>350</v>
      </c>
    </row>
    <row r="374" spans="1:14" x14ac:dyDescent="0.25">
      <c r="A374" t="s">
        <v>225</v>
      </c>
      <c r="C374" t="s">
        <v>230</v>
      </c>
      <c r="F374" t="s">
        <v>231</v>
      </c>
      <c r="J374" t="s">
        <v>86</v>
      </c>
      <c r="K374" s="43">
        <f>K371</f>
        <v>3.5111111111111115</v>
      </c>
      <c r="L374" t="s">
        <v>38</v>
      </c>
    </row>
    <row r="375" spans="1:14" x14ac:dyDescent="0.25">
      <c r="A375" t="s">
        <v>225</v>
      </c>
      <c r="C375" t="s">
        <v>230</v>
      </c>
      <c r="F375" t="s">
        <v>232</v>
      </c>
      <c r="J375" t="s">
        <v>86</v>
      </c>
      <c r="K375" s="43">
        <f>K372</f>
        <v>2.5</v>
      </c>
      <c r="L375" t="s">
        <v>38</v>
      </c>
    </row>
    <row r="376" spans="1:14" x14ac:dyDescent="0.25">
      <c r="A376" s="6" t="s">
        <v>224</v>
      </c>
    </row>
    <row r="377" spans="1:14" x14ac:dyDescent="0.25">
      <c r="A377" s="4" t="s">
        <v>29</v>
      </c>
      <c r="B377" s="4"/>
      <c r="C377" s="4"/>
      <c r="D377" s="4"/>
      <c r="E377" s="4"/>
      <c r="F377" s="4"/>
      <c r="G377" s="4"/>
      <c r="H377" s="4"/>
      <c r="I377" s="4"/>
      <c r="J377" s="5"/>
      <c r="K377" s="5"/>
      <c r="L377" s="5"/>
      <c r="M377" s="5"/>
      <c r="N377" s="5"/>
    </row>
    <row r="378" spans="1:14" x14ac:dyDescent="0.25">
      <c r="A378" t="s">
        <v>233</v>
      </c>
      <c r="B378" s="10"/>
      <c r="C378" s="8" t="s">
        <v>243</v>
      </c>
      <c r="D378" s="10"/>
      <c r="E378" s="10"/>
      <c r="F378" s="10"/>
      <c r="G378" s="10"/>
      <c r="H378" s="10"/>
      <c r="I378" s="10"/>
      <c r="J378" t="s">
        <v>85</v>
      </c>
      <c r="K378" s="20">
        <v>70</v>
      </c>
      <c r="L378" s="9" t="s">
        <v>38</v>
      </c>
      <c r="M378" s="8"/>
      <c r="N378" s="8" t="s">
        <v>92</v>
      </c>
    </row>
    <row r="379" spans="1:14" x14ac:dyDescent="0.25">
      <c r="A379" t="s">
        <v>236</v>
      </c>
      <c r="B379" s="10"/>
      <c r="C379" s="8" t="s">
        <v>48</v>
      </c>
      <c r="D379" s="10"/>
      <c r="E379" s="10"/>
      <c r="F379" s="10"/>
      <c r="G379" s="10"/>
      <c r="H379" s="10"/>
      <c r="I379" s="10"/>
      <c r="J379" t="s">
        <v>85</v>
      </c>
      <c r="K379" s="20">
        <f>655*0.7</f>
        <v>458.49999999999994</v>
      </c>
      <c r="L379" s="9" t="s">
        <v>38</v>
      </c>
      <c r="M379" s="8"/>
      <c r="N379" s="8" t="s">
        <v>92</v>
      </c>
    </row>
    <row r="380" spans="1:14" x14ac:dyDescent="0.25">
      <c r="A380" t="s">
        <v>236</v>
      </c>
      <c r="B380" s="10"/>
      <c r="C380" s="8" t="s">
        <v>48</v>
      </c>
      <c r="D380" s="10"/>
      <c r="E380" s="10"/>
      <c r="F380" s="19" t="s">
        <v>130</v>
      </c>
      <c r="G380" s="10"/>
      <c r="H380" s="10"/>
      <c r="I380" s="10"/>
      <c r="J380" t="s">
        <v>86</v>
      </c>
      <c r="K380" s="20">
        <f>1*(K379/100)*0.2*100</f>
        <v>91.699999999999989</v>
      </c>
      <c r="L380" s="9" t="s">
        <v>38</v>
      </c>
      <c r="M380" s="8" t="s">
        <v>115</v>
      </c>
      <c r="N380" s="8" t="s">
        <v>114</v>
      </c>
    </row>
    <row r="381" spans="1:14" x14ac:dyDescent="0.25">
      <c r="B381" s="10"/>
      <c r="C381" s="8"/>
      <c r="D381" s="10"/>
      <c r="E381" s="10"/>
      <c r="F381" s="10" t="s">
        <v>181</v>
      </c>
      <c r="G381" s="10"/>
      <c r="H381" s="10"/>
      <c r="I381" s="10"/>
      <c r="K381" s="20"/>
      <c r="L381" s="9"/>
      <c r="M381" s="10" t="s">
        <v>182</v>
      </c>
      <c r="N381" s="8"/>
    </row>
    <row r="382" spans="1:14" x14ac:dyDescent="0.25">
      <c r="A382" t="s">
        <v>234</v>
      </c>
      <c r="B382" s="10"/>
      <c r="C382" s="9" t="s">
        <v>244</v>
      </c>
      <c r="D382" s="10"/>
      <c r="E382" s="10"/>
      <c r="F382" s="19"/>
      <c r="G382" s="10"/>
      <c r="H382" s="10"/>
      <c r="I382" s="10"/>
      <c r="J382" t="s">
        <v>85</v>
      </c>
      <c r="K382" s="20">
        <v>65</v>
      </c>
      <c r="L382" s="9" t="s">
        <v>38</v>
      </c>
      <c r="M382" s="8"/>
      <c r="N382" s="8" t="s">
        <v>92</v>
      </c>
    </row>
    <row r="383" spans="1:14" x14ac:dyDescent="0.25">
      <c r="A383" t="s">
        <v>234</v>
      </c>
      <c r="B383" s="10"/>
      <c r="C383" s="9" t="s">
        <v>244</v>
      </c>
      <c r="D383" s="10"/>
      <c r="E383" s="10"/>
      <c r="F383" s="19" t="s">
        <v>245</v>
      </c>
      <c r="G383" s="10"/>
      <c r="H383" s="10"/>
      <c r="I383" s="10"/>
      <c r="J383" t="s">
        <v>86</v>
      </c>
      <c r="K383" s="20">
        <v>35</v>
      </c>
      <c r="L383" s="9" t="s">
        <v>38</v>
      </c>
      <c r="M383" s="8"/>
      <c r="N383" s="8" t="s">
        <v>92</v>
      </c>
    </row>
    <row r="384" spans="1:14" x14ac:dyDescent="0.25">
      <c r="A384" t="s">
        <v>237</v>
      </c>
      <c r="B384" s="10"/>
      <c r="C384" s="9" t="s">
        <v>37</v>
      </c>
      <c r="D384" s="10"/>
      <c r="E384" s="10"/>
      <c r="F384" s="19"/>
      <c r="G384" s="10"/>
      <c r="H384" s="10"/>
      <c r="I384" s="10"/>
      <c r="J384" t="s">
        <v>85</v>
      </c>
      <c r="K384" s="20">
        <v>30</v>
      </c>
      <c r="L384" s="9" t="s">
        <v>38</v>
      </c>
      <c r="M384" s="8"/>
      <c r="N384" s="8" t="s">
        <v>92</v>
      </c>
    </row>
    <row r="385" spans="1:14" x14ac:dyDescent="0.25">
      <c r="A385" t="s">
        <v>237</v>
      </c>
      <c r="B385" s="10"/>
      <c r="C385" s="9" t="s">
        <v>37</v>
      </c>
      <c r="D385" s="10"/>
      <c r="E385" s="10"/>
      <c r="F385" s="10" t="s">
        <v>246</v>
      </c>
      <c r="G385" s="10"/>
      <c r="H385" s="10"/>
      <c r="I385" s="10"/>
      <c r="J385" s="6" t="s">
        <v>86</v>
      </c>
      <c r="K385" s="12">
        <v>11</v>
      </c>
      <c r="L385" s="11" t="s">
        <v>38</v>
      </c>
      <c r="M385" s="10" t="s">
        <v>337</v>
      </c>
      <c r="N385" s="10" t="s">
        <v>92</v>
      </c>
    </row>
    <row r="386" spans="1:14" x14ac:dyDescent="0.25">
      <c r="A386" s="4" t="s">
        <v>205</v>
      </c>
      <c r="B386" s="4"/>
      <c r="C386" s="4"/>
      <c r="D386" s="4"/>
      <c r="E386" s="4"/>
      <c r="F386" s="4"/>
      <c r="G386" s="4"/>
      <c r="H386" s="4"/>
      <c r="I386" s="4"/>
      <c r="J386" s="5"/>
      <c r="K386" s="5"/>
      <c r="L386" s="5"/>
      <c r="M386" s="5"/>
      <c r="N386" s="5"/>
    </row>
    <row r="387" spans="1:14" x14ac:dyDescent="0.25">
      <c r="A387" t="s">
        <v>201</v>
      </c>
      <c r="B387" s="10"/>
      <c r="C387" t="s">
        <v>133</v>
      </c>
      <c r="J387" t="s">
        <v>85</v>
      </c>
      <c r="K387" s="21">
        <v>38</v>
      </c>
      <c r="L387" t="s">
        <v>38</v>
      </c>
      <c r="M387" s="11" t="s">
        <v>207</v>
      </c>
      <c r="N387" s="8" t="s">
        <v>92</v>
      </c>
    </row>
    <row r="388" spans="1:14" x14ac:dyDescent="0.25">
      <c r="A388" t="s">
        <v>201</v>
      </c>
      <c r="B388" s="10"/>
      <c r="C388" t="s">
        <v>133</v>
      </c>
      <c r="F388" t="s">
        <v>134</v>
      </c>
      <c r="J388" t="s">
        <v>86</v>
      </c>
      <c r="K388" s="21">
        <v>60</v>
      </c>
      <c r="L388" t="s">
        <v>38</v>
      </c>
      <c r="N388" s="8" t="s">
        <v>92</v>
      </c>
    </row>
    <row r="389" spans="1:14" x14ac:dyDescent="0.25">
      <c r="A389" s="17" t="s">
        <v>200</v>
      </c>
      <c r="B389" s="10"/>
      <c r="C389" t="s">
        <v>37</v>
      </c>
      <c r="J389" t="s">
        <v>85</v>
      </c>
      <c r="K389" s="15">
        <f>(1*0.766) / (2.1/0.86) * 100</f>
        <v>31.369523809523809</v>
      </c>
      <c r="L389" s="17" t="s">
        <v>38</v>
      </c>
      <c r="M389" s="17" t="s">
        <v>342</v>
      </c>
      <c r="N389" s="9" t="s">
        <v>339</v>
      </c>
    </row>
    <row r="390" spans="1:14" x14ac:dyDescent="0.25">
      <c r="A390" s="17" t="s">
        <v>200</v>
      </c>
      <c r="B390" s="10"/>
      <c r="C390" t="s">
        <v>37</v>
      </c>
      <c r="F390" t="s">
        <v>318</v>
      </c>
      <c r="J390" t="s">
        <v>86</v>
      </c>
      <c r="K390" s="15">
        <f>(0.8/0.9) / (2.1/0.86) * 100</f>
        <v>36.402116402116405</v>
      </c>
      <c r="L390" s="17" t="s">
        <v>38</v>
      </c>
      <c r="M390" s="42" t="s">
        <v>338</v>
      </c>
      <c r="N390" s="9" t="s">
        <v>340</v>
      </c>
    </row>
    <row r="391" spans="1:14" x14ac:dyDescent="0.25">
      <c r="A391" s="6"/>
      <c r="B391" s="10"/>
      <c r="F391" s="6" t="s">
        <v>317</v>
      </c>
      <c r="K391" s="23"/>
      <c r="L391" s="6"/>
      <c r="M391" s="6" t="s">
        <v>319</v>
      </c>
      <c r="N391" s="9"/>
    </row>
    <row r="392" spans="1:14" x14ac:dyDescent="0.25">
      <c r="A392" s="4" t="s">
        <v>306</v>
      </c>
      <c r="B392" s="4"/>
      <c r="C392" s="4"/>
      <c r="D392" s="4"/>
      <c r="E392" s="4"/>
      <c r="F392" s="4"/>
      <c r="G392" s="4"/>
      <c r="H392" s="4"/>
      <c r="I392" s="4"/>
      <c r="J392" s="5"/>
      <c r="K392" s="38" t="s">
        <v>320</v>
      </c>
      <c r="L392" s="5"/>
      <c r="M392" s="5"/>
      <c r="N392" s="5"/>
    </row>
    <row r="393" spans="1:14" x14ac:dyDescent="0.25">
      <c r="A393" t="s">
        <v>278</v>
      </c>
      <c r="B393" s="10"/>
      <c r="C393" s="10"/>
      <c r="D393" s="19" t="s">
        <v>276</v>
      </c>
      <c r="E393" s="19" t="s">
        <v>277</v>
      </c>
      <c r="F393" s="10"/>
      <c r="G393" s="10"/>
      <c r="H393" s="10"/>
      <c r="I393" s="10"/>
      <c r="J393" t="s">
        <v>85</v>
      </c>
      <c r="K393" s="19">
        <v>100</v>
      </c>
      <c r="L393" s="8" t="s">
        <v>38</v>
      </c>
      <c r="M393" s="8"/>
      <c r="N393" s="8"/>
    </row>
    <row r="394" spans="1:14" x14ac:dyDescent="0.25">
      <c r="A394" t="s">
        <v>359</v>
      </c>
      <c r="B394" s="10"/>
      <c r="C394" s="10"/>
      <c r="D394" s="19" t="s">
        <v>361</v>
      </c>
      <c r="E394" s="19" t="s">
        <v>277</v>
      </c>
      <c r="F394" s="10"/>
      <c r="G394" s="10"/>
      <c r="H394" s="10"/>
      <c r="I394" s="10"/>
      <c r="J394" t="s">
        <v>85</v>
      </c>
      <c r="K394" s="19">
        <v>100</v>
      </c>
      <c r="L394" s="8" t="s">
        <v>38</v>
      </c>
      <c r="M394" s="8"/>
      <c r="N394" s="8"/>
    </row>
    <row r="395" spans="1:14" x14ac:dyDescent="0.25">
      <c r="B395" s="10"/>
      <c r="C395" s="10"/>
      <c r="D395" s="19"/>
      <c r="E395" s="19"/>
      <c r="F395" s="10"/>
      <c r="G395" s="10"/>
      <c r="H395" s="10"/>
      <c r="I395" s="10"/>
      <c r="K395" s="19"/>
      <c r="L395" s="8"/>
      <c r="M395" s="8"/>
      <c r="N395" s="8"/>
    </row>
    <row r="396" spans="1:14" x14ac:dyDescent="0.25">
      <c r="A396" s="2" t="s">
        <v>322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x14ac:dyDescent="0.25">
      <c r="A397" s="6" t="s">
        <v>323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157</v>
      </c>
    </row>
    <row r="9" spans="5:5" x14ac:dyDescent="0.25">
      <c r="E9" t="s">
        <v>160</v>
      </c>
    </row>
    <row r="10" spans="5:5" x14ac:dyDescent="0.25">
      <c r="E10" t="s">
        <v>158</v>
      </c>
    </row>
    <row r="11" spans="5:5" x14ac:dyDescent="0.25">
      <c r="E11" t="s">
        <v>159</v>
      </c>
    </row>
    <row r="12" spans="5:5" x14ac:dyDescent="0.25">
      <c r="E12" t="s">
        <v>162</v>
      </c>
    </row>
    <row r="13" spans="5:5" x14ac:dyDescent="0.25">
      <c r="E13" t="s">
        <v>161</v>
      </c>
    </row>
    <row r="15" spans="5:5" x14ac:dyDescent="0.25">
      <c r="E15" s="25" t="s">
        <v>163</v>
      </c>
    </row>
    <row r="16" spans="5:5" x14ac:dyDescent="0.25">
      <c r="E16" t="s">
        <v>164</v>
      </c>
    </row>
    <row r="17" spans="5:5" x14ac:dyDescent="0.25">
      <c r="E17" t="s">
        <v>165</v>
      </c>
    </row>
    <row r="19" spans="5:5" x14ac:dyDescent="0.25">
      <c r="E19" s="25" t="s">
        <v>166</v>
      </c>
    </row>
    <row r="20" spans="5:5" x14ac:dyDescent="0.25">
      <c r="E20" t="s">
        <v>168</v>
      </c>
    </row>
    <row r="21" spans="5:5" x14ac:dyDescent="0.25">
      <c r="E21" t="s">
        <v>167</v>
      </c>
    </row>
    <row r="23" spans="5:5" x14ac:dyDescent="0.25">
      <c r="E23" s="25" t="s">
        <v>169</v>
      </c>
    </row>
    <row r="24" spans="5:5" x14ac:dyDescent="0.25">
      <c r="E24" t="s">
        <v>170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282</v>
      </c>
    </row>
    <row r="2" spans="1:20" x14ac:dyDescent="0.25">
      <c r="A2" t="s">
        <v>284</v>
      </c>
      <c r="F2" s="31" t="s">
        <v>283</v>
      </c>
    </row>
    <row r="3" spans="1:20" x14ac:dyDescent="0.25">
      <c r="A3" t="s">
        <v>293</v>
      </c>
      <c r="F3" s="31" t="s">
        <v>292</v>
      </c>
    </row>
    <row r="4" spans="1:20" x14ac:dyDescent="0.25">
      <c r="F4" s="31"/>
    </row>
    <row r="5" spans="1:20" x14ac:dyDescent="0.25">
      <c r="C5" s="25" t="s">
        <v>309</v>
      </c>
    </row>
    <row r="6" spans="1:20" x14ac:dyDescent="0.25">
      <c r="C6" s="1" t="s">
        <v>281</v>
      </c>
      <c r="I6" s="1" t="s">
        <v>285</v>
      </c>
      <c r="O6" s="1" t="s">
        <v>294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288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288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288</v>
      </c>
    </row>
    <row r="8" spans="1:20" x14ac:dyDescent="0.25">
      <c r="A8" t="s">
        <v>166</v>
      </c>
      <c r="B8" t="s">
        <v>286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312</v>
      </c>
      <c r="B9" t="s">
        <v>287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313</v>
      </c>
      <c r="B10" t="s">
        <v>289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314</v>
      </c>
      <c r="B11" t="s">
        <v>290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315</v>
      </c>
      <c r="B12" t="s">
        <v>291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310</v>
      </c>
    </row>
    <row r="15" spans="1:20" x14ac:dyDescent="0.25">
      <c r="C15" s="1" t="s">
        <v>281</v>
      </c>
      <c r="I15" s="1" t="s">
        <v>285</v>
      </c>
      <c r="O15" s="1" t="s">
        <v>294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288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288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288</v>
      </c>
    </row>
    <row r="17" spans="1:20" x14ac:dyDescent="0.25">
      <c r="A17" t="s">
        <v>311</v>
      </c>
      <c r="B17" t="s">
        <v>208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321</v>
      </c>
    </row>
    <row r="2" spans="1:1" x14ac:dyDescent="0.25">
      <c r="A2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2023-11-24T10:34:16Z</dcterms:modified>
</cp:coreProperties>
</file>