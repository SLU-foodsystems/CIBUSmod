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horses" sheetId="7" r:id="rId6"/>
    <sheet name="poultry" sheetId="5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2" i="1" l="1"/>
  <c r="R20" i="2" l="1"/>
  <c r="R6" i="2"/>
  <c r="AB43" i="2"/>
  <c r="AB40" i="2"/>
  <c r="AB35" i="2"/>
  <c r="N33" i="2" l="1"/>
  <c r="AA17" i="2"/>
  <c r="N24" i="2"/>
  <c r="N23" i="2"/>
  <c r="L23" i="2"/>
  <c r="Y17" i="2"/>
  <c r="AF17" i="2" s="1"/>
  <c r="Z16" i="2"/>
  <c r="AD17" i="2" l="1"/>
  <c r="AC17" i="2"/>
  <c r="AH17" i="2"/>
  <c r="AG17" i="2" s="1"/>
  <c r="AJ17" i="2"/>
  <c r="AE17" i="2"/>
  <c r="AI17" i="2" s="1"/>
  <c r="AK17" i="2"/>
  <c r="Z17" i="2"/>
  <c r="K12" i="6"/>
  <c r="N20" i="2" l="1"/>
  <c r="N11" i="2"/>
  <c r="N10" i="2"/>
  <c r="N9" i="2"/>
  <c r="N8" i="2"/>
  <c r="N7" i="2"/>
  <c r="N6" i="2"/>
  <c r="C22" i="2" l="1"/>
  <c r="C21" i="2"/>
  <c r="C20" i="2"/>
  <c r="C19" i="2"/>
  <c r="C14" i="2"/>
  <c r="C15" i="2"/>
  <c r="C16" i="2"/>
  <c r="C17" i="2"/>
  <c r="C18" i="2"/>
  <c r="C13" i="2"/>
  <c r="V10" i="2" l="1"/>
  <c r="U10" i="2"/>
  <c r="V9" i="2"/>
  <c r="G9" i="2" s="1"/>
  <c r="U9" i="2"/>
  <c r="F9" i="2" s="1"/>
  <c r="V7" i="2"/>
  <c r="G7" i="2" s="1"/>
  <c r="U7" i="2"/>
  <c r="U11" i="2" s="1"/>
  <c r="F11" i="2" s="1"/>
  <c r="V8" i="2"/>
  <c r="G8" i="2" s="1"/>
  <c r="U8" i="2"/>
  <c r="S8" i="2"/>
  <c r="P8" i="2"/>
  <c r="O8" i="2"/>
  <c r="T8" i="2" s="1"/>
  <c r="E8" i="2" s="1"/>
  <c r="M8" i="2"/>
  <c r="V6" i="2"/>
  <c r="G6" i="2" s="1"/>
  <c r="U6" i="2"/>
  <c r="S6" i="2"/>
  <c r="G10" i="2"/>
  <c r="F10" i="2"/>
  <c r="F8" i="2"/>
  <c r="F7" i="2"/>
  <c r="F6" i="2"/>
  <c r="AK36" i="2"/>
  <c r="AJ36" i="2"/>
  <c r="V33" i="2"/>
  <c r="U33" i="2"/>
  <c r="V31" i="2"/>
  <c r="G31" i="2" s="1"/>
  <c r="U31" i="2"/>
  <c r="F31" i="2" s="1"/>
  <c r="V20" i="2"/>
  <c r="U20" i="2"/>
  <c r="T33" i="2"/>
  <c r="T23" i="2"/>
  <c r="T10" i="2"/>
  <c r="E10" i="2" s="1"/>
  <c r="AI3" i="2"/>
  <c r="AI36" i="2" s="1"/>
  <c r="T3" i="2"/>
  <c r="T20" i="2" s="1"/>
  <c r="T31" i="2" l="1"/>
  <c r="E31" i="2" s="1"/>
  <c r="V11" i="2"/>
  <c r="G11" i="2" s="1"/>
  <c r="L242" i="1"/>
  <c r="L243" i="1"/>
  <c r="L244" i="1"/>
  <c r="L245" i="1"/>
  <c r="L253" i="1"/>
  <c r="L257" i="1"/>
  <c r="L263" i="1"/>
  <c r="L241" i="1"/>
  <c r="Y37" i="2" l="1"/>
  <c r="AG36" i="2"/>
  <c r="D23" i="2"/>
  <c r="L187" i="1" s="1"/>
  <c r="C11" i="2"/>
  <c r="C10" i="2"/>
  <c r="C9" i="2"/>
  <c r="C8" i="2"/>
  <c r="C7" i="2"/>
  <c r="C6" i="2"/>
  <c r="AA36" i="2"/>
  <c r="R31" i="2"/>
  <c r="L31" i="2" s="1"/>
  <c r="D31" i="2" s="1"/>
  <c r="L195" i="1" s="1"/>
  <c r="L20" i="2"/>
  <c r="D20" i="2" s="1"/>
  <c r="L184" i="1" s="1"/>
  <c r="O6" i="2"/>
  <c r="T6" i="2" s="1"/>
  <c r="E6" i="2" s="1"/>
  <c r="S7" i="2"/>
  <c r="S9" i="2"/>
  <c r="O9" i="2"/>
  <c r="T9" i="2" s="1"/>
  <c r="E9" i="2" s="1"/>
  <c r="M9" i="2"/>
  <c r="M7" i="2"/>
  <c r="S11" i="2"/>
  <c r="M11" i="2"/>
  <c r="O11" i="2"/>
  <c r="T11" i="2" s="1"/>
  <c r="E11" i="2" s="1"/>
  <c r="R10" i="2"/>
  <c r="L10" i="2" s="1"/>
  <c r="D10" i="2" s="1"/>
  <c r="L175" i="1" s="1"/>
  <c r="AD37" i="2" l="1"/>
  <c r="AK37" i="2"/>
  <c r="G37" i="2" s="1"/>
  <c r="AJ37" i="2"/>
  <c r="F37" i="2" s="1"/>
  <c r="R11" i="2"/>
  <c r="L11" i="2" s="1"/>
  <c r="D11" i="2" s="1"/>
  <c r="L176" i="1" s="1"/>
  <c r="AE37" i="2"/>
  <c r="AI37" i="2" s="1"/>
  <c r="E37" i="2" s="1"/>
  <c r="AC37" i="2"/>
  <c r="AH37" i="2"/>
  <c r="Z37" i="2"/>
  <c r="AF37" i="2"/>
  <c r="R8" i="2"/>
  <c r="L8" i="2" s="1"/>
  <c r="D8" i="2" s="1"/>
  <c r="L173" i="1" s="1"/>
  <c r="R9" i="2"/>
  <c r="L9" i="2" s="1"/>
  <c r="D9" i="2" s="1"/>
  <c r="L174" i="1" s="1"/>
  <c r="AG37" i="2" l="1"/>
  <c r="AA37" i="2" s="1"/>
  <c r="D37" i="2" s="1"/>
  <c r="L201" i="1" s="1"/>
  <c r="L6" i="2"/>
  <c r="D6" i="2" s="1"/>
  <c r="L171" i="1" s="1"/>
  <c r="O7" i="2" l="1"/>
  <c r="T7" i="2" s="1"/>
  <c r="E7" i="2" s="1"/>
  <c r="M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R7" i="2" l="1"/>
  <c r="L7" i="2" s="1"/>
  <c r="D7" i="2" s="1"/>
  <c r="L172" i="1" s="1"/>
  <c r="L273" i="1" l="1"/>
  <c r="O117" i="1" l="1"/>
  <c r="O116" i="1"/>
  <c r="O115" i="1"/>
  <c r="O114" i="1"/>
  <c r="O113" i="1"/>
  <c r="N115" i="1"/>
  <c r="N114" i="1"/>
  <c r="N113" i="1"/>
  <c r="M117" i="1"/>
  <c r="M116" i="1"/>
  <c r="M115" i="1"/>
  <c r="M114" i="1"/>
  <c r="M113" i="1"/>
  <c r="L117" i="1"/>
  <c r="L116" i="1"/>
  <c r="L114" i="1"/>
  <c r="L113" i="1"/>
  <c r="K117" i="1"/>
  <c r="K116" i="1"/>
  <c r="K115" i="1"/>
  <c r="K114" i="1"/>
  <c r="K113" i="1"/>
  <c r="E114" i="1"/>
  <c r="E113" i="1"/>
  <c r="B113" i="1"/>
  <c r="A117" i="1"/>
  <c r="A116" i="1"/>
  <c r="A115" i="1"/>
  <c r="A114" i="1"/>
  <c r="O111" i="1"/>
  <c r="O110" i="1"/>
  <c r="O109" i="1"/>
  <c r="O108" i="1"/>
  <c r="O107" i="1"/>
  <c r="N109" i="1"/>
  <c r="N108" i="1"/>
  <c r="N107" i="1"/>
  <c r="M111" i="1"/>
  <c r="M110" i="1"/>
  <c r="M109" i="1"/>
  <c r="M108" i="1"/>
  <c r="M107" i="1"/>
  <c r="L111" i="1"/>
  <c r="L110" i="1"/>
  <c r="L108" i="1"/>
  <c r="L107" i="1"/>
  <c r="E108" i="1"/>
  <c r="E107" i="1"/>
  <c r="B107" i="1"/>
  <c r="A111" i="1"/>
  <c r="A110" i="1"/>
  <c r="A109" i="1"/>
  <c r="A108" i="1"/>
  <c r="K111" i="1"/>
  <c r="K110" i="1"/>
  <c r="K109" i="1"/>
  <c r="K108" i="1"/>
  <c r="K107" i="1"/>
  <c r="A113" i="1"/>
  <c r="A107" i="1"/>
  <c r="O105" i="1"/>
  <c r="O104" i="1"/>
  <c r="O103" i="1"/>
  <c r="O102" i="1"/>
  <c r="O101" i="1"/>
  <c r="N103" i="1"/>
  <c r="N102" i="1"/>
  <c r="N101" i="1"/>
  <c r="M105" i="1"/>
  <c r="L105" i="1"/>
  <c r="M104" i="1"/>
  <c r="L104" i="1"/>
  <c r="M103" i="1"/>
  <c r="M102" i="1"/>
  <c r="L102" i="1"/>
  <c r="M101" i="1"/>
  <c r="L101" i="1"/>
  <c r="K105" i="1"/>
  <c r="K104" i="1"/>
  <c r="K103" i="1"/>
  <c r="K102" i="1"/>
  <c r="K101" i="1"/>
  <c r="E102" i="1"/>
  <c r="E101" i="1"/>
  <c r="B101" i="1"/>
  <c r="A105" i="1"/>
  <c r="A104" i="1"/>
  <c r="A103" i="1"/>
  <c r="A102" i="1"/>
  <c r="A101" i="1"/>
  <c r="O92" i="1"/>
  <c r="O93" i="1"/>
  <c r="O94" i="1"/>
  <c r="O95" i="1"/>
  <c r="O96" i="1"/>
  <c r="O97" i="1"/>
  <c r="O98" i="1"/>
  <c r="O99" i="1"/>
  <c r="O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M99" i="1"/>
  <c r="N91" i="1"/>
  <c r="M91" i="1"/>
  <c r="L93" i="1"/>
  <c r="L94" i="1"/>
  <c r="L95" i="1"/>
  <c r="L96" i="1"/>
  <c r="L98" i="1"/>
  <c r="L99" i="1"/>
  <c r="K92" i="1"/>
  <c r="K93" i="1"/>
  <c r="K94" i="1"/>
  <c r="K95" i="1"/>
  <c r="K96" i="1"/>
  <c r="K97" i="1"/>
  <c r="K98" i="1"/>
  <c r="K99" i="1"/>
  <c r="K91" i="1"/>
  <c r="E96" i="1"/>
  <c r="E95" i="1"/>
  <c r="B95" i="1"/>
  <c r="E91" i="1"/>
  <c r="B91" i="1"/>
  <c r="A92" i="1"/>
  <c r="A93" i="1"/>
  <c r="A94" i="1"/>
  <c r="A95" i="1"/>
  <c r="A96" i="1"/>
  <c r="A97" i="1"/>
  <c r="A98" i="1"/>
  <c r="A99" i="1"/>
  <c r="A91" i="1"/>
  <c r="L88" i="1"/>
  <c r="L115" i="1" s="1"/>
  <c r="L83" i="1"/>
  <c r="L92" i="1" s="1"/>
  <c r="L82" i="1"/>
  <c r="L91" i="1" s="1"/>
  <c r="L120" i="1"/>
  <c r="L119" i="1"/>
  <c r="L109" i="1" l="1"/>
  <c r="L97" i="1"/>
  <c r="L103" i="1"/>
  <c r="AO37" i="2"/>
  <c r="AP37" i="2" s="1"/>
  <c r="C37" i="2" s="1"/>
  <c r="L163" i="1" s="1"/>
  <c r="L134" i="1" l="1"/>
  <c r="L135" i="1"/>
  <c r="L136" i="1"/>
  <c r="L137" i="1"/>
  <c r="L138" i="1"/>
  <c r="L133" i="1"/>
  <c r="AO14" i="2"/>
  <c r="AP14" i="2" s="1"/>
  <c r="AO15" i="2"/>
  <c r="AP15" i="2" s="1"/>
  <c r="AO16" i="2"/>
  <c r="AP16" i="2" s="1"/>
  <c r="AO17" i="2"/>
  <c r="AP17" i="2" s="1"/>
  <c r="AO18" i="2"/>
  <c r="AP18" i="2" s="1"/>
  <c r="AO19" i="2"/>
  <c r="AP19" i="2" s="1"/>
  <c r="AO23" i="2"/>
  <c r="AP23" i="2" s="1"/>
  <c r="AO26" i="2"/>
  <c r="AP26" i="2" s="1"/>
  <c r="AO28" i="2"/>
  <c r="AP28" i="2" s="1"/>
  <c r="AO32" i="2"/>
  <c r="AP32" i="2" s="1"/>
  <c r="AO33" i="2"/>
  <c r="AP33" i="2" s="1"/>
  <c r="AO42" i="2"/>
  <c r="AP42" i="2" s="1"/>
  <c r="AO43" i="2"/>
  <c r="AP43" i="2" s="1"/>
  <c r="AO13" i="2"/>
  <c r="AP13" i="2" s="1"/>
  <c r="J13" i="2"/>
  <c r="N13" i="2" s="1"/>
  <c r="S13" i="2" l="1"/>
  <c r="V13" i="2"/>
  <c r="U13" i="2"/>
  <c r="K13" i="2"/>
  <c r="R13" i="2"/>
  <c r="O13" i="2"/>
  <c r="T13" i="2" s="1"/>
  <c r="Q13" i="2"/>
  <c r="P13" i="2"/>
  <c r="L246" i="1" s="1"/>
  <c r="L226" i="1"/>
  <c r="L222" i="1"/>
  <c r="L285" i="1" s="1"/>
  <c r="L232" i="1"/>
  <c r="J25" i="2"/>
  <c r="N25" i="2" s="1"/>
  <c r="C31" i="2"/>
  <c r="L157" i="1" s="1"/>
  <c r="J17" i="2"/>
  <c r="N17" i="2" s="1"/>
  <c r="S17" i="2" l="1"/>
  <c r="V17" i="2"/>
  <c r="G17" i="2" s="1"/>
  <c r="U17" i="2"/>
  <c r="F17" i="2" s="1"/>
  <c r="S25" i="2"/>
  <c r="V25" i="2"/>
  <c r="G25" i="2" s="1"/>
  <c r="U25" i="2"/>
  <c r="F25" i="2" s="1"/>
  <c r="L13" i="2"/>
  <c r="D13" i="2" s="1"/>
  <c r="L177" i="1" s="1"/>
  <c r="L29" i="1"/>
  <c r="M17" i="2"/>
  <c r="L219" i="1" s="1"/>
  <c r="L282" i="1" s="1"/>
  <c r="R17" i="2"/>
  <c r="Q17" i="2"/>
  <c r="P17" i="2"/>
  <c r="L250" i="1" s="1"/>
  <c r="O17" i="2"/>
  <c r="T17" i="2" s="1"/>
  <c r="E17" i="2" s="1"/>
  <c r="K25" i="2"/>
  <c r="C25" i="2" s="1"/>
  <c r="L23" i="1" s="1"/>
  <c r="R25" i="2"/>
  <c r="O25" i="2"/>
  <c r="T25" i="2" s="1"/>
  <c r="E25" i="2" s="1"/>
  <c r="Q25" i="2"/>
  <c r="P25" i="2"/>
  <c r="L258" i="1" s="1"/>
  <c r="K17" i="2"/>
  <c r="L14" i="1" s="1"/>
  <c r="M25" i="2"/>
  <c r="L227" i="1" s="1"/>
  <c r="L335" i="1"/>
  <c r="L34" i="1"/>
  <c r="L9" i="1"/>
  <c r="L8" i="1"/>
  <c r="L5" i="1"/>
  <c r="L6" i="1"/>
  <c r="L7" i="1"/>
  <c r="L4" i="1"/>
  <c r="L211" i="1"/>
  <c r="L212" i="1"/>
  <c r="L213" i="1"/>
  <c r="L214" i="1"/>
  <c r="L274" i="1" s="1"/>
  <c r="L210" i="1"/>
  <c r="Y23" i="2"/>
  <c r="J36" i="2"/>
  <c r="N36" i="2" s="1"/>
  <c r="AK23" i="2" l="1"/>
  <c r="G23" i="2" s="1"/>
  <c r="AJ23" i="2"/>
  <c r="F23" i="2" s="1"/>
  <c r="S36" i="2"/>
  <c r="V36" i="2"/>
  <c r="G36" i="2" s="1"/>
  <c r="U36" i="2"/>
  <c r="F36" i="2" s="1"/>
  <c r="L17" i="2"/>
  <c r="D17" i="2" s="1"/>
  <c r="L181" i="1" s="1"/>
  <c r="L25" i="2"/>
  <c r="D25" i="2" s="1"/>
  <c r="L189" i="1" s="1"/>
  <c r="AD23" i="2"/>
  <c r="L298" i="1" s="1"/>
  <c r="AE23" i="2"/>
  <c r="AI23" i="2" s="1"/>
  <c r="E23" i="2" s="1"/>
  <c r="AF23" i="2"/>
  <c r="AH23" i="2"/>
  <c r="L151" i="1"/>
  <c r="K36" i="2"/>
  <c r="C36" i="2" s="1"/>
  <c r="L162" i="1" s="1"/>
  <c r="R36" i="2"/>
  <c r="O36" i="2"/>
  <c r="T36" i="2" s="1"/>
  <c r="E36" i="2" s="1"/>
  <c r="Q36" i="2"/>
  <c r="P36" i="2"/>
  <c r="L266" i="1" s="1"/>
  <c r="L143" i="1"/>
  <c r="Z23" i="2"/>
  <c r="C23" i="2" s="1"/>
  <c r="AC23" i="2"/>
  <c r="L325" i="1" s="1"/>
  <c r="M36" i="2"/>
  <c r="L235" i="1" s="1"/>
  <c r="AG23" i="2" l="1"/>
  <c r="AA23" i="2" s="1"/>
  <c r="L36" i="2"/>
  <c r="D36" i="2" s="1"/>
  <c r="L200" i="1" s="1"/>
  <c r="L20" i="1"/>
  <c r="L149" i="1"/>
  <c r="J40" i="2"/>
  <c r="N40" i="2" s="1"/>
  <c r="J14" i="2"/>
  <c r="N14" i="2" s="1"/>
  <c r="J15" i="2"/>
  <c r="N15" i="2" s="1"/>
  <c r="J16" i="2"/>
  <c r="N16" i="2" s="1"/>
  <c r="J18" i="2"/>
  <c r="N18" i="2" s="1"/>
  <c r="J19" i="2"/>
  <c r="N19" i="2" s="1"/>
  <c r="J21" i="2"/>
  <c r="N21" i="2" s="1"/>
  <c r="J22" i="2"/>
  <c r="N22" i="2" s="1"/>
  <c r="J24" i="2"/>
  <c r="J26" i="2"/>
  <c r="N26" i="2" s="1"/>
  <c r="J28" i="2"/>
  <c r="N28" i="2" s="1"/>
  <c r="J29" i="2"/>
  <c r="N29" i="2" s="1"/>
  <c r="J30" i="2"/>
  <c r="N30" i="2" s="1"/>
  <c r="J32" i="2"/>
  <c r="N32" i="2" s="1"/>
  <c r="J34" i="2"/>
  <c r="N34" i="2" s="1"/>
  <c r="J38" i="2"/>
  <c r="N38" i="2" s="1"/>
  <c r="J39" i="2"/>
  <c r="N39" i="2" s="1"/>
  <c r="J42" i="2"/>
  <c r="N42" i="2" s="1"/>
  <c r="M13" i="2"/>
  <c r="L215" i="1" s="1"/>
  <c r="L278" i="1" s="1"/>
  <c r="Y13" i="2"/>
  <c r="S38" i="2" l="1"/>
  <c r="V38" i="2"/>
  <c r="U38" i="2"/>
  <c r="S16" i="2"/>
  <c r="V16" i="2"/>
  <c r="U16" i="2"/>
  <c r="S34" i="2"/>
  <c r="U34" i="2"/>
  <c r="V34" i="2"/>
  <c r="S32" i="2"/>
  <c r="R33" i="2" s="1"/>
  <c r="L33" i="2" s="1"/>
  <c r="D33" i="2" s="1"/>
  <c r="L197" i="1" s="1"/>
  <c r="V32" i="2"/>
  <c r="U32" i="2"/>
  <c r="S19" i="2"/>
  <c r="U19" i="2"/>
  <c r="V19" i="2"/>
  <c r="S14" i="2"/>
  <c r="V14" i="2"/>
  <c r="U14" i="2"/>
  <c r="AJ13" i="2"/>
  <c r="F13" i="2" s="1"/>
  <c r="AK13" i="2"/>
  <c r="G13" i="2" s="1"/>
  <c r="S29" i="2"/>
  <c r="V29" i="2"/>
  <c r="U29" i="2"/>
  <c r="S22" i="2"/>
  <c r="U22" i="2"/>
  <c r="V22" i="2"/>
  <c r="S28" i="2"/>
  <c r="U28" i="2"/>
  <c r="V28" i="2"/>
  <c r="S21" i="2"/>
  <c r="V21" i="2"/>
  <c r="U21" i="2"/>
  <c r="S15" i="2"/>
  <c r="U15" i="2"/>
  <c r="V15" i="2"/>
  <c r="S42" i="2"/>
  <c r="V42" i="2"/>
  <c r="U42" i="2"/>
  <c r="S26" i="2"/>
  <c r="V26" i="2"/>
  <c r="U26" i="2"/>
  <c r="S39" i="2"/>
  <c r="V39" i="2"/>
  <c r="U39" i="2"/>
  <c r="S30" i="2"/>
  <c r="U30" i="2"/>
  <c r="V30" i="2"/>
  <c r="S24" i="2"/>
  <c r="V24" i="2"/>
  <c r="G24" i="2" s="1"/>
  <c r="U24" i="2"/>
  <c r="F24" i="2" s="1"/>
  <c r="S18" i="2"/>
  <c r="V18" i="2"/>
  <c r="U18" i="2"/>
  <c r="S40" i="2"/>
  <c r="U40" i="2"/>
  <c r="V40" i="2"/>
  <c r="AE13" i="2"/>
  <c r="AI13" i="2" s="1"/>
  <c r="E13" i="2" s="1"/>
  <c r="AH13" i="2"/>
  <c r="AF13" i="2"/>
  <c r="K42" i="2"/>
  <c r="R42" i="2"/>
  <c r="O42" i="2"/>
  <c r="T42" i="2" s="1"/>
  <c r="Q42" i="2"/>
  <c r="P42" i="2"/>
  <c r="L270" i="1" s="1"/>
  <c r="K32" i="2"/>
  <c r="R32" i="2"/>
  <c r="P32" i="2"/>
  <c r="L264" i="1" s="1"/>
  <c r="O32" i="2"/>
  <c r="Q32" i="2"/>
  <c r="R26" i="2"/>
  <c r="P26" i="2"/>
  <c r="L259" i="1" s="1"/>
  <c r="O26" i="2"/>
  <c r="Q26" i="2"/>
  <c r="K19" i="2"/>
  <c r="R19" i="2"/>
  <c r="Q19" i="2"/>
  <c r="P19" i="2"/>
  <c r="L252" i="1" s="1"/>
  <c r="O19" i="2"/>
  <c r="T19" i="2" s="1"/>
  <c r="K14" i="2"/>
  <c r="R14" i="2"/>
  <c r="P14" i="2"/>
  <c r="L247" i="1" s="1"/>
  <c r="O14" i="2"/>
  <c r="T14" i="2" s="1"/>
  <c r="Q14" i="2"/>
  <c r="M39" i="2"/>
  <c r="L237" i="1" s="1"/>
  <c r="R39" i="2"/>
  <c r="O39" i="2"/>
  <c r="T39" i="2" s="1"/>
  <c r="Q39" i="2"/>
  <c r="P39" i="2"/>
  <c r="L268" i="1" s="1"/>
  <c r="M30" i="2"/>
  <c r="L231" i="1" s="1"/>
  <c r="R30" i="2"/>
  <c r="Q30" i="2"/>
  <c r="P30" i="2"/>
  <c r="L262" i="1" s="1"/>
  <c r="O30" i="2"/>
  <c r="T30" i="2" s="1"/>
  <c r="M24" i="2"/>
  <c r="L225" i="1" s="1"/>
  <c r="R24" i="2"/>
  <c r="P24" i="2"/>
  <c r="L256" i="1" s="1"/>
  <c r="O24" i="2"/>
  <c r="T24" i="2" s="1"/>
  <c r="E24" i="2" s="1"/>
  <c r="Q24" i="2"/>
  <c r="M18" i="2"/>
  <c r="L220" i="1" s="1"/>
  <c r="L283" i="1" s="1"/>
  <c r="R18" i="2"/>
  <c r="P18" i="2"/>
  <c r="L251" i="1" s="1"/>
  <c r="O18" i="2"/>
  <c r="T18" i="2" s="1"/>
  <c r="Q18" i="2"/>
  <c r="M40" i="2"/>
  <c r="L238" i="1" s="1"/>
  <c r="R40" i="2"/>
  <c r="P40" i="2"/>
  <c r="L269" i="1" s="1"/>
  <c r="Q40" i="2"/>
  <c r="O40" i="2"/>
  <c r="K38" i="2"/>
  <c r="R38" i="2"/>
  <c r="P38" i="2"/>
  <c r="L267" i="1" s="1"/>
  <c r="Q38" i="2"/>
  <c r="O38" i="2"/>
  <c r="T38" i="2" s="1"/>
  <c r="K29" i="2"/>
  <c r="R29" i="2"/>
  <c r="P29" i="2"/>
  <c r="L261" i="1" s="1"/>
  <c r="O29" i="2"/>
  <c r="T29" i="2" s="1"/>
  <c r="Q29" i="2"/>
  <c r="K22" i="2"/>
  <c r="R22" i="2"/>
  <c r="Q22" i="2"/>
  <c r="P22" i="2"/>
  <c r="L255" i="1" s="1"/>
  <c r="O22" i="2"/>
  <c r="T22" i="2" s="1"/>
  <c r="K16" i="2"/>
  <c r="R16" i="2"/>
  <c r="P16" i="2"/>
  <c r="L249" i="1" s="1"/>
  <c r="O16" i="2"/>
  <c r="T16" i="2" s="1"/>
  <c r="Q16" i="2"/>
  <c r="K34" i="2"/>
  <c r="R34" i="2"/>
  <c r="P34" i="2"/>
  <c r="L265" i="1" s="1"/>
  <c r="Q34" i="2"/>
  <c r="O34" i="2"/>
  <c r="T34" i="2" s="1"/>
  <c r="K28" i="2"/>
  <c r="R28" i="2"/>
  <c r="Q28" i="2"/>
  <c r="P28" i="2"/>
  <c r="L260" i="1" s="1"/>
  <c r="O28" i="2"/>
  <c r="T28" i="2" s="1"/>
  <c r="K21" i="2"/>
  <c r="R21" i="2"/>
  <c r="P21" i="2"/>
  <c r="L254" i="1" s="1"/>
  <c r="O21" i="2"/>
  <c r="T21" i="2" s="1"/>
  <c r="Q21" i="2"/>
  <c r="K15" i="2"/>
  <c r="R15" i="2"/>
  <c r="Q15" i="2"/>
  <c r="P15" i="2"/>
  <c r="L248" i="1" s="1"/>
  <c r="O15" i="2"/>
  <c r="K26" i="2"/>
  <c r="M26" i="2"/>
  <c r="L228" i="1" s="1"/>
  <c r="K40" i="2"/>
  <c r="M34" i="2"/>
  <c r="L234" i="1" s="1"/>
  <c r="M28" i="2"/>
  <c r="L229" i="1" s="1"/>
  <c r="M21" i="2"/>
  <c r="L223" i="1" s="1"/>
  <c r="M15" i="2"/>
  <c r="L217" i="1" s="1"/>
  <c r="K39" i="2"/>
  <c r="K30" i="2"/>
  <c r="K24" i="2"/>
  <c r="C24" i="2" s="1"/>
  <c r="K18" i="2"/>
  <c r="M42" i="2"/>
  <c r="L239" i="1" s="1"/>
  <c r="M38" i="2"/>
  <c r="L236" i="1" s="1"/>
  <c r="M32" i="2"/>
  <c r="L233" i="1" s="1"/>
  <c r="M29" i="2"/>
  <c r="L230" i="1" s="1"/>
  <c r="M22" i="2"/>
  <c r="L224" i="1" s="1"/>
  <c r="M19" i="2"/>
  <c r="L221" i="1" s="1"/>
  <c r="L284" i="1" s="1"/>
  <c r="M16" i="2"/>
  <c r="L218" i="1" s="1"/>
  <c r="L281" i="1" s="1"/>
  <c r="M14" i="2"/>
  <c r="L216" i="1" s="1"/>
  <c r="Y43" i="2"/>
  <c r="Y14" i="2"/>
  <c r="Y15" i="2"/>
  <c r="Y16" i="2"/>
  <c r="Y18" i="2"/>
  <c r="Y19" i="2"/>
  <c r="Y20" i="2"/>
  <c r="Y21" i="2"/>
  <c r="Y22" i="2"/>
  <c r="Y26" i="2"/>
  <c r="Y27" i="2"/>
  <c r="Y28" i="2"/>
  <c r="Y29" i="2"/>
  <c r="Y30" i="2"/>
  <c r="Y32" i="2"/>
  <c r="Y33" i="2"/>
  <c r="Y34" i="2"/>
  <c r="Y35" i="2"/>
  <c r="Y38" i="2"/>
  <c r="Y39" i="2"/>
  <c r="Y40" i="2"/>
  <c r="Y41" i="2"/>
  <c r="Y42" i="2"/>
  <c r="AC13" i="2"/>
  <c r="L316" i="1" s="1"/>
  <c r="AJ34" i="2" l="1"/>
  <c r="AK34" i="2"/>
  <c r="AJ18" i="2"/>
  <c r="F18" i="2" s="1"/>
  <c r="AK18" i="2"/>
  <c r="G18" i="2" s="1"/>
  <c r="AJ43" i="2"/>
  <c r="F43" i="2" s="1"/>
  <c r="AK43" i="2"/>
  <c r="G43" i="2" s="1"/>
  <c r="L40" i="2"/>
  <c r="D40" i="2" s="1"/>
  <c r="L204" i="1" s="1"/>
  <c r="T40" i="2"/>
  <c r="F34" i="2"/>
  <c r="AJ39" i="2"/>
  <c r="F39" i="2" s="1"/>
  <c r="AK39" i="2"/>
  <c r="AJ33" i="2"/>
  <c r="F33" i="2" s="1"/>
  <c r="AK33" i="2"/>
  <c r="G33" i="2" s="1"/>
  <c r="AJ28" i="2"/>
  <c r="F28" i="2" s="1"/>
  <c r="AK28" i="2"/>
  <c r="G28" i="2" s="1"/>
  <c r="AK21" i="2"/>
  <c r="G21" i="2" s="1"/>
  <c r="AJ21" i="2"/>
  <c r="F21" i="2" s="1"/>
  <c r="AK16" i="2"/>
  <c r="G16" i="2" s="1"/>
  <c r="AJ16" i="2"/>
  <c r="F16" i="2" s="1"/>
  <c r="G39" i="2"/>
  <c r="AK29" i="2"/>
  <c r="G29" i="2" s="1"/>
  <c r="AJ29" i="2"/>
  <c r="F29" i="2" s="1"/>
  <c r="L15" i="2"/>
  <c r="D15" i="2" s="1"/>
  <c r="L179" i="1" s="1"/>
  <c r="T15" i="2"/>
  <c r="L26" i="2"/>
  <c r="D26" i="2" s="1"/>
  <c r="L190" i="1" s="1"/>
  <c r="T26" i="2"/>
  <c r="L32" i="2"/>
  <c r="D32" i="2" s="1"/>
  <c r="L196" i="1" s="1"/>
  <c r="T32" i="2"/>
  <c r="AK42" i="2"/>
  <c r="G42" i="2" s="1"/>
  <c r="AJ42" i="2"/>
  <c r="F42" i="2" s="1"/>
  <c r="AK38" i="2"/>
  <c r="G38" i="2" s="1"/>
  <c r="AJ38" i="2"/>
  <c r="F38" i="2" s="1"/>
  <c r="AK32" i="2"/>
  <c r="G32" i="2" s="1"/>
  <c r="AJ32" i="2"/>
  <c r="F32" i="2" s="1"/>
  <c r="AK27" i="2"/>
  <c r="G27" i="2" s="1"/>
  <c r="AJ27" i="2"/>
  <c r="F27" i="2" s="1"/>
  <c r="AJ20" i="2"/>
  <c r="F20" i="2" s="1"/>
  <c r="AK20" i="2"/>
  <c r="G20" i="2" s="1"/>
  <c r="AJ15" i="2"/>
  <c r="F15" i="2" s="1"/>
  <c r="AK15" i="2"/>
  <c r="G15" i="2" s="1"/>
  <c r="AK40" i="2"/>
  <c r="G40" i="2" s="1"/>
  <c r="AJ40" i="2"/>
  <c r="F40" i="2" s="1"/>
  <c r="AJ22" i="2"/>
  <c r="F22" i="2" s="1"/>
  <c r="AK22" i="2"/>
  <c r="G22" i="2" s="1"/>
  <c r="AJ41" i="2"/>
  <c r="F41" i="2" s="1"/>
  <c r="AK41" i="2"/>
  <c r="G41" i="2" s="1"/>
  <c r="AK35" i="2"/>
  <c r="G35" i="2" s="1"/>
  <c r="AJ35" i="2"/>
  <c r="F35" i="2" s="1"/>
  <c r="AJ30" i="2"/>
  <c r="F30" i="2" s="1"/>
  <c r="AK30" i="2"/>
  <c r="G30" i="2" s="1"/>
  <c r="AJ26" i="2"/>
  <c r="F26" i="2" s="1"/>
  <c r="AK26" i="2"/>
  <c r="G26" i="2" s="1"/>
  <c r="AK19" i="2"/>
  <c r="G19" i="2" s="1"/>
  <c r="AJ19" i="2"/>
  <c r="F19" i="2" s="1"/>
  <c r="AK14" i="2"/>
  <c r="G14" i="2" s="1"/>
  <c r="AJ14" i="2"/>
  <c r="F14" i="2" s="1"/>
  <c r="G34" i="2"/>
  <c r="L16" i="2"/>
  <c r="L22" i="2"/>
  <c r="D22" i="2" s="1"/>
  <c r="L186" i="1" s="1"/>
  <c r="L21" i="2"/>
  <c r="D21" i="2" s="1"/>
  <c r="L185" i="1" s="1"/>
  <c r="L28" i="2"/>
  <c r="D28" i="2" s="1"/>
  <c r="L192" i="1" s="1"/>
  <c r="L18" i="2"/>
  <c r="D18" i="2" s="1"/>
  <c r="L182" i="1" s="1"/>
  <c r="L39" i="2"/>
  <c r="D39" i="2" s="1"/>
  <c r="L203" i="1" s="1"/>
  <c r="L14" i="2"/>
  <c r="D14" i="2" s="1"/>
  <c r="L178" i="1" s="1"/>
  <c r="L19" i="2"/>
  <c r="D19" i="2" s="1"/>
  <c r="L183" i="1" s="1"/>
  <c r="L42" i="2"/>
  <c r="D42" i="2" s="1"/>
  <c r="L206" i="1" s="1"/>
  <c r="L34" i="2"/>
  <c r="D34" i="2" s="1"/>
  <c r="L198" i="1" s="1"/>
  <c r="L29" i="2"/>
  <c r="D29" i="2" s="1"/>
  <c r="L193" i="1" s="1"/>
  <c r="L38" i="2"/>
  <c r="D38" i="2" s="1"/>
  <c r="L202" i="1" s="1"/>
  <c r="L24" i="2"/>
  <c r="D24" i="2" s="1"/>
  <c r="L188" i="1" s="1"/>
  <c r="L30" i="2"/>
  <c r="D30" i="2" s="1"/>
  <c r="L194" i="1" s="1"/>
  <c r="AG13" i="2"/>
  <c r="AA13" i="2" s="1"/>
  <c r="Z40" i="2"/>
  <c r="C40" i="2" s="1"/>
  <c r="L166" i="1" s="1"/>
  <c r="AE40" i="2"/>
  <c r="AI40" i="2" s="1"/>
  <c r="AF40" i="2"/>
  <c r="AH40" i="2"/>
  <c r="Z34" i="2"/>
  <c r="C34" i="2" s="1"/>
  <c r="L160" i="1" s="1"/>
  <c r="AE34" i="2"/>
  <c r="AI34" i="2" s="1"/>
  <c r="E34" i="2" s="1"/>
  <c r="AF34" i="2"/>
  <c r="AH34" i="2"/>
  <c r="Z29" i="2"/>
  <c r="C29" i="2" s="1"/>
  <c r="L155" i="1" s="1"/>
  <c r="AE29" i="2"/>
  <c r="AI29" i="2" s="1"/>
  <c r="E29" i="2" s="1"/>
  <c r="AF29" i="2"/>
  <c r="AH29" i="2"/>
  <c r="Z22" i="2"/>
  <c r="L19" i="1" s="1"/>
  <c r="AE22" i="2"/>
  <c r="AI22" i="2" s="1"/>
  <c r="E22" i="2" s="1"/>
  <c r="AH22" i="2"/>
  <c r="AF22" i="2"/>
  <c r="Z18" i="2"/>
  <c r="AH18" i="2"/>
  <c r="AE18" i="2"/>
  <c r="AI18" i="2" s="1"/>
  <c r="E18" i="2" s="1"/>
  <c r="AF18" i="2"/>
  <c r="AD43" i="2"/>
  <c r="L314" i="1" s="1"/>
  <c r="AH43" i="2"/>
  <c r="AE43" i="2"/>
  <c r="AI43" i="2" s="1"/>
  <c r="E43" i="2" s="1"/>
  <c r="AF43" i="2"/>
  <c r="AD39" i="2"/>
  <c r="L310" i="1" s="1"/>
  <c r="AH39" i="2"/>
  <c r="AE39" i="2"/>
  <c r="AI39" i="2" s="1"/>
  <c r="E39" i="2" s="1"/>
  <c r="AF39" i="2"/>
  <c r="AD33" i="2"/>
  <c r="L305" i="1" s="1"/>
  <c r="AH33" i="2"/>
  <c r="AE33" i="2"/>
  <c r="AI33" i="2" s="1"/>
  <c r="E33" i="2" s="1"/>
  <c r="AF33" i="2"/>
  <c r="AD28" i="2"/>
  <c r="L301" i="1" s="1"/>
  <c r="AE28" i="2"/>
  <c r="AI28" i="2" s="1"/>
  <c r="E28" i="2" s="1"/>
  <c r="AH28" i="2"/>
  <c r="AF28" i="2"/>
  <c r="AD21" i="2"/>
  <c r="L296" i="1" s="1"/>
  <c r="AH21" i="2"/>
  <c r="AF21" i="2"/>
  <c r="AE21" i="2"/>
  <c r="AI21" i="2" s="1"/>
  <c r="E21" i="2" s="1"/>
  <c r="AD16" i="2"/>
  <c r="L292" i="1" s="1"/>
  <c r="AH16" i="2"/>
  <c r="AF16" i="2"/>
  <c r="AE16" i="2"/>
  <c r="AI16" i="2" s="1"/>
  <c r="E16" i="2" s="1"/>
  <c r="AC42" i="2"/>
  <c r="L340" i="1" s="1"/>
  <c r="AH42" i="2"/>
  <c r="AF42" i="2"/>
  <c r="AE42" i="2"/>
  <c r="AI42" i="2" s="1"/>
  <c r="E42" i="2" s="1"/>
  <c r="AC38" i="2"/>
  <c r="L336" i="1" s="1"/>
  <c r="AH38" i="2"/>
  <c r="AF38" i="2"/>
  <c r="AE38" i="2"/>
  <c r="AI38" i="2" s="1"/>
  <c r="E38" i="2" s="1"/>
  <c r="AC32" i="2"/>
  <c r="L331" i="1" s="1"/>
  <c r="AH32" i="2"/>
  <c r="AF32" i="2"/>
  <c r="AE32" i="2"/>
  <c r="AI32" i="2" s="1"/>
  <c r="AC27" i="2"/>
  <c r="L327" i="1" s="1"/>
  <c r="AH27" i="2"/>
  <c r="AF27" i="2"/>
  <c r="AE27" i="2"/>
  <c r="AI27" i="2" s="1"/>
  <c r="E27" i="2" s="1"/>
  <c r="AC20" i="2"/>
  <c r="L322" i="1" s="1"/>
  <c r="AF20" i="2"/>
  <c r="AE20" i="2"/>
  <c r="AI20" i="2" s="1"/>
  <c r="E20" i="2" s="1"/>
  <c r="AH20" i="2"/>
  <c r="AC15" i="2"/>
  <c r="L318" i="1" s="1"/>
  <c r="AF15" i="2"/>
  <c r="AH15" i="2"/>
  <c r="AE15" i="2"/>
  <c r="AI15" i="2" s="1"/>
  <c r="Z41" i="2"/>
  <c r="C41" i="2" s="1"/>
  <c r="L167" i="1" s="1"/>
  <c r="AF41" i="2"/>
  <c r="AE41" i="2"/>
  <c r="AI41" i="2" s="1"/>
  <c r="E41" i="2" s="1"/>
  <c r="AH41" i="2"/>
  <c r="Z35" i="2"/>
  <c r="C35" i="2" s="1"/>
  <c r="L161" i="1" s="1"/>
  <c r="AF35" i="2"/>
  <c r="AE35" i="2"/>
  <c r="AI35" i="2" s="1"/>
  <c r="E35" i="2" s="1"/>
  <c r="AH35" i="2"/>
  <c r="Z30" i="2"/>
  <c r="C30" i="2" s="1"/>
  <c r="AF30" i="2"/>
  <c r="AH30" i="2"/>
  <c r="AE30" i="2"/>
  <c r="AI30" i="2" s="1"/>
  <c r="E30" i="2" s="1"/>
  <c r="Z26" i="2"/>
  <c r="C26" i="2" s="1"/>
  <c r="L152" i="1" s="1"/>
  <c r="AF26" i="2"/>
  <c r="AE26" i="2"/>
  <c r="AI26" i="2" s="1"/>
  <c r="AH26" i="2"/>
  <c r="Z19" i="2"/>
  <c r="AE19" i="2"/>
  <c r="AI19" i="2" s="1"/>
  <c r="E19" i="2" s="1"/>
  <c r="AF19" i="2"/>
  <c r="AH19" i="2"/>
  <c r="Z14" i="2"/>
  <c r="L11" i="1" s="1"/>
  <c r="AE14" i="2"/>
  <c r="AI14" i="2" s="1"/>
  <c r="E14" i="2" s="1"/>
  <c r="AF14" i="2"/>
  <c r="AH14" i="2"/>
  <c r="L16" i="1"/>
  <c r="L276" i="1"/>
  <c r="L280" i="1"/>
  <c r="L277" i="1"/>
  <c r="L279" i="1"/>
  <c r="L22" i="1"/>
  <c r="L150" i="1"/>
  <c r="Z42" i="2"/>
  <c r="C42" i="2" s="1"/>
  <c r="Z38" i="2"/>
  <c r="C38" i="2" s="1"/>
  <c r="Z32" i="2"/>
  <c r="C32" i="2" s="1"/>
  <c r="Z27" i="2"/>
  <c r="C27" i="2" s="1"/>
  <c r="Z20" i="2"/>
  <c r="Z15" i="2"/>
  <c r="AD41" i="2"/>
  <c r="L312" i="1" s="1"/>
  <c r="AD35" i="2"/>
  <c r="L307" i="1" s="1"/>
  <c r="AD30" i="2"/>
  <c r="L303" i="1" s="1"/>
  <c r="AD26" i="2"/>
  <c r="L299" i="1" s="1"/>
  <c r="AD19" i="2"/>
  <c r="L294" i="1" s="1"/>
  <c r="AD14" i="2"/>
  <c r="L290" i="1" s="1"/>
  <c r="AC43" i="2"/>
  <c r="L341" i="1" s="1"/>
  <c r="AD40" i="2"/>
  <c r="L311" i="1" s="1"/>
  <c r="AD34" i="2"/>
  <c r="AD29" i="2"/>
  <c r="L302" i="1" s="1"/>
  <c r="AD22" i="2"/>
  <c r="L297" i="1" s="1"/>
  <c r="AD18" i="2"/>
  <c r="L293" i="1" s="1"/>
  <c r="Z43" i="2"/>
  <c r="C43" i="2" s="1"/>
  <c r="AC40" i="2"/>
  <c r="L338" i="1" s="1"/>
  <c r="AC34" i="2"/>
  <c r="L333" i="1" s="1"/>
  <c r="AC29" i="2"/>
  <c r="L329" i="1" s="1"/>
  <c r="AC22" i="2"/>
  <c r="L324" i="1" s="1"/>
  <c r="AC18" i="2"/>
  <c r="L320" i="1" s="1"/>
  <c r="Z13" i="2"/>
  <c r="AC39" i="2"/>
  <c r="L337" i="1" s="1"/>
  <c r="Z39" i="2"/>
  <c r="C39" i="2" s="1"/>
  <c r="Z21" i="2"/>
  <c r="AC33" i="2"/>
  <c r="L332" i="1" s="1"/>
  <c r="AC16" i="2"/>
  <c r="L319" i="1" s="1"/>
  <c r="AD13" i="2"/>
  <c r="AD42" i="2"/>
  <c r="L313" i="1" s="1"/>
  <c r="AC41" i="2"/>
  <c r="L339" i="1" s="1"/>
  <c r="AD38" i="2"/>
  <c r="L309" i="1" s="1"/>
  <c r="AC35" i="2"/>
  <c r="L334" i="1" s="1"/>
  <c r="AD32" i="2"/>
  <c r="L304" i="1" s="1"/>
  <c r="AC30" i="2"/>
  <c r="L330" i="1" s="1"/>
  <c r="AD27" i="2"/>
  <c r="L300" i="1" s="1"/>
  <c r="AC26" i="2"/>
  <c r="L326" i="1" s="1"/>
  <c r="AD20" i="2"/>
  <c r="L295" i="1" s="1"/>
  <c r="AC19" i="2"/>
  <c r="L321" i="1" s="1"/>
  <c r="AD15" i="2"/>
  <c r="L291" i="1" s="1"/>
  <c r="AC14" i="2"/>
  <c r="L317" i="1" s="1"/>
  <c r="AC28" i="2"/>
  <c r="L328" i="1" s="1"/>
  <c r="AC21" i="2"/>
  <c r="L323" i="1" s="1"/>
  <c r="Z33" i="2"/>
  <c r="C33" i="2" s="1"/>
  <c r="Z28" i="2"/>
  <c r="C28" i="2" s="1"/>
  <c r="E40" i="2" l="1"/>
  <c r="E26" i="2"/>
  <c r="D16" i="2"/>
  <c r="L180" i="1" s="1"/>
  <c r="E32" i="2"/>
  <c r="E15" i="2"/>
  <c r="L33" i="1"/>
  <c r="L145" i="1"/>
  <c r="AG30" i="2"/>
  <c r="AA30" i="2" s="1"/>
  <c r="AG32" i="2"/>
  <c r="AA32" i="2" s="1"/>
  <c r="AG42" i="2"/>
  <c r="AA42" i="2" s="1"/>
  <c r="AG16" i="2"/>
  <c r="AA16" i="2" s="1"/>
  <c r="AG26" i="2"/>
  <c r="AA26" i="2" s="1"/>
  <c r="AG35" i="2"/>
  <c r="AA35" i="2" s="1"/>
  <c r="D35" i="2" s="1"/>
  <c r="L199" i="1" s="1"/>
  <c r="AG41" i="2"/>
  <c r="AA41" i="2" s="1"/>
  <c r="D41" i="2" s="1"/>
  <c r="L205" i="1" s="1"/>
  <c r="AG20" i="2"/>
  <c r="AA20" i="2" s="1"/>
  <c r="AG33" i="2"/>
  <c r="AA33" i="2" s="1"/>
  <c r="AG39" i="2"/>
  <c r="AA39" i="2" s="1"/>
  <c r="AG43" i="2"/>
  <c r="AA43" i="2" s="1"/>
  <c r="D43" i="2" s="1"/>
  <c r="L207" i="1" s="1"/>
  <c r="AG18" i="2"/>
  <c r="AA18" i="2" s="1"/>
  <c r="L24" i="1"/>
  <c r="AG14" i="2"/>
  <c r="AA14" i="2" s="1"/>
  <c r="AG19" i="2"/>
  <c r="AA19" i="2" s="1"/>
  <c r="AG28" i="2"/>
  <c r="AA28" i="2" s="1"/>
  <c r="AG22" i="2"/>
  <c r="AA22" i="2" s="1"/>
  <c r="AG29" i="2"/>
  <c r="AA29" i="2" s="1"/>
  <c r="AG34" i="2"/>
  <c r="AA34" i="2" s="1"/>
  <c r="AG40" i="2"/>
  <c r="AA40" i="2" s="1"/>
  <c r="AG15" i="2"/>
  <c r="AA15" i="2" s="1"/>
  <c r="AG27" i="2"/>
  <c r="AA27" i="2" s="1"/>
  <c r="D27" i="2" s="1"/>
  <c r="L191" i="1" s="1"/>
  <c r="AG38" i="2"/>
  <c r="AA38" i="2" s="1"/>
  <c r="AG21" i="2"/>
  <c r="AA21" i="2" s="1"/>
  <c r="L289" i="1"/>
  <c r="L140" i="1"/>
  <c r="L27" i="1"/>
  <c r="L148" i="1"/>
  <c r="L26" i="1"/>
  <c r="L154" i="1"/>
  <c r="L15" i="1"/>
  <c r="L144" i="1"/>
  <c r="L30" i="1"/>
  <c r="L158" i="1"/>
  <c r="L25" i="1"/>
  <c r="L153" i="1"/>
  <c r="L36" i="1"/>
  <c r="L165" i="1"/>
  <c r="L12" i="1"/>
  <c r="L141" i="1"/>
  <c r="L35" i="1"/>
  <c r="L164" i="1"/>
  <c r="L28" i="1"/>
  <c r="L156" i="1"/>
  <c r="L13" i="1"/>
  <c r="L142" i="1"/>
  <c r="L31" i="1"/>
  <c r="L159" i="1"/>
  <c r="L40" i="1"/>
  <c r="L169" i="1"/>
  <c r="L10" i="1"/>
  <c r="L139" i="1"/>
  <c r="L17" i="1"/>
  <c r="L146" i="1"/>
  <c r="L39" i="1"/>
  <c r="L168" i="1"/>
  <c r="L147" i="1"/>
  <c r="L306" i="1"/>
  <c r="AD36" i="2"/>
  <c r="L308" i="1" s="1"/>
  <c r="L37" i="1"/>
  <c r="L38" i="1" s="1"/>
  <c r="L18" i="1" l="1"/>
</calcChain>
</file>

<file path=xl/sharedStrings.xml><?xml version="1.0" encoding="utf-8"?>
<sst xmlns="http://schemas.openxmlformats.org/spreadsheetml/2006/main" count="1717" uniqueCount="607">
  <si>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</si>
  <si>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</si>
  <si>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</si>
  <si>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</si>
  <si>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</si>
  <si>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</si>
  <si>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</si>
  <si>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</si>
  <si>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</si>
  <si>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</si>
  <si>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</si>
  <si>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</si>
  <si>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</si>
  <si>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</si>
  <si>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</si>
  <si>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</si>
  <si>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</si>
  <si>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</si>
  <si>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</si>
  <si>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</si>
  <si>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</si>
  <si>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</si>
  <si>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</si>
  <si>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</si>
  <si>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</si>
  <si>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</si>
  <si>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</si>
  <si>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</si>
  <si>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</si>
  <si>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</si>
  <si>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</si>
  <si>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</si>
  <si>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</si>
  <si>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</si>
  <si>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</si>
  <si>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</si>
  <si>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</si>
  <si>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</si>
  <si>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</si>
  <si>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</si>
  <si>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</si>
  <si>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</si>
  <si>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</si>
  <si>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</si>
  <si>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</si>
  <si>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</si>
  <si>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</si>
  <si>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</si>
  <si>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</si>
  <si>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</si>
  <si>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</si>
  <si>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</si>
  <si>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</si>
  <si>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</si>
  <si>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</si>
  <si>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</si>
  <si>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</si>
  <si>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</si>
  <si>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</si>
  <si>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</si>
  <si>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</si>
  <si>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</si>
  <si>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</si>
  <si>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</si>
  <si>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</si>
  <si>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</si>
  <si>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</si>
  <si>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</si>
  <si>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</si>
  <si>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</si>
  <si>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</si>
  <si>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</si>
  <si>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</si>
  <si>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</si>
  <si>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</si>
  <si>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</si>
  <si>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</si>
  <si>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</si>
  <si>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</si>
  <si>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</si>
  <si>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</si>
  <si>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</si>
  <si>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</si>
  <si>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</si>
  <si>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</si>
  <si>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</si>
  <si>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</si>
  <si>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</si>
  <si>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</si>
  <si>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</si>
  <si>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</si>
  <si>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</si>
  <si>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</si>
  <si>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</si>
  <si>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</si>
  <si>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</si>
  <si>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</si>
  <si>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</si>
  <si>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</si>
  <si>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</si>
  <si>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</si>
  <si>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</si>
  <si>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</si>
  <si>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</si>
  <si>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</si>
  <si>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</si>
  <si>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</si>
  <si>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</si>
  <si>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</si>
  <si>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</si>
  <si>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</si>
  <si>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</si>
  <si>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</si>
  <si>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</si>
  <si>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</si>
  <si>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</si>
  <si>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</si>
  <si>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</si>
  <si>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</si>
  <si>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</si>
  <si>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</si>
  <si>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</si>
  <si>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</si>
  <si>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</si>
  <si>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</si>
  <si>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</si>
  <si>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</si>
  <si>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</si>
  <si>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</si>
  <si>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</si>
  <si>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</si>
  <si>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</si>
  <si>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</si>
  <si>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</si>
  <si>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</si>
  <si>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</si>
  <si>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</si>
  <si>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</si>
  <si>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</si>
  <si>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</si>
  <si>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</si>
  <si>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</si>
  <si>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</si>
  <si>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</si>
  <si>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</si>
  <si>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</si>
  <si>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</si>
  <si>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</si>
  <si>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</si>
  <si>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</si>
  <si>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</si>
  <si>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</si>
  <si>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</si>
  <si>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</si>
  <si>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</si>
  <si>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</si>
  <si>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</si>
  <si>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</si>
  <si>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</si>
  <si>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</si>
  <si>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</si>
  <si>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</si>
  <si>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</si>
  <si>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</si>
  <si>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</si>
  <si>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</si>
  <si>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</si>
  <si>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</si>
  <si>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</si>
  <si>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</si>
  <si>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</si>
  <si>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</si>
  <si>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</si>
  <si>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</si>
  <si>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</si>
  <si>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</si>
  <si>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</si>
  <si>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</si>
  <si>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</si>
  <si>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</si>
  <si>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</si>
  <si>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</si>
  <si>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</si>
  <si>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</si>
  <si>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</si>
  <si>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</si>
  <si>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</si>
  <si>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</si>
  <si>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</si>
  <si>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</si>
  <si>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</si>
  <si>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</si>
  <si>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</si>
  <si>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</si>
  <si>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</si>
  <si>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</si>
  <si>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</si>
  <si>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</si>
  <si>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</si>
  <si>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</si>
  <si>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</si>
  <si>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</si>
  <si>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</si>
  <si>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</si>
  <si>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</si>
  <si>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</si>
  <si>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</si>
  <si>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</si>
  <si>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</si>
  <si>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</si>
  <si>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</si>
  <si>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</si>
  <si>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</si>
  <si>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</si>
  <si>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</si>
  <si>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</si>
  <si>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</si>
  <si>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</si>
  <si>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</si>
  <si>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</si>
  <si>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</si>
  <si>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</si>
  <si>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</si>
  <si>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</si>
  <si>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</si>
  <si>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</si>
  <si>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</si>
  <si>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</si>
  <si>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</si>
  <si>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</si>
  <si>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</si>
  <si>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</si>
  <si>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</si>
  <si>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</si>
  <si>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</si>
  <si>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</si>
  <si>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</si>
  <si>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</si>
  <si>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</si>
  <si>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</si>
  <si>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</si>
  <si>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</si>
  <si>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</si>
  <si>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</si>
  <si>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</si>
  <si>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</si>
  <si>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</si>
  <si>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</si>
  <si>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</si>
  <si>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</si>
  <si>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</si>
  <si>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</si>
  <si>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</si>
  <si>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</si>
  <si>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</si>
  <si>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</si>
  <si>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</si>
  <si>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</si>
  <si>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</si>
  <si>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</si>
  <si>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</si>
  <si>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</si>
  <si>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</si>
  <si>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</si>
  <si>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</si>
  <si>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</si>
  <si>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</si>
  <si>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</si>
  <si>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</si>
  <si>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</si>
  <si>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</si>
  <si>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</si>
  <si>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</si>
  <si>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</si>
  <si>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</si>
  <si>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</si>
  <si>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</si>
  <si>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</si>
  <si>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</si>
  <si>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</si>
  <si>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</si>
  <si>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</si>
  <si>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</si>
  <si>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</si>
  <si>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</si>
  <si>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</si>
  <si>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</si>
  <si>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</si>
  <si>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</si>
  <si>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</si>
  <si>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</si>
  <si>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</si>
  <si>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</si>
  <si>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</si>
  <si>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</si>
  <si>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</si>
  <si>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</si>
  <si>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</si>
  <si>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</si>
  <si>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</si>
  <si>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</si>
  <si>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</si>
  <si>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</si>
  <si>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</si>
  <si>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</si>
  <si>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</si>
  <si>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</si>
  <si>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</si>
  <si>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</si>
  <si>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</si>
  <si>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</si>
  <si>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</si>
  <si>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</si>
  <si>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</si>
  <si>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</si>
  <si>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</si>
  <si>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</si>
  <si>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</si>
  <si>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</si>
  <si>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</si>
  <si>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</si>
  <si>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</si>
  <si>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</si>
  <si>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</si>
  <si>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</si>
  <si>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</si>
  <si>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</si>
  <si>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</si>
  <si>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</si>
  <si>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</si>
  <si>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</si>
  <si>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</si>
  <si>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</si>
  <si>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</si>
  <si>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</si>
  <si>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</si>
  <si>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</si>
  <si>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</si>
  <si>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</si>
  <si>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</si>
  <si>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</si>
  <si>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</si>
  <si>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</si>
  <si>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</si>
  <si>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</si>
  <si>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</si>
  <si>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</si>
  <si>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</si>
  <si>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</si>
  <si>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</si>
  <si>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</si>
  <si>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</si>
  <si>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</si>
  <si>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</si>
  <si>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</si>
  <si>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</si>
  <si>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</si>
  <si>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</si>
  <si>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</si>
  <si>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</si>
  <si>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</si>
  <si>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</si>
  <si>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</si>
  <si>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</si>
  <si>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</si>
  <si>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</si>
  <si>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</si>
  <si>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</si>
  <si>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</si>
  <si>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</si>
  <si>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</si>
  <si>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</si>
  <si>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</si>
  <si>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</si>
  <si>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</si>
  <si>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</si>
  <si>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</si>
  <si>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</si>
  <si>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</si>
  <si>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</si>
  <si>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</si>
  <si>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</si>
  <si>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</si>
  <si>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</si>
  <si>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</si>
  <si>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</si>
  <si>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</si>
  <si>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</si>
  <si>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</si>
  <si>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</si>
  <si>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</si>
  <si>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</si>
  <si>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</si>
  <si>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</si>
  <si>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</si>
  <si>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</si>
  <si>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</si>
  <si>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</si>
  <si>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</si>
  <si>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</si>
  <si>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</si>
  <si>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</si>
  <si>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</si>
  <si>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</si>
  <si>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</si>
  <si>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</si>
  <si>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</si>
  <si>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</si>
  <si>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</si>
  <si>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</si>
  <si>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</si>
  <si>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</si>
  <si>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</si>
  <si>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</si>
  <si>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</si>
  <si>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</si>
  <si>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</si>
  <si>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</si>
  <si>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</si>
  <si>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</si>
  <si>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</si>
  <si>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</si>
  <si>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</si>
  <si>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</si>
  <si>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</si>
  <si>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</si>
  <si>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</si>
  <si>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</si>
  <si>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</si>
  <si>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</si>
  <si>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</si>
  <si>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</si>
  <si>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</si>
  <si>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</si>
  <si>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</si>
  <si>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</si>
  <si>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</si>
  <si>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</si>
  <si>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</si>
  <si>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</si>
  <si>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</si>
  <si>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</si>
  <si>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</si>
  <si>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</si>
  <si>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</si>
  <si>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</si>
  <si>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</si>
  <si>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</si>
  <si>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</si>
  <si>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</si>
  <si>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</si>
  <si>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</si>
  <si>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</si>
  <si>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</si>
  <si>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</si>
  <si>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</si>
  <si>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</si>
  <si>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</si>
  <si>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</si>
  <si>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</si>
  <si>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</si>
  <si>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</si>
  <si>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</si>
  <si>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</si>
  <si>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</si>
  <si>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</si>
  <si>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</si>
  <si>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</si>
  <si>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</si>
  <si>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</si>
  <si>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</si>
  <si>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</si>
  <si>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</si>
  <si>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</si>
  <si>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</si>
  <si>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</si>
  <si>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</si>
  <si>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</si>
  <si>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</si>
  <si>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</si>
  <si>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</si>
  <si>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</si>
  <si>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</si>
  <si>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</si>
  <si>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</si>
  <si>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</si>
  <si>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</si>
  <si>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</si>
  <si>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</si>
  <si>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</si>
  <si>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</si>
  <si>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</si>
  <si>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</si>
  <si>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</si>
  <si>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</si>
  <si>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</si>
  <si>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</si>
  <si>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</si>
  <si>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</si>
  <si>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</si>
  <si>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</si>
  <si>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</si>
  <si>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</si>
  <si>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</si>
  <si>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</si>
  <si>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r>
      <t>Enteric fermentation</t>
    </r>
    <r>
      <rPr>
        <sz val="11"/>
        <color theme="1"/>
        <rFont val="Calibri"/>
        <family val="2"/>
        <scheme val="minor"/>
      </rPr>
      <t xml:space="preserve"> (for cattle Ym is calculated from feed ration)</t>
    </r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</si>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</sst>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18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1" fillId="6" borderId="0" xfId="0" applyNumberFormat="1" applyFont="1" applyFill="1" applyAlignment="1">
      <alignment vertical="center" wrapText="1"/>
    </xf>
    <xf numFmtId="1" fontId="11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" fontId="13" fillId="0" borderId="5" xfId="0" applyNumberFormat="1" applyFont="1" applyBorder="1"/>
    <xf numFmtId="164" fontId="13" fillId="0" borderId="0" xfId="0" applyNumberFormat="1" applyFont="1" applyBorder="1"/>
    <xf numFmtId="164" fontId="13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64" fontId="15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  <xf numFmtId="1" fontId="8" fillId="0" borderId="2" xfId="0" applyNumberFormat="1" applyFont="1" applyBorder="1"/>
    <xf numFmtId="1" fontId="3" fillId="0" borderId="2" xfId="0" applyNumberFormat="1" applyFont="1" applyBorder="1"/>
    <xf numFmtId="0" fontId="8" fillId="0" borderId="2" xfId="0" applyFont="1" applyBorder="1"/>
    <xf numFmtId="0" fontId="0" fillId="10" borderId="0" xfId="0" applyFill="1" applyAlignment="1">
      <alignment horizontal="right"/>
    </xf>
    <xf numFmtId="164" fontId="0" fillId="0" borderId="5" xfId="0" applyNumberFormat="1" applyBorder="1"/>
    <xf numFmtId="2" fontId="0" fillId="0" borderId="0" xfId="0" applyNumberFormat="1" applyBorder="1"/>
    <xf numFmtId="2" fontId="0" fillId="0" borderId="3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2" fontId="15" fillId="0" borderId="0" xfId="0" applyNumberFormat="1" applyFont="1" applyBorder="1"/>
    <xf numFmtId="2" fontId="15" fillId="0" borderId="3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12" xfId="0" applyFont="1" applyBorder="1"/>
    <xf numFmtId="0" fontId="0" fillId="0" borderId="13" xfId="0" applyBorder="1"/>
    <xf numFmtId="0" fontId="0" fillId="0" borderId="14" xfId="0" applyBorder="1"/>
    <xf numFmtId="0" fontId="5" fillId="0" borderId="2" xfId="1" applyBorder="1"/>
    <xf numFmtId="0" fontId="3" fillId="0" borderId="4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10" borderId="11" xfId="0" applyFont="1" applyFill="1" applyBorder="1"/>
    <xf numFmtId="0" fontId="18" fillId="0" borderId="0" xfId="0" applyFont="1" applyBorder="1"/>
    <xf numFmtId="164" fontId="18" fillId="0" borderId="5" xfId="0" applyNumberFormat="1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0" fontId="20" fillId="0" borderId="0" xfId="0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0" fontId="24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pmc/articles/PMC3544805/" TargetMode="External"/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1"/>
  <sheetViews>
    <sheetView zoomScale="80" zoomScaleNormal="80" workbookViewId="0">
      <pane ySplit="1" topLeftCell="A5" activePane="bottomLeft" state="frozen"/>
      <selection pane="bottomLeft" activeCell="N29" sqref="N29"/>
    </sheetView>
  </sheetViews>
  <sheetFormatPr defaultRowHeight="15" x14ac:dyDescent="0.25"/>
  <cols>
    <col min="6" max="6" width="20.28515625" customWidth="1"/>
    <col min="7" max="7" width="23.5703125" bestFit="1" customWidth="1"/>
    <col min="8" max="8" width="19.5703125" bestFit="1" customWidth="1"/>
    <col min="9" max="9" width="20.140625" customWidth="1"/>
    <col min="10" max="10" width="9.7109375" customWidth="1"/>
    <col min="11" max="11" width="16.42578125" bestFit="1" customWidth="1"/>
    <col min="13" max="13" width="12.7109375" bestFit="1" customWidth="1"/>
    <col min="14" max="14" width="38.140625" customWidth="1"/>
    <col min="15" max="15" width="58" customWidth="1"/>
  </cols>
  <sheetData>
    <row r="1" spans="1:16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320</v>
      </c>
      <c r="H1" s="4" t="s">
        <v>1</v>
      </c>
      <c r="I1" s="4" t="s">
        <v>9</v>
      </c>
      <c r="J1" s="4" t="s">
        <v>606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</row>
    <row r="2" spans="1:16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 t="s">
        <v>299</v>
      </c>
      <c r="N2" s="24" t="s">
        <v>305</v>
      </c>
      <c r="O2" s="2"/>
      <c r="P2" s="5"/>
    </row>
    <row r="3" spans="1:16" x14ac:dyDescent="0.25">
      <c r="K3" s="10" t="s">
        <v>32</v>
      </c>
      <c r="L3" s="21">
        <v>0</v>
      </c>
      <c r="M3" s="10"/>
      <c r="N3" s="10" t="s">
        <v>34</v>
      </c>
    </row>
    <row r="4" spans="1:16" x14ac:dyDescent="0.25">
      <c r="F4" t="s">
        <v>306</v>
      </c>
      <c r="H4" t="s">
        <v>10</v>
      </c>
      <c r="K4" t="s">
        <v>32</v>
      </c>
      <c r="L4" s="22">
        <f>1/INDEX('feed pars'!C$6:C$43/100,MATCH(F4,'feed pars'!B$6:B$43,0))</f>
        <v>1</v>
      </c>
    </row>
    <row r="5" spans="1:16" x14ac:dyDescent="0.25">
      <c r="F5" t="s">
        <v>307</v>
      </c>
      <c r="H5" t="s">
        <v>10</v>
      </c>
      <c r="K5" t="s">
        <v>32</v>
      </c>
      <c r="L5" s="22">
        <f>1/INDEX('feed pars'!C$6:C$43/100,MATCH(F5,'feed pars'!B$6:B$43,0))</f>
        <v>1</v>
      </c>
    </row>
    <row r="6" spans="1:16" x14ac:dyDescent="0.25">
      <c r="F6" t="s">
        <v>308</v>
      </c>
      <c r="H6" t="s">
        <v>10</v>
      </c>
      <c r="K6" t="s">
        <v>32</v>
      </c>
      <c r="L6" s="22">
        <f>1/INDEX('feed pars'!C$6:C$43/100,MATCH(F6,'feed pars'!B$6:B$43,0))</f>
        <v>1</v>
      </c>
    </row>
    <row r="7" spans="1:16" x14ac:dyDescent="0.25">
      <c r="F7" t="s">
        <v>2</v>
      </c>
      <c r="H7" t="s">
        <v>10</v>
      </c>
      <c r="K7" t="s">
        <v>32</v>
      </c>
      <c r="L7" s="22">
        <f>1/INDEX('feed pars'!C$6:C$43/100,MATCH(F7,'feed pars'!B$6:B$43,0))</f>
        <v>1</v>
      </c>
    </row>
    <row r="8" spans="1:16" x14ac:dyDescent="0.25">
      <c r="F8" t="s">
        <v>12</v>
      </c>
      <c r="H8" t="s">
        <v>11</v>
      </c>
      <c r="K8" t="s">
        <v>32</v>
      </c>
      <c r="L8" s="22">
        <f>1/INDEX('feed pars'!C$6:C$43/100,MATCH(F8,'feed pars'!B$6:B$43,0))</f>
        <v>1</v>
      </c>
    </row>
    <row r="9" spans="1:16" x14ac:dyDescent="0.25">
      <c r="F9" t="s">
        <v>33</v>
      </c>
      <c r="H9" t="s">
        <v>33</v>
      </c>
      <c r="K9" t="s">
        <v>32</v>
      </c>
      <c r="L9" s="22">
        <f>1/INDEX('feed pars'!C$6:C$43/100,MATCH(F9,'feed pars'!B$6:B$43,0))</f>
        <v>1</v>
      </c>
    </row>
    <row r="10" spans="1:16" x14ac:dyDescent="0.25">
      <c r="F10" t="s">
        <v>17</v>
      </c>
      <c r="H10" t="s">
        <v>17</v>
      </c>
      <c r="K10" t="s">
        <v>32</v>
      </c>
      <c r="L10" s="22">
        <f>1/INDEX('feed pars'!C$6:C$43/100,MATCH(F10,'feed pars'!B$6:B$43,0))</f>
        <v>1.1627906976744187</v>
      </c>
    </row>
    <row r="11" spans="1:16" x14ac:dyDescent="0.25">
      <c r="F11" t="s">
        <v>37</v>
      </c>
      <c r="H11" t="s">
        <v>37</v>
      </c>
      <c r="K11" t="s">
        <v>32</v>
      </c>
      <c r="L11" s="22">
        <f>1/INDEX('feed pars'!C$6:C$43/100,MATCH(F11,'feed pars'!B$6:B$43,0))</f>
        <v>1.1627906976744187</v>
      </c>
    </row>
    <row r="12" spans="1:16" x14ac:dyDescent="0.25">
      <c r="F12" t="s">
        <v>38</v>
      </c>
      <c r="H12" t="s">
        <v>38</v>
      </c>
      <c r="K12" t="s">
        <v>32</v>
      </c>
      <c r="L12" s="22">
        <f>1/INDEX('feed pars'!C$6:C$43/100,MATCH(F12,'feed pars'!B$6:B$43,0))</f>
        <v>1.1627906976744187</v>
      </c>
    </row>
    <row r="13" spans="1:16" x14ac:dyDescent="0.25">
      <c r="F13" t="s">
        <v>39</v>
      </c>
      <c r="H13" t="s">
        <v>39</v>
      </c>
      <c r="K13" t="s">
        <v>32</v>
      </c>
      <c r="L13" s="22">
        <f>1/INDEX('feed pars'!C$6:C$43/100,MATCH(F13,'feed pars'!B$6:B$43,0))</f>
        <v>1.1627906976744187</v>
      </c>
    </row>
    <row r="14" spans="1:16" x14ac:dyDescent="0.25">
      <c r="F14" t="s">
        <v>312</v>
      </c>
      <c r="H14" t="s">
        <v>312</v>
      </c>
      <c r="K14" t="s">
        <v>32</v>
      </c>
      <c r="L14" s="22">
        <f>1/INDEX('feed pars'!C$6:C$43/100,MATCH(F14,'feed pars'!B$6:B$43,0))</f>
        <v>1.1627906976744187</v>
      </c>
    </row>
    <row r="15" spans="1:16" x14ac:dyDescent="0.25">
      <c r="F15" t="s">
        <v>40</v>
      </c>
      <c r="H15" t="s">
        <v>40</v>
      </c>
      <c r="K15" t="s">
        <v>32</v>
      </c>
      <c r="L15" s="22">
        <f>1/INDEX('feed pars'!C$6:C$43/100,MATCH(F15,'feed pars'!B$6:B$43,0))</f>
        <v>1.1627906976744187</v>
      </c>
    </row>
    <row r="16" spans="1:16" x14ac:dyDescent="0.25">
      <c r="F16" t="s">
        <v>41</v>
      </c>
      <c r="H16" t="s">
        <v>41</v>
      </c>
      <c r="K16" t="s">
        <v>32</v>
      </c>
      <c r="L16" s="22">
        <f>1/INDEX('feed pars'!C$6:C$43/100,MATCH(F16,'feed pars'!B$6:B$43,0))</f>
        <v>1.1764705882352942</v>
      </c>
    </row>
    <row r="17" spans="6:14" x14ac:dyDescent="0.25">
      <c r="F17" t="s">
        <v>42</v>
      </c>
      <c r="H17" t="s">
        <v>42</v>
      </c>
      <c r="K17" t="s">
        <v>32</v>
      </c>
      <c r="L17" s="22">
        <f>1/INDEX('feed pars'!C$6:C$43/100,MATCH(F17,'feed pars'!B$6:B$43,0))</f>
        <v>1.1764705882352942</v>
      </c>
    </row>
    <row r="18" spans="6:14" x14ac:dyDescent="0.25">
      <c r="F18" t="s">
        <v>35</v>
      </c>
      <c r="H18" t="s">
        <v>35</v>
      </c>
      <c r="K18" t="s">
        <v>32</v>
      </c>
      <c r="L18" s="22">
        <f>1/INDEX('feed pars'!C$6:C$43/100,MATCH(F18,'feed pars'!B$6:B$43,0))</f>
        <v>1.0989010989010988</v>
      </c>
    </row>
    <row r="19" spans="6:14" x14ac:dyDescent="0.25">
      <c r="F19" t="s">
        <v>43</v>
      </c>
      <c r="H19" t="s">
        <v>43</v>
      </c>
      <c r="K19" t="s">
        <v>32</v>
      </c>
      <c r="L19" s="22">
        <f>1/INDEX('feed pars'!C$6:C$43/100,MATCH(F19,'feed pars'!B$6:B$43,0))</f>
        <v>1.0989010989010988</v>
      </c>
    </row>
    <row r="20" spans="6:14" x14ac:dyDescent="0.25">
      <c r="F20" s="3" t="s">
        <v>310</v>
      </c>
      <c r="G20" s="3"/>
      <c r="H20" s="3" t="s">
        <v>35</v>
      </c>
      <c r="I20" s="3"/>
      <c r="J20" s="3"/>
      <c r="K20" s="3" t="s">
        <v>32</v>
      </c>
      <c r="L20" s="20">
        <f>1/INDEX('feed pars'!C$6:C$43/100,MATCH(F20,'feed pars'!B$6:B$43,0))*1/0.38</f>
        <v>2.6315789473684212</v>
      </c>
    </row>
    <row r="21" spans="6:14" x14ac:dyDescent="0.25">
      <c r="F21" s="3" t="s">
        <v>310</v>
      </c>
      <c r="G21" s="3"/>
      <c r="H21" s="3" t="s">
        <v>35</v>
      </c>
      <c r="I21" s="3" t="s">
        <v>36</v>
      </c>
      <c r="J21" s="3"/>
      <c r="K21" s="3" t="s">
        <v>311</v>
      </c>
      <c r="L21" s="22"/>
      <c r="N21" s="3" t="s">
        <v>316</v>
      </c>
    </row>
    <row r="22" spans="6:14" x14ac:dyDescent="0.25">
      <c r="F22" t="s">
        <v>302</v>
      </c>
      <c r="I22" t="s">
        <v>302</v>
      </c>
      <c r="K22" t="s">
        <v>32</v>
      </c>
      <c r="L22" s="22">
        <f>1/INDEX('feed pars'!C$6:C$43/100,MATCH(F22,'feed pars'!B$6:B$43,0))</f>
        <v>1.1764705882352942</v>
      </c>
    </row>
    <row r="23" spans="6:14" x14ac:dyDescent="0.25">
      <c r="F23" t="s">
        <v>313</v>
      </c>
      <c r="I23" t="s">
        <v>313</v>
      </c>
      <c r="K23" t="s">
        <v>32</v>
      </c>
      <c r="L23" s="22">
        <f>1/INDEX('feed pars'!C$6:C$43/100,MATCH(F23,'feed pars'!B$6:B$43,0))</f>
        <v>1.1494252873563218</v>
      </c>
    </row>
    <row r="24" spans="6:14" x14ac:dyDescent="0.25">
      <c r="F24" t="s">
        <v>44</v>
      </c>
      <c r="I24" t="s">
        <v>44</v>
      </c>
      <c r="K24" t="s">
        <v>32</v>
      </c>
      <c r="L24" s="22">
        <f>1/INDEX('feed pars'!C$6:C$43/100,MATCH(F24,'feed pars'!B$6:B$43,0))</f>
        <v>1.1428571428571428</v>
      </c>
    </row>
    <row r="25" spans="6:14" x14ac:dyDescent="0.25">
      <c r="F25" t="s">
        <v>45</v>
      </c>
      <c r="I25" t="s">
        <v>45</v>
      </c>
      <c r="K25" t="s">
        <v>32</v>
      </c>
      <c r="L25" s="22">
        <f>1/INDEX('feed pars'!C$6:C$43/100,MATCH(F25,'feed pars'!B$6:B$43,0))</f>
        <v>1.1494252873563218</v>
      </c>
    </row>
    <row r="26" spans="6:14" x14ac:dyDescent="0.25">
      <c r="F26" t="s">
        <v>36</v>
      </c>
      <c r="I26" t="s">
        <v>36</v>
      </c>
      <c r="K26" t="s">
        <v>32</v>
      </c>
      <c r="L26" s="22">
        <f>1/INDEX('feed pars'!C$6:C$43/100,MATCH(F26,'feed pars'!B$6:B$43,0))</f>
        <v>1.1173184357541899</v>
      </c>
    </row>
    <row r="27" spans="6:14" x14ac:dyDescent="0.25">
      <c r="F27" t="s">
        <v>46</v>
      </c>
      <c r="I27" t="s">
        <v>46</v>
      </c>
      <c r="K27" t="s">
        <v>32</v>
      </c>
      <c r="L27" s="22">
        <f>1/INDEX('feed pars'!C$6:C$43/100,MATCH(F27,'feed pars'!B$6:B$43,0))</f>
        <v>1.0989010989010988</v>
      </c>
    </row>
    <row r="28" spans="6:14" x14ac:dyDescent="0.25">
      <c r="F28" t="s">
        <v>47</v>
      </c>
      <c r="I28" t="s">
        <v>47</v>
      </c>
      <c r="K28" t="s">
        <v>32</v>
      </c>
      <c r="L28" s="22">
        <f>1/INDEX('feed pars'!C$6:C$43/100,MATCH(F28,'feed pars'!B$6:B$43,0))</f>
        <v>1.0989010989010988</v>
      </c>
    </row>
    <row r="29" spans="6:14" x14ac:dyDescent="0.25">
      <c r="F29" t="s">
        <v>314</v>
      </c>
      <c r="I29" t="s">
        <v>314</v>
      </c>
      <c r="K29" t="s">
        <v>32</v>
      </c>
      <c r="L29" s="22">
        <f>1/INDEX('feed pars'!C$6:C$43/100,MATCH(F29,'feed pars'!B$6:B$43,0))</f>
        <v>1.1111111111111112</v>
      </c>
    </row>
    <row r="30" spans="6:14" x14ac:dyDescent="0.25">
      <c r="F30" t="s">
        <v>48</v>
      </c>
      <c r="I30" t="s">
        <v>48</v>
      </c>
      <c r="K30" t="s">
        <v>32</v>
      </c>
      <c r="L30" s="22">
        <f>1/INDEX('feed pars'!C$6:C$43/100,MATCH(F30,'feed pars'!B$6:B$43,0))</f>
        <v>1.1494252873563218</v>
      </c>
    </row>
    <row r="31" spans="6:14" x14ac:dyDescent="0.25">
      <c r="F31" t="s">
        <v>49</v>
      </c>
      <c r="I31" t="s">
        <v>48</v>
      </c>
      <c r="K31" t="s">
        <v>32</v>
      </c>
      <c r="L31" s="22">
        <f>1/INDEX('feed pars'!C$6:C$43/100,MATCH(F31,'feed pars'!B$6:B$43,0))</f>
        <v>1.1389521640091116</v>
      </c>
    </row>
    <row r="32" spans="6:14" x14ac:dyDescent="0.25">
      <c r="F32" t="s">
        <v>50</v>
      </c>
      <c r="I32" t="s">
        <v>298</v>
      </c>
      <c r="K32" t="s">
        <v>32</v>
      </c>
      <c r="L32" s="20">
        <f>L33</f>
        <v>9.0909090909090917</v>
      </c>
    </row>
    <row r="33" spans="1:15" x14ac:dyDescent="0.25">
      <c r="F33" t="s">
        <v>51</v>
      </c>
      <c r="I33" t="s">
        <v>298</v>
      </c>
      <c r="K33" t="s">
        <v>32</v>
      </c>
      <c r="L33" s="22">
        <f>1/INDEX('feed pars'!C$6:C$43/100,MATCH(F33,'feed pars'!B$6:B$43,0))</f>
        <v>9.0909090909090917</v>
      </c>
    </row>
    <row r="34" spans="1:15" x14ac:dyDescent="0.25">
      <c r="F34" t="s">
        <v>309</v>
      </c>
      <c r="I34" t="s">
        <v>309</v>
      </c>
      <c r="K34" t="s">
        <v>32</v>
      </c>
      <c r="L34" s="20">
        <f>1/0.25</f>
        <v>4</v>
      </c>
    </row>
    <row r="35" spans="1:15" x14ac:dyDescent="0.25">
      <c r="F35" t="s">
        <v>52</v>
      </c>
      <c r="I35" t="s">
        <v>52</v>
      </c>
      <c r="K35" t="s">
        <v>32</v>
      </c>
      <c r="L35" s="22">
        <f>1/INDEX('feed pars'!C$6:C$43/100,MATCH(F35,'feed pars'!B$6:B$43,0))</f>
        <v>1.3245033112582782</v>
      </c>
    </row>
    <row r="36" spans="1:15" x14ac:dyDescent="0.25">
      <c r="F36" t="s">
        <v>53</v>
      </c>
      <c r="I36" t="s">
        <v>53</v>
      </c>
      <c r="K36" t="s">
        <v>32</v>
      </c>
      <c r="L36" s="22">
        <f>1/INDEX('feed pars'!C$6:C$43/100,MATCH(F36,'feed pars'!B$6:B$43,0))</f>
        <v>1.1173184357541899</v>
      </c>
    </row>
    <row r="37" spans="1:15" x14ac:dyDescent="0.25">
      <c r="F37" t="s">
        <v>54</v>
      </c>
      <c r="I37" t="s">
        <v>54</v>
      </c>
      <c r="K37" t="s">
        <v>32</v>
      </c>
      <c r="L37" s="22">
        <f>1/INDEX('feed pars'!C$6:C$43/100,MATCH(F37,'feed pars'!B$6:B$43,0))</f>
        <v>16</v>
      </c>
    </row>
    <row r="38" spans="1:15" x14ac:dyDescent="0.25">
      <c r="F38" t="s">
        <v>55</v>
      </c>
      <c r="I38" t="s">
        <v>54</v>
      </c>
      <c r="K38" t="s">
        <v>32</v>
      </c>
      <c r="L38" s="20">
        <f>L37</f>
        <v>16</v>
      </c>
    </row>
    <row r="39" spans="1:15" x14ac:dyDescent="0.25">
      <c r="F39" t="s">
        <v>56</v>
      </c>
      <c r="I39" t="s">
        <v>56</v>
      </c>
      <c r="K39" t="s">
        <v>32</v>
      </c>
      <c r="L39" s="22">
        <f>1/INDEX('feed pars'!C$6:C$43/100,MATCH(F39,'feed pars'!B$6:B$43,0))</f>
        <v>1.0989010989010988</v>
      </c>
    </row>
    <row r="40" spans="1:15" x14ac:dyDescent="0.25">
      <c r="F40" t="s">
        <v>57</v>
      </c>
      <c r="I40" t="s">
        <v>57</v>
      </c>
      <c r="K40" t="s">
        <v>32</v>
      </c>
      <c r="L40" s="22">
        <f>1/INDEX('feed pars'!C$6:C$43/100,MATCH(F40,'feed pars'!B$6:B$43,0))</f>
        <v>1.0869565217391304</v>
      </c>
    </row>
    <row r="41" spans="1:15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K42" s="10" t="s">
        <v>27</v>
      </c>
      <c r="L42" s="10">
        <v>0</v>
      </c>
      <c r="M42" s="10"/>
      <c r="N42" s="10" t="s">
        <v>34</v>
      </c>
    </row>
    <row r="43" spans="1:15" x14ac:dyDescent="0.25">
      <c r="H43" t="s">
        <v>10</v>
      </c>
      <c r="K43" t="s">
        <v>27</v>
      </c>
      <c r="L43" s="3">
        <v>95</v>
      </c>
      <c r="M43" t="s">
        <v>28</v>
      </c>
    </row>
    <row r="44" spans="1:15" x14ac:dyDescent="0.25">
      <c r="H44" t="s">
        <v>11</v>
      </c>
      <c r="K44" t="s">
        <v>27</v>
      </c>
      <c r="L44" s="3">
        <v>95</v>
      </c>
      <c r="M44" t="s">
        <v>28</v>
      </c>
    </row>
    <row r="45" spans="1:15" x14ac:dyDescent="0.25">
      <c r="H45" t="s">
        <v>33</v>
      </c>
      <c r="K45" t="s">
        <v>27</v>
      </c>
      <c r="L45" s="3">
        <v>95</v>
      </c>
      <c r="M45" t="s">
        <v>28</v>
      </c>
    </row>
    <row r="46" spans="1:15" x14ac:dyDescent="0.25">
      <c r="A46" t="s">
        <v>25</v>
      </c>
      <c r="H46" t="s">
        <v>37</v>
      </c>
      <c r="K46" t="s">
        <v>27</v>
      </c>
      <c r="L46" s="3">
        <v>50</v>
      </c>
      <c r="M46" t="s">
        <v>28</v>
      </c>
      <c r="N46" s="3"/>
    </row>
    <row r="47" spans="1:15" x14ac:dyDescent="0.25">
      <c r="A47" t="s">
        <v>381</v>
      </c>
      <c r="H47" t="s">
        <v>37</v>
      </c>
      <c r="K47" t="s">
        <v>27</v>
      </c>
      <c r="L47" s="3">
        <v>50</v>
      </c>
      <c r="M47" t="s">
        <v>28</v>
      </c>
      <c r="N47" s="3"/>
    </row>
    <row r="48" spans="1:15" x14ac:dyDescent="0.25">
      <c r="A48" t="s">
        <v>25</v>
      </c>
      <c r="H48" t="s">
        <v>17</v>
      </c>
      <c r="K48" t="s">
        <v>27</v>
      </c>
      <c r="L48" s="3">
        <v>50</v>
      </c>
      <c r="M48" t="s">
        <v>28</v>
      </c>
      <c r="N48" s="3"/>
    </row>
    <row r="49" spans="1:15" x14ac:dyDescent="0.25">
      <c r="A49" t="s">
        <v>381</v>
      </c>
      <c r="H49" t="s">
        <v>17</v>
      </c>
      <c r="K49" t="s">
        <v>27</v>
      </c>
      <c r="L49" s="3">
        <v>50</v>
      </c>
      <c r="M49" t="s">
        <v>28</v>
      </c>
      <c r="N49" s="3"/>
    </row>
    <row r="50" spans="1:15" x14ac:dyDescent="0.25">
      <c r="A50" t="s">
        <v>25</v>
      </c>
      <c r="H50" t="s">
        <v>38</v>
      </c>
      <c r="K50" t="s">
        <v>27</v>
      </c>
      <c r="L50" s="3">
        <v>50</v>
      </c>
      <c r="M50" t="s">
        <v>28</v>
      </c>
      <c r="N50" s="3"/>
    </row>
    <row r="51" spans="1:15" x14ac:dyDescent="0.25">
      <c r="A51" t="s">
        <v>381</v>
      </c>
      <c r="H51" t="s">
        <v>38</v>
      </c>
      <c r="K51" t="s">
        <v>27</v>
      </c>
      <c r="L51" s="3">
        <v>50</v>
      </c>
      <c r="M51" t="s">
        <v>28</v>
      </c>
      <c r="N51" s="3"/>
    </row>
    <row r="52" spans="1:15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K53" s="10" t="s">
        <v>31</v>
      </c>
      <c r="L53" s="10">
        <v>0</v>
      </c>
      <c r="M53" s="10"/>
      <c r="N53" s="10" t="s">
        <v>34</v>
      </c>
    </row>
    <row r="54" spans="1:15" x14ac:dyDescent="0.25">
      <c r="I54" t="s">
        <v>313</v>
      </c>
      <c r="K54" t="s">
        <v>31</v>
      </c>
      <c r="L54" s="26">
        <v>100</v>
      </c>
      <c r="M54" s="26" t="s">
        <v>28</v>
      </c>
      <c r="N54" s="10"/>
    </row>
    <row r="55" spans="1:15" x14ac:dyDescent="0.25">
      <c r="I55" t="s">
        <v>44</v>
      </c>
      <c r="K55" t="s">
        <v>31</v>
      </c>
      <c r="L55" s="26">
        <v>100</v>
      </c>
      <c r="M55" s="26" t="s">
        <v>28</v>
      </c>
      <c r="N55" s="10"/>
    </row>
    <row r="56" spans="1:15" x14ac:dyDescent="0.25">
      <c r="I56" t="s">
        <v>36</v>
      </c>
      <c r="K56" t="s">
        <v>31</v>
      </c>
      <c r="L56" s="26">
        <v>61</v>
      </c>
      <c r="M56" t="s">
        <v>28</v>
      </c>
    </row>
    <row r="57" spans="1:15" x14ac:dyDescent="0.25">
      <c r="H57" t="s">
        <v>43</v>
      </c>
      <c r="K57" t="s">
        <v>31</v>
      </c>
      <c r="L57" s="3">
        <v>100</v>
      </c>
      <c r="M57" t="s">
        <v>28</v>
      </c>
      <c r="N57" s="3" t="s">
        <v>301</v>
      </c>
    </row>
    <row r="58" spans="1:15" x14ac:dyDescent="0.25">
      <c r="H58" t="s">
        <v>40</v>
      </c>
      <c r="K58" t="s">
        <v>31</v>
      </c>
      <c r="L58" s="3">
        <v>50</v>
      </c>
      <c r="M58" t="s">
        <v>28</v>
      </c>
      <c r="N58" s="3" t="s">
        <v>386</v>
      </c>
    </row>
    <row r="59" spans="1:15" x14ac:dyDescent="0.25">
      <c r="A59" s="1" t="s">
        <v>328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t="s">
        <v>24</v>
      </c>
      <c r="G60" t="s">
        <v>326</v>
      </c>
      <c r="H60" t="s">
        <v>33</v>
      </c>
      <c r="K60" t="s">
        <v>327</v>
      </c>
      <c r="L60" s="3">
        <v>90</v>
      </c>
      <c r="M60" t="s">
        <v>28</v>
      </c>
      <c r="N60" s="3"/>
    </row>
    <row r="61" spans="1:15" x14ac:dyDescent="0.25">
      <c r="A61" t="s">
        <v>24</v>
      </c>
      <c r="B61" t="s">
        <v>321</v>
      </c>
      <c r="E61" t="s">
        <v>322</v>
      </c>
      <c r="G61" t="s">
        <v>326</v>
      </c>
      <c r="H61" t="s">
        <v>33</v>
      </c>
      <c r="K61" t="s">
        <v>327</v>
      </c>
      <c r="L61" s="3">
        <v>5</v>
      </c>
      <c r="M61" t="s">
        <v>28</v>
      </c>
      <c r="N61" s="3"/>
    </row>
    <row r="62" spans="1:15" x14ac:dyDescent="0.25">
      <c r="A62" t="s">
        <v>24</v>
      </c>
      <c r="B62" t="s">
        <v>321</v>
      </c>
      <c r="E62" t="s">
        <v>323</v>
      </c>
      <c r="G62" t="s">
        <v>326</v>
      </c>
      <c r="H62" t="s">
        <v>33</v>
      </c>
      <c r="K62" t="s">
        <v>327</v>
      </c>
      <c r="L62" s="3">
        <v>5</v>
      </c>
      <c r="M62" t="s">
        <v>28</v>
      </c>
      <c r="N62" s="3"/>
    </row>
    <row r="63" spans="1:15" x14ac:dyDescent="0.25">
      <c r="A63" t="s">
        <v>24</v>
      </c>
      <c r="E63" t="s">
        <v>324</v>
      </c>
      <c r="G63" t="s">
        <v>326</v>
      </c>
      <c r="H63" t="s">
        <v>33</v>
      </c>
      <c r="K63" t="s">
        <v>327</v>
      </c>
      <c r="L63" s="3">
        <v>0</v>
      </c>
      <c r="M63" t="s">
        <v>28</v>
      </c>
      <c r="N63" s="3"/>
    </row>
    <row r="64" spans="1:15" x14ac:dyDescent="0.25">
      <c r="A64" t="s">
        <v>24</v>
      </c>
      <c r="B64" t="s">
        <v>321</v>
      </c>
      <c r="E64" t="s">
        <v>325</v>
      </c>
      <c r="G64" t="s">
        <v>326</v>
      </c>
      <c r="H64" t="s">
        <v>33</v>
      </c>
      <c r="K64" t="s">
        <v>327</v>
      </c>
      <c r="L64" s="3">
        <v>0</v>
      </c>
      <c r="M64" t="s">
        <v>28</v>
      </c>
      <c r="N64" s="3"/>
    </row>
    <row r="65" spans="1:15" x14ac:dyDescent="0.25">
      <c r="L65" s="3"/>
      <c r="N65" s="3"/>
    </row>
    <row r="66" spans="1:15" x14ac:dyDescent="0.25">
      <c r="A66" t="s">
        <v>24</v>
      </c>
      <c r="G66" t="s">
        <v>326</v>
      </c>
      <c r="H66" t="s">
        <v>33</v>
      </c>
      <c r="J66">
        <v>811</v>
      </c>
      <c r="K66" t="s">
        <v>327</v>
      </c>
      <c r="L66" s="3">
        <v>100</v>
      </c>
      <c r="M66" t="s">
        <v>28</v>
      </c>
      <c r="N66" s="3"/>
    </row>
    <row r="67" spans="1:15" x14ac:dyDescent="0.25">
      <c r="A67" t="s">
        <v>24</v>
      </c>
      <c r="B67" t="s">
        <v>321</v>
      </c>
      <c r="E67" t="s">
        <v>322</v>
      </c>
      <c r="G67" t="s">
        <v>326</v>
      </c>
      <c r="H67" t="s">
        <v>33</v>
      </c>
      <c r="J67">
        <v>811</v>
      </c>
      <c r="K67" t="s">
        <v>327</v>
      </c>
      <c r="L67" s="3">
        <v>50</v>
      </c>
      <c r="M67" t="s">
        <v>28</v>
      </c>
      <c r="N67" s="3"/>
    </row>
    <row r="68" spans="1:15" x14ac:dyDescent="0.25">
      <c r="A68" t="s">
        <v>24</v>
      </c>
      <c r="B68" t="s">
        <v>321</v>
      </c>
      <c r="E68" t="s">
        <v>323</v>
      </c>
      <c r="G68" t="s">
        <v>326</v>
      </c>
      <c r="H68" t="s">
        <v>33</v>
      </c>
      <c r="J68">
        <v>811</v>
      </c>
      <c r="K68" t="s">
        <v>327</v>
      </c>
      <c r="L68" s="3">
        <v>50</v>
      </c>
      <c r="M68" t="s">
        <v>28</v>
      </c>
      <c r="N68" s="3"/>
    </row>
    <row r="69" spans="1:15" x14ac:dyDescent="0.25">
      <c r="A69" t="s">
        <v>24</v>
      </c>
      <c r="E69" t="s">
        <v>324</v>
      </c>
      <c r="G69" t="s">
        <v>326</v>
      </c>
      <c r="H69" t="s">
        <v>33</v>
      </c>
      <c r="J69">
        <v>811</v>
      </c>
      <c r="K69" t="s">
        <v>327</v>
      </c>
      <c r="L69" s="3">
        <v>0</v>
      </c>
      <c r="M69" t="s">
        <v>28</v>
      </c>
      <c r="N69" s="3"/>
    </row>
    <row r="70" spans="1:15" x14ac:dyDescent="0.25">
      <c r="A70" t="s">
        <v>24</v>
      </c>
      <c r="B70" t="s">
        <v>321</v>
      </c>
      <c r="E70" t="s">
        <v>325</v>
      </c>
      <c r="G70" t="s">
        <v>326</v>
      </c>
      <c r="H70" t="s">
        <v>33</v>
      </c>
      <c r="J70">
        <v>811</v>
      </c>
      <c r="K70" t="s">
        <v>327</v>
      </c>
      <c r="L70" s="3">
        <v>0</v>
      </c>
      <c r="M70" t="s">
        <v>28</v>
      </c>
      <c r="N70" s="3"/>
    </row>
    <row r="71" spans="1:15" x14ac:dyDescent="0.25">
      <c r="A71" t="s">
        <v>24</v>
      </c>
      <c r="G71" t="s">
        <v>326</v>
      </c>
      <c r="H71" t="s">
        <v>33</v>
      </c>
      <c r="J71">
        <v>812</v>
      </c>
      <c r="K71" t="s">
        <v>327</v>
      </c>
      <c r="L71" s="3">
        <v>100</v>
      </c>
      <c r="M71" t="s">
        <v>28</v>
      </c>
      <c r="N71" s="3"/>
    </row>
    <row r="72" spans="1:15" x14ac:dyDescent="0.25">
      <c r="A72" t="s">
        <v>24</v>
      </c>
      <c r="B72" t="s">
        <v>321</v>
      </c>
      <c r="E72" t="s">
        <v>322</v>
      </c>
      <c r="G72" t="s">
        <v>326</v>
      </c>
      <c r="H72" t="s">
        <v>33</v>
      </c>
      <c r="J72">
        <v>812</v>
      </c>
      <c r="K72" t="s">
        <v>327</v>
      </c>
      <c r="L72" s="3">
        <v>50</v>
      </c>
      <c r="M72" t="s">
        <v>28</v>
      </c>
      <c r="N72" s="3"/>
    </row>
    <row r="73" spans="1:15" x14ac:dyDescent="0.25">
      <c r="A73" t="s">
        <v>24</v>
      </c>
      <c r="B73" t="s">
        <v>321</v>
      </c>
      <c r="E73" t="s">
        <v>323</v>
      </c>
      <c r="G73" t="s">
        <v>326</v>
      </c>
      <c r="H73" t="s">
        <v>33</v>
      </c>
      <c r="J73">
        <v>812</v>
      </c>
      <c r="K73" t="s">
        <v>327</v>
      </c>
      <c r="L73" s="3">
        <v>50</v>
      </c>
      <c r="M73" t="s">
        <v>28</v>
      </c>
      <c r="N73" s="3"/>
    </row>
    <row r="74" spans="1:15" x14ac:dyDescent="0.25">
      <c r="A74" t="s">
        <v>24</v>
      </c>
      <c r="E74" t="s">
        <v>324</v>
      </c>
      <c r="G74" t="s">
        <v>326</v>
      </c>
      <c r="H74" t="s">
        <v>33</v>
      </c>
      <c r="J74">
        <v>812</v>
      </c>
      <c r="K74" t="s">
        <v>327</v>
      </c>
      <c r="L74" s="3">
        <v>0</v>
      </c>
      <c r="M74" t="s">
        <v>28</v>
      </c>
      <c r="N74" s="3"/>
    </row>
    <row r="75" spans="1:15" x14ac:dyDescent="0.25">
      <c r="A75" t="s">
        <v>24</v>
      </c>
      <c r="B75" t="s">
        <v>321</v>
      </c>
      <c r="E75" t="s">
        <v>325</v>
      </c>
      <c r="G75" t="s">
        <v>326</v>
      </c>
      <c r="H75" t="s">
        <v>33</v>
      </c>
      <c r="J75">
        <v>812</v>
      </c>
      <c r="K75" t="s">
        <v>327</v>
      </c>
      <c r="L75" s="3">
        <v>0</v>
      </c>
      <c r="M75" t="s">
        <v>28</v>
      </c>
      <c r="N75" s="3"/>
    </row>
    <row r="76" spans="1:15" x14ac:dyDescent="0.25">
      <c r="L76" s="3"/>
      <c r="N76" s="3"/>
    </row>
    <row r="77" spans="1:15" x14ac:dyDescent="0.25">
      <c r="A77" t="s">
        <v>387</v>
      </c>
      <c r="G77" t="s">
        <v>326</v>
      </c>
      <c r="H77" t="s">
        <v>33</v>
      </c>
      <c r="K77" t="s">
        <v>327</v>
      </c>
      <c r="L77" s="3">
        <v>10</v>
      </c>
      <c r="M77" t="s">
        <v>28</v>
      </c>
      <c r="N77" s="3"/>
    </row>
    <row r="78" spans="1:15" x14ac:dyDescent="0.25">
      <c r="L78" s="3"/>
      <c r="N78" s="3"/>
    </row>
    <row r="79" spans="1:15" x14ac:dyDescent="0.25">
      <c r="A79" s="1" t="s">
        <v>391</v>
      </c>
      <c r="B79" s="1"/>
      <c r="C79" s="1"/>
      <c r="D79" s="1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K80" s="10" t="s">
        <v>388</v>
      </c>
      <c r="L80" s="10">
        <v>0</v>
      </c>
      <c r="M80" s="10" t="s">
        <v>28</v>
      </c>
      <c r="N80" s="10" t="s">
        <v>34</v>
      </c>
    </row>
    <row r="81" spans="1:15" x14ac:dyDescent="0.25">
      <c r="K81" s="10" t="s">
        <v>389</v>
      </c>
      <c r="L81" s="10">
        <v>0</v>
      </c>
      <c r="M81" s="10" t="s">
        <v>28</v>
      </c>
      <c r="N81" s="10" t="s">
        <v>34</v>
      </c>
    </row>
    <row r="82" spans="1:15" x14ac:dyDescent="0.25">
      <c r="A82" t="s">
        <v>24</v>
      </c>
      <c r="B82" t="s">
        <v>321</v>
      </c>
      <c r="E82" t="s">
        <v>322</v>
      </c>
      <c r="F82" t="s">
        <v>306</v>
      </c>
      <c r="K82" s="26" t="s">
        <v>388</v>
      </c>
      <c r="L82" s="26">
        <f>(0.8*20+0.2*2)</f>
        <v>16.399999999999999</v>
      </c>
      <c r="M82" s="26" t="s">
        <v>28</v>
      </c>
      <c r="N82" s="26" t="s">
        <v>393</v>
      </c>
      <c r="O82" t="s">
        <v>390</v>
      </c>
    </row>
    <row r="83" spans="1:15" x14ac:dyDescent="0.25">
      <c r="A83" t="s">
        <v>24</v>
      </c>
      <c r="F83" t="s">
        <v>306</v>
      </c>
      <c r="K83" s="26" t="s">
        <v>388</v>
      </c>
      <c r="L83" s="26">
        <f>(0.6*20+0.4*2)</f>
        <v>12.8</v>
      </c>
      <c r="M83" s="26" t="s">
        <v>28</v>
      </c>
      <c r="N83" s="26" t="s">
        <v>394</v>
      </c>
      <c r="O83" t="s">
        <v>390</v>
      </c>
    </row>
    <row r="84" spans="1:15" x14ac:dyDescent="0.25">
      <c r="A84" t="s">
        <v>392</v>
      </c>
      <c r="F84" t="s">
        <v>306</v>
      </c>
      <c r="K84" s="26" t="s">
        <v>388</v>
      </c>
      <c r="L84" s="26">
        <v>2</v>
      </c>
      <c r="M84" s="26" t="s">
        <v>28</v>
      </c>
      <c r="N84" s="26" t="s">
        <v>395</v>
      </c>
      <c r="O84" t="s">
        <v>390</v>
      </c>
    </row>
    <row r="85" spans="1:15" x14ac:dyDescent="0.25">
      <c r="A85" t="s">
        <v>387</v>
      </c>
      <c r="F85" t="s">
        <v>306</v>
      </c>
      <c r="K85" s="26" t="s">
        <v>388</v>
      </c>
      <c r="L85" s="26">
        <v>2</v>
      </c>
      <c r="M85" s="26" t="s">
        <v>28</v>
      </c>
      <c r="N85" s="26" t="s">
        <v>395</v>
      </c>
      <c r="O85" t="s">
        <v>390</v>
      </c>
    </row>
    <row r="86" spans="1:15" x14ac:dyDescent="0.25">
      <c r="A86" t="s">
        <v>24</v>
      </c>
      <c r="B86" t="s">
        <v>321</v>
      </c>
      <c r="E86" t="s">
        <v>322</v>
      </c>
      <c r="F86" t="s">
        <v>306</v>
      </c>
      <c r="K86" s="26" t="s">
        <v>389</v>
      </c>
      <c r="L86" s="26">
        <v>5</v>
      </c>
      <c r="M86" s="26" t="s">
        <v>28</v>
      </c>
      <c r="N86" s="26" t="s">
        <v>396</v>
      </c>
      <c r="O86" t="s">
        <v>390</v>
      </c>
    </row>
    <row r="87" spans="1:15" x14ac:dyDescent="0.25">
      <c r="A87" t="s">
        <v>24</v>
      </c>
      <c r="E87" t="s">
        <v>324</v>
      </c>
      <c r="F87" t="s">
        <v>306</v>
      </c>
      <c r="K87" s="26" t="s">
        <v>389</v>
      </c>
      <c r="L87" s="26">
        <v>5</v>
      </c>
      <c r="M87" s="26" t="s">
        <v>28</v>
      </c>
      <c r="N87" s="26" t="s">
        <v>396</v>
      </c>
      <c r="O87" t="s">
        <v>390</v>
      </c>
    </row>
    <row r="88" spans="1:15" x14ac:dyDescent="0.25">
      <c r="A88" t="s">
        <v>24</v>
      </c>
      <c r="F88" t="s">
        <v>306</v>
      </c>
      <c r="K88" s="26" t="s">
        <v>389</v>
      </c>
      <c r="L88" s="26">
        <f>0.9*5+0.1*15</f>
        <v>6</v>
      </c>
      <c r="M88" s="26" t="s">
        <v>28</v>
      </c>
      <c r="N88" s="26" t="s">
        <v>397</v>
      </c>
      <c r="O88" t="s">
        <v>390</v>
      </c>
    </row>
    <row r="89" spans="1:15" x14ac:dyDescent="0.25">
      <c r="A89" t="s">
        <v>392</v>
      </c>
      <c r="F89" t="s">
        <v>306</v>
      </c>
      <c r="K89" s="26" t="s">
        <v>389</v>
      </c>
      <c r="L89" s="26">
        <v>15</v>
      </c>
      <c r="M89" s="26" t="s">
        <v>28</v>
      </c>
      <c r="N89" s="26"/>
      <c r="O89" t="s">
        <v>390</v>
      </c>
    </row>
    <row r="90" spans="1:15" x14ac:dyDescent="0.25">
      <c r="A90" t="s">
        <v>387</v>
      </c>
      <c r="F90" t="s">
        <v>306</v>
      </c>
      <c r="K90" s="26" t="s">
        <v>389</v>
      </c>
      <c r="L90" s="26">
        <v>15</v>
      </c>
      <c r="M90" s="26" t="s">
        <v>28</v>
      </c>
      <c r="N90" s="26"/>
      <c r="O90" t="s">
        <v>390</v>
      </c>
    </row>
    <row r="91" spans="1:15" x14ac:dyDescent="0.25">
      <c r="A91" s="30" t="str">
        <f>A82</f>
        <v>cattle</v>
      </c>
      <c r="B91" s="30" t="str">
        <f>B82</f>
        <v>dairy</v>
      </c>
      <c r="E91" s="30" t="str">
        <f>E82</f>
        <v>cows</v>
      </c>
      <c r="F91" t="s">
        <v>307</v>
      </c>
      <c r="K91" s="30" t="str">
        <f>K82</f>
        <v>storage_losses</v>
      </c>
      <c r="L91" s="30">
        <f>L82</f>
        <v>16.399999999999999</v>
      </c>
      <c r="M91" s="30" t="str">
        <f>M82</f>
        <v>%</v>
      </c>
      <c r="N91" s="30" t="str">
        <f>N82</f>
        <v>80% in silo</v>
      </c>
      <c r="O91" s="30" t="str">
        <f>O82</f>
        <v>Cederberg &amp; Henriksson. 2020. Gräsmarkernas användning i jordbruket</v>
      </c>
    </row>
    <row r="92" spans="1:15" x14ac:dyDescent="0.25">
      <c r="A92" s="30" t="str">
        <f t="shared" ref="A92:A99" si="0">A83</f>
        <v>cattle</v>
      </c>
      <c r="F92" t="s">
        <v>307</v>
      </c>
      <c r="K92" s="30" t="str">
        <f t="shared" ref="K92:O99" si="1">K83</f>
        <v>storage_losses</v>
      </c>
      <c r="L92" s="30">
        <f t="shared" si="1"/>
        <v>12.8</v>
      </c>
      <c r="M92" s="30" t="str">
        <f t="shared" si="1"/>
        <v>%</v>
      </c>
      <c r="N92" s="30" t="str">
        <f t="shared" si="1"/>
        <v>60% in silo</v>
      </c>
      <c r="O92" s="30" t="str">
        <f t="shared" si="1"/>
        <v>Cederberg &amp; Henriksson. 2020. Gräsmarkernas användning i jordbruket</v>
      </c>
    </row>
    <row r="93" spans="1:15" x14ac:dyDescent="0.25">
      <c r="A93" s="30" t="str">
        <f t="shared" si="0"/>
        <v>sheep</v>
      </c>
      <c r="F93" t="s">
        <v>307</v>
      </c>
      <c r="K93" s="30" t="str">
        <f t="shared" si="1"/>
        <v>storage_losses</v>
      </c>
      <c r="L93" s="30">
        <f t="shared" si="1"/>
        <v>2</v>
      </c>
      <c r="M93" s="30" t="str">
        <f t="shared" si="1"/>
        <v>%</v>
      </c>
      <c r="N93" s="30" t="str">
        <f t="shared" si="1"/>
        <v>0% in silo</v>
      </c>
      <c r="O93" s="30" t="str">
        <f t="shared" si="1"/>
        <v>Cederberg &amp; Henriksson. 2020. Gräsmarkernas användning i jordbruket</v>
      </c>
    </row>
    <row r="94" spans="1:15" x14ac:dyDescent="0.25">
      <c r="A94" s="30" t="str">
        <f t="shared" si="0"/>
        <v>horses</v>
      </c>
      <c r="F94" t="s">
        <v>307</v>
      </c>
      <c r="K94" s="30" t="str">
        <f t="shared" si="1"/>
        <v>storage_losses</v>
      </c>
      <c r="L94" s="30">
        <f t="shared" si="1"/>
        <v>2</v>
      </c>
      <c r="M94" s="30" t="str">
        <f t="shared" si="1"/>
        <v>%</v>
      </c>
      <c r="N94" s="30" t="str">
        <f t="shared" si="1"/>
        <v>0% in silo</v>
      </c>
      <c r="O94" s="30" t="str">
        <f t="shared" si="1"/>
        <v>Cederberg &amp; Henriksson. 2020. Gräsmarkernas användning i jordbruket</v>
      </c>
    </row>
    <row r="95" spans="1:15" x14ac:dyDescent="0.25">
      <c r="A95" s="30" t="str">
        <f t="shared" si="0"/>
        <v>cattle</v>
      </c>
      <c r="B95" s="30" t="str">
        <f>B86</f>
        <v>dairy</v>
      </c>
      <c r="E95" s="30" t="str">
        <f>E86</f>
        <v>cows</v>
      </c>
      <c r="F95" t="s">
        <v>307</v>
      </c>
      <c r="K95" s="30" t="str">
        <f t="shared" si="1"/>
        <v>feeding_losses</v>
      </c>
      <c r="L95" s="30">
        <f t="shared" si="1"/>
        <v>5</v>
      </c>
      <c r="M95" s="30" t="str">
        <f t="shared" si="1"/>
        <v>%</v>
      </c>
      <c r="N95" s="30" t="str">
        <f t="shared" si="1"/>
        <v>No feeding on pasture</v>
      </c>
      <c r="O95" s="30" t="str">
        <f t="shared" si="1"/>
        <v>Cederberg &amp; Henriksson. 2020. Gräsmarkernas användning i jordbruket</v>
      </c>
    </row>
    <row r="96" spans="1:15" x14ac:dyDescent="0.25">
      <c r="A96" s="30" t="str">
        <f t="shared" si="0"/>
        <v>cattle</v>
      </c>
      <c r="E96" s="30" t="str">
        <f>E87</f>
        <v>bulls</v>
      </c>
      <c r="F96" t="s">
        <v>307</v>
      </c>
      <c r="K96" s="30" t="str">
        <f t="shared" si="1"/>
        <v>feeding_losses</v>
      </c>
      <c r="L96" s="30">
        <f t="shared" si="1"/>
        <v>5</v>
      </c>
      <c r="M96" s="30" t="str">
        <f t="shared" si="1"/>
        <v>%</v>
      </c>
      <c r="N96" s="30" t="str">
        <f t="shared" si="1"/>
        <v>No feeding on pasture</v>
      </c>
      <c r="O96" s="30" t="str">
        <f t="shared" si="1"/>
        <v>Cederberg &amp; Henriksson. 2020. Gräsmarkernas användning i jordbruket</v>
      </c>
    </row>
    <row r="97" spans="1:15" x14ac:dyDescent="0.25">
      <c r="A97" s="30" t="str">
        <f t="shared" si="0"/>
        <v>cattle</v>
      </c>
      <c r="F97" t="s">
        <v>307</v>
      </c>
      <c r="K97" s="30" t="str">
        <f t="shared" si="1"/>
        <v>feeding_losses</v>
      </c>
      <c r="L97" s="30">
        <f t="shared" si="1"/>
        <v>6</v>
      </c>
      <c r="M97" s="30" t="str">
        <f t="shared" si="1"/>
        <v>%</v>
      </c>
      <c r="N97" s="30" t="str">
        <f t="shared" si="1"/>
        <v>10% feeding on pasture</v>
      </c>
      <c r="O97" s="30" t="str">
        <f t="shared" si="1"/>
        <v>Cederberg &amp; Henriksson. 2020. Gräsmarkernas användning i jordbruket</v>
      </c>
    </row>
    <row r="98" spans="1:15" x14ac:dyDescent="0.25">
      <c r="A98" s="30" t="str">
        <f t="shared" si="0"/>
        <v>sheep</v>
      </c>
      <c r="F98" t="s">
        <v>307</v>
      </c>
      <c r="K98" s="30" t="str">
        <f t="shared" si="1"/>
        <v>feeding_losses</v>
      </c>
      <c r="L98" s="30">
        <f t="shared" si="1"/>
        <v>15</v>
      </c>
      <c r="M98" s="30" t="str">
        <f t="shared" si="1"/>
        <v>%</v>
      </c>
      <c r="N98" s="30"/>
      <c r="O98" s="30" t="str">
        <f t="shared" ref="O98:O99" si="2">O89</f>
        <v>Cederberg &amp; Henriksson. 2020. Gräsmarkernas användning i jordbruket</v>
      </c>
    </row>
    <row r="99" spans="1:15" x14ac:dyDescent="0.25">
      <c r="A99" s="30" t="str">
        <f t="shared" si="0"/>
        <v>horses</v>
      </c>
      <c r="F99" t="s">
        <v>307</v>
      </c>
      <c r="K99" s="30" t="str">
        <f t="shared" si="1"/>
        <v>feeding_losses</v>
      </c>
      <c r="L99" s="30">
        <f t="shared" si="1"/>
        <v>15</v>
      </c>
      <c r="M99" s="30" t="str">
        <f t="shared" si="1"/>
        <v>%</v>
      </c>
      <c r="N99" s="30"/>
      <c r="O99" s="30" t="str">
        <f t="shared" si="2"/>
        <v>Cederberg &amp; Henriksson. 2020. Gräsmarkernas användning i jordbruket</v>
      </c>
    </row>
    <row r="100" spans="1:15" x14ac:dyDescent="0.25">
      <c r="A100" s="30"/>
      <c r="B100" s="30"/>
      <c r="E100" s="30"/>
      <c r="F100" t="s">
        <v>308</v>
      </c>
      <c r="K100" s="26" t="s">
        <v>388</v>
      </c>
      <c r="L100" s="26">
        <v>5</v>
      </c>
      <c r="M100" s="26" t="s">
        <v>28</v>
      </c>
      <c r="N100" s="26"/>
      <c r="O100" t="s">
        <v>390</v>
      </c>
    </row>
    <row r="101" spans="1:15" x14ac:dyDescent="0.25">
      <c r="A101" s="30" t="str">
        <f>A86</f>
        <v>cattle</v>
      </c>
      <c r="B101" s="30" t="str">
        <f>B86</f>
        <v>dairy</v>
      </c>
      <c r="E101" s="30" t="str">
        <f t="shared" ref="E101:E102" si="3">E86</f>
        <v>cows</v>
      </c>
      <c r="F101" t="s">
        <v>308</v>
      </c>
      <c r="K101" s="30" t="str">
        <f t="shared" ref="K101:O105" si="4">K86</f>
        <v>feeding_losses</v>
      </c>
      <c r="L101" s="30">
        <f t="shared" si="4"/>
        <v>5</v>
      </c>
      <c r="M101" s="30" t="str">
        <f t="shared" si="4"/>
        <v>%</v>
      </c>
      <c r="N101" s="30" t="str">
        <f t="shared" si="4"/>
        <v>No feeding on pasture</v>
      </c>
      <c r="O101" s="30" t="str">
        <f t="shared" si="4"/>
        <v>Cederberg &amp; Henriksson. 2020. Gräsmarkernas användning i jordbruket</v>
      </c>
    </row>
    <row r="102" spans="1:15" x14ac:dyDescent="0.25">
      <c r="A102" s="30" t="str">
        <f t="shared" ref="A102:A105" si="5">A87</f>
        <v>cattle</v>
      </c>
      <c r="E102" s="30" t="str">
        <f t="shared" si="3"/>
        <v>bulls</v>
      </c>
      <c r="F102" t="s">
        <v>308</v>
      </c>
      <c r="K102" s="30" t="str">
        <f t="shared" si="4"/>
        <v>feeding_losses</v>
      </c>
      <c r="L102" s="30">
        <f t="shared" si="4"/>
        <v>5</v>
      </c>
      <c r="M102" s="30" t="str">
        <f t="shared" si="4"/>
        <v>%</v>
      </c>
      <c r="N102" s="30" t="str">
        <f t="shared" si="4"/>
        <v>No feeding on pasture</v>
      </c>
      <c r="O102" s="30" t="str">
        <f t="shared" si="4"/>
        <v>Cederberg &amp; Henriksson. 2020. Gräsmarkernas användning i jordbruket</v>
      </c>
    </row>
    <row r="103" spans="1:15" x14ac:dyDescent="0.25">
      <c r="A103" s="30" t="str">
        <f t="shared" si="5"/>
        <v>cattle</v>
      </c>
      <c r="F103" t="s">
        <v>308</v>
      </c>
      <c r="K103" s="30" t="str">
        <f t="shared" si="4"/>
        <v>feeding_losses</v>
      </c>
      <c r="L103" s="30">
        <f t="shared" si="4"/>
        <v>6</v>
      </c>
      <c r="M103" s="30" t="str">
        <f t="shared" si="4"/>
        <v>%</v>
      </c>
      <c r="N103" s="30" t="str">
        <f t="shared" si="4"/>
        <v>10% feeding on pasture</v>
      </c>
      <c r="O103" s="30" t="str">
        <f t="shared" si="4"/>
        <v>Cederberg &amp; Henriksson. 2020. Gräsmarkernas användning i jordbruket</v>
      </c>
    </row>
    <row r="104" spans="1:15" x14ac:dyDescent="0.25">
      <c r="A104" s="30" t="str">
        <f t="shared" si="5"/>
        <v>sheep</v>
      </c>
      <c r="F104" t="s">
        <v>308</v>
      </c>
      <c r="K104" s="30" t="str">
        <f t="shared" si="4"/>
        <v>feeding_losses</v>
      </c>
      <c r="L104" s="30">
        <f t="shared" si="4"/>
        <v>15</v>
      </c>
      <c r="M104" s="30" t="str">
        <f t="shared" si="4"/>
        <v>%</v>
      </c>
      <c r="N104" s="30"/>
      <c r="O104" s="30" t="str">
        <f t="shared" si="4"/>
        <v>Cederberg &amp; Henriksson. 2020. Gräsmarkernas användning i jordbruket</v>
      </c>
    </row>
    <row r="105" spans="1:15" x14ac:dyDescent="0.25">
      <c r="A105" s="30" t="str">
        <f t="shared" si="5"/>
        <v>horses</v>
      </c>
      <c r="F105" t="s">
        <v>308</v>
      </c>
      <c r="K105" s="30" t="str">
        <f t="shared" si="4"/>
        <v>feeding_losses</v>
      </c>
      <c r="L105" s="30">
        <f t="shared" si="4"/>
        <v>15</v>
      </c>
      <c r="M105" s="30" t="str">
        <f t="shared" si="4"/>
        <v>%</v>
      </c>
      <c r="N105" s="30"/>
      <c r="O105" s="30" t="str">
        <f t="shared" si="4"/>
        <v>Cederberg &amp; Henriksson. 2020. Gräsmarkernas användning i jordbruket</v>
      </c>
    </row>
    <row r="106" spans="1:15" x14ac:dyDescent="0.25">
      <c r="F106" t="s">
        <v>2</v>
      </c>
      <c r="K106" s="26" t="s">
        <v>388</v>
      </c>
      <c r="L106" s="26">
        <v>5</v>
      </c>
      <c r="M106" s="26" t="s">
        <v>28</v>
      </c>
      <c r="N106" s="26"/>
      <c r="O106" t="s">
        <v>390</v>
      </c>
    </row>
    <row r="107" spans="1:15" x14ac:dyDescent="0.25">
      <c r="A107" s="30" t="str">
        <f>A86</f>
        <v>cattle</v>
      </c>
      <c r="B107" s="30" t="str">
        <f>B86</f>
        <v>dairy</v>
      </c>
      <c r="E107" s="30" t="str">
        <f t="shared" ref="E107:E108" si="6">E86</f>
        <v>cows</v>
      </c>
      <c r="F107" t="s">
        <v>2</v>
      </c>
      <c r="K107" s="30" t="str">
        <f t="shared" ref="K107:O111" si="7">K86</f>
        <v>feeding_losses</v>
      </c>
      <c r="L107" s="30">
        <f t="shared" si="7"/>
        <v>5</v>
      </c>
      <c r="M107" s="30" t="str">
        <f t="shared" si="7"/>
        <v>%</v>
      </c>
      <c r="N107" s="30" t="str">
        <f t="shared" si="7"/>
        <v>No feeding on pasture</v>
      </c>
      <c r="O107" s="30" t="str">
        <f t="shared" si="7"/>
        <v>Cederberg &amp; Henriksson. 2020. Gräsmarkernas användning i jordbruket</v>
      </c>
    </row>
    <row r="108" spans="1:15" x14ac:dyDescent="0.25">
      <c r="A108" s="30" t="str">
        <f t="shared" ref="A108:A111" si="8">A87</f>
        <v>cattle</v>
      </c>
      <c r="E108" s="30" t="str">
        <f t="shared" si="6"/>
        <v>bulls</v>
      </c>
      <c r="F108" t="s">
        <v>2</v>
      </c>
      <c r="K108" s="30" t="str">
        <f t="shared" si="7"/>
        <v>feeding_losses</v>
      </c>
      <c r="L108" s="30">
        <f t="shared" si="7"/>
        <v>5</v>
      </c>
      <c r="M108" s="30" t="str">
        <f t="shared" si="7"/>
        <v>%</v>
      </c>
      <c r="N108" s="30" t="str">
        <f t="shared" si="7"/>
        <v>No feeding on pasture</v>
      </c>
      <c r="O108" s="30" t="str">
        <f t="shared" si="7"/>
        <v>Cederberg &amp; Henriksson. 2020. Gräsmarkernas användning i jordbruket</v>
      </c>
    </row>
    <row r="109" spans="1:15" x14ac:dyDescent="0.25">
      <c r="A109" s="30" t="str">
        <f t="shared" si="8"/>
        <v>cattle</v>
      </c>
      <c r="F109" t="s">
        <v>2</v>
      </c>
      <c r="K109" s="30" t="str">
        <f t="shared" si="7"/>
        <v>feeding_losses</v>
      </c>
      <c r="L109" s="30">
        <f t="shared" si="7"/>
        <v>6</v>
      </c>
      <c r="M109" s="30" t="str">
        <f t="shared" si="7"/>
        <v>%</v>
      </c>
      <c r="N109" s="30" t="str">
        <f t="shared" si="7"/>
        <v>10% feeding on pasture</v>
      </c>
      <c r="O109" s="30" t="str">
        <f t="shared" si="7"/>
        <v>Cederberg &amp; Henriksson. 2020. Gräsmarkernas användning i jordbruket</v>
      </c>
    </row>
    <row r="110" spans="1:15" x14ac:dyDescent="0.25">
      <c r="A110" s="30" t="str">
        <f t="shared" si="8"/>
        <v>sheep</v>
      </c>
      <c r="F110" t="s">
        <v>2</v>
      </c>
      <c r="K110" s="30" t="str">
        <f t="shared" si="7"/>
        <v>feeding_losses</v>
      </c>
      <c r="L110" s="30">
        <f t="shared" si="7"/>
        <v>15</v>
      </c>
      <c r="M110" s="30" t="str">
        <f t="shared" si="7"/>
        <v>%</v>
      </c>
      <c r="N110" s="26"/>
      <c r="O110" s="30" t="str">
        <f t="shared" ref="O110:O111" si="9">O89</f>
        <v>Cederberg &amp; Henriksson. 2020. Gräsmarkernas användning i jordbruket</v>
      </c>
    </row>
    <row r="111" spans="1:15" x14ac:dyDescent="0.25">
      <c r="A111" s="30" t="str">
        <f t="shared" si="8"/>
        <v>horses</v>
      </c>
      <c r="F111" t="s">
        <v>2</v>
      </c>
      <c r="K111" s="30" t="str">
        <f t="shared" si="7"/>
        <v>feeding_losses</v>
      </c>
      <c r="L111" s="30">
        <f t="shared" si="7"/>
        <v>15</v>
      </c>
      <c r="M111" s="30" t="str">
        <f t="shared" si="7"/>
        <v>%</v>
      </c>
      <c r="N111" s="26"/>
      <c r="O111" s="30" t="str">
        <f t="shared" si="9"/>
        <v>Cederberg &amp; Henriksson. 2020. Gräsmarkernas användning i jordbruket</v>
      </c>
    </row>
    <row r="112" spans="1:15" x14ac:dyDescent="0.25">
      <c r="F112" t="s">
        <v>12</v>
      </c>
      <c r="K112" s="26" t="s">
        <v>388</v>
      </c>
      <c r="L112" s="26">
        <v>5</v>
      </c>
      <c r="M112" s="26" t="s">
        <v>28</v>
      </c>
      <c r="N112" s="26"/>
      <c r="O112" t="s">
        <v>390</v>
      </c>
    </row>
    <row r="113" spans="1:15" x14ac:dyDescent="0.25">
      <c r="A113" s="30" t="str">
        <f>A86</f>
        <v>cattle</v>
      </c>
      <c r="B113" s="30" t="str">
        <f>B86</f>
        <v>dairy</v>
      </c>
      <c r="E113" s="30" t="str">
        <f t="shared" ref="E113:E114" si="10">E86</f>
        <v>cows</v>
      </c>
      <c r="F113" t="s">
        <v>12</v>
      </c>
      <c r="K113" s="30" t="str">
        <f t="shared" ref="K113:O117" si="11">K86</f>
        <v>feeding_losses</v>
      </c>
      <c r="L113" s="30">
        <f t="shared" si="11"/>
        <v>5</v>
      </c>
      <c r="M113" s="30" t="str">
        <f t="shared" si="11"/>
        <v>%</v>
      </c>
      <c r="N113" s="30" t="str">
        <f t="shared" si="11"/>
        <v>No feeding on pasture</v>
      </c>
      <c r="O113" s="30" t="str">
        <f t="shared" si="11"/>
        <v>Cederberg &amp; Henriksson. 2020. Gräsmarkernas användning i jordbruket</v>
      </c>
    </row>
    <row r="114" spans="1:15" x14ac:dyDescent="0.25">
      <c r="A114" s="30" t="str">
        <f t="shared" ref="A114:A117" si="12">A87</f>
        <v>cattle</v>
      </c>
      <c r="E114" s="30" t="str">
        <f t="shared" si="10"/>
        <v>bulls</v>
      </c>
      <c r="F114" t="s">
        <v>12</v>
      </c>
      <c r="K114" s="30" t="str">
        <f t="shared" si="11"/>
        <v>feeding_losses</v>
      </c>
      <c r="L114" s="30">
        <f t="shared" si="11"/>
        <v>5</v>
      </c>
      <c r="M114" s="30" t="str">
        <f t="shared" si="11"/>
        <v>%</v>
      </c>
      <c r="N114" s="30" t="str">
        <f t="shared" si="11"/>
        <v>No feeding on pasture</v>
      </c>
      <c r="O114" s="30" t="str">
        <f t="shared" si="11"/>
        <v>Cederberg &amp; Henriksson. 2020. Gräsmarkernas användning i jordbruket</v>
      </c>
    </row>
    <row r="115" spans="1:15" x14ac:dyDescent="0.25">
      <c r="A115" s="30" t="str">
        <f t="shared" si="12"/>
        <v>cattle</v>
      </c>
      <c r="F115" t="s">
        <v>12</v>
      </c>
      <c r="K115" s="30" t="str">
        <f t="shared" si="11"/>
        <v>feeding_losses</v>
      </c>
      <c r="L115" s="30">
        <f t="shared" si="11"/>
        <v>6</v>
      </c>
      <c r="M115" s="30" t="str">
        <f t="shared" si="11"/>
        <v>%</v>
      </c>
      <c r="N115" s="30" t="str">
        <f t="shared" si="11"/>
        <v>10% feeding on pasture</v>
      </c>
      <c r="O115" s="30" t="str">
        <f t="shared" si="11"/>
        <v>Cederberg &amp; Henriksson. 2020. Gräsmarkernas användning i jordbruket</v>
      </c>
    </row>
    <row r="116" spans="1:15" x14ac:dyDescent="0.25">
      <c r="A116" s="30" t="str">
        <f t="shared" si="12"/>
        <v>sheep</v>
      </c>
      <c r="F116" t="s">
        <v>12</v>
      </c>
      <c r="K116" s="30" t="str">
        <f t="shared" si="11"/>
        <v>feeding_losses</v>
      </c>
      <c r="L116" s="30">
        <f t="shared" si="11"/>
        <v>15</v>
      </c>
      <c r="M116" s="30" t="str">
        <f t="shared" si="11"/>
        <v>%</v>
      </c>
      <c r="N116" s="26"/>
      <c r="O116" s="30" t="str">
        <f t="shared" ref="O116:O117" si="13">O89</f>
        <v>Cederberg &amp; Henriksson. 2020. Gräsmarkernas användning i jordbruket</v>
      </c>
    </row>
    <row r="117" spans="1:15" x14ac:dyDescent="0.25">
      <c r="A117" s="30" t="str">
        <f t="shared" si="12"/>
        <v>horses</v>
      </c>
      <c r="F117" t="s">
        <v>12</v>
      </c>
      <c r="K117" s="30" t="str">
        <f t="shared" si="11"/>
        <v>feeding_losses</v>
      </c>
      <c r="L117" s="30">
        <f t="shared" si="11"/>
        <v>15</v>
      </c>
      <c r="M117" s="30" t="str">
        <f t="shared" si="11"/>
        <v>%</v>
      </c>
      <c r="N117" s="26"/>
      <c r="O117" s="30" t="str">
        <f t="shared" si="13"/>
        <v>Cederberg &amp; Henriksson. 2020. Gräsmarkernas användning i jordbruket</v>
      </c>
    </row>
    <row r="118" spans="1:15" x14ac:dyDescent="0.25">
      <c r="A118" s="30"/>
      <c r="F118" t="s">
        <v>33</v>
      </c>
      <c r="K118" s="26" t="s">
        <v>388</v>
      </c>
      <c r="L118" s="26">
        <v>0</v>
      </c>
      <c r="M118" t="s">
        <v>28</v>
      </c>
      <c r="N118" s="26" t="s">
        <v>399</v>
      </c>
      <c r="O118" s="30"/>
    </row>
    <row r="119" spans="1:15" x14ac:dyDescent="0.25">
      <c r="A119" t="s">
        <v>24</v>
      </c>
      <c r="F119" t="s">
        <v>33</v>
      </c>
      <c r="K119" t="s">
        <v>389</v>
      </c>
      <c r="L119" s="26">
        <f>100-55</f>
        <v>45</v>
      </c>
      <c r="M119" t="s">
        <v>28</v>
      </c>
      <c r="N119" s="26" t="s">
        <v>513</v>
      </c>
      <c r="O119" t="s">
        <v>390</v>
      </c>
    </row>
    <row r="120" spans="1:15" x14ac:dyDescent="0.25">
      <c r="A120" t="s">
        <v>387</v>
      </c>
      <c r="F120" t="s">
        <v>33</v>
      </c>
      <c r="K120" t="s">
        <v>389</v>
      </c>
      <c r="L120" s="26">
        <f>100-50</f>
        <v>50</v>
      </c>
      <c r="M120" t="s">
        <v>28</v>
      </c>
      <c r="N120" s="26" t="s">
        <v>514</v>
      </c>
      <c r="O120" t="s">
        <v>390</v>
      </c>
    </row>
    <row r="121" spans="1:15" x14ac:dyDescent="0.25">
      <c r="L121" s="3"/>
      <c r="N121" s="26"/>
    </row>
    <row r="122" spans="1:15" x14ac:dyDescent="0.25">
      <c r="A122" s="3" t="s">
        <v>398</v>
      </c>
      <c r="L122" s="3"/>
      <c r="N122" s="26"/>
    </row>
    <row r="123" spans="1:15" x14ac:dyDescent="0.25">
      <c r="L123" s="3"/>
      <c r="N123" s="26"/>
    </row>
    <row r="124" spans="1:15" x14ac:dyDescent="0.25">
      <c r="A124" s="1" t="s">
        <v>505</v>
      </c>
      <c r="B124" s="1"/>
      <c r="C124" s="1"/>
      <c r="D124" s="1"/>
      <c r="E124" s="2"/>
      <c r="F124" s="2"/>
      <c r="G124" s="2"/>
      <c r="H124" s="2"/>
      <c r="I124" s="2"/>
      <c r="J124" s="2"/>
      <c r="K124" s="2"/>
      <c r="L124" s="2"/>
      <c r="M124" s="2"/>
      <c r="N124" s="2" t="s">
        <v>300</v>
      </c>
      <c r="O124" s="2"/>
    </row>
    <row r="125" spans="1:15" x14ac:dyDescent="0.25">
      <c r="A125" s="3" t="s">
        <v>392</v>
      </c>
      <c r="B125" s="3"/>
      <c r="C125" s="3"/>
      <c r="D125" s="3"/>
      <c r="E125" s="3" t="s">
        <v>506</v>
      </c>
      <c r="F125" s="3"/>
      <c r="G125" s="3"/>
      <c r="H125" s="3"/>
      <c r="I125" s="3"/>
      <c r="J125" s="3"/>
      <c r="K125" s="3" t="s">
        <v>507</v>
      </c>
      <c r="L125" s="3">
        <v>4.5</v>
      </c>
      <c r="M125" s="3" t="s">
        <v>508</v>
      </c>
      <c r="N125" s="3"/>
    </row>
    <row r="126" spans="1:15" x14ac:dyDescent="0.25">
      <c r="A126" s="3" t="s">
        <v>392</v>
      </c>
      <c r="B126" s="3"/>
      <c r="C126" s="3"/>
      <c r="D126" s="3"/>
      <c r="E126" s="3"/>
      <c r="F126" s="3"/>
      <c r="G126" s="3"/>
      <c r="H126" s="3"/>
      <c r="I126" s="3"/>
      <c r="J126" s="3"/>
      <c r="K126" s="3" t="s">
        <v>507</v>
      </c>
      <c r="L126" s="3">
        <v>6.5</v>
      </c>
      <c r="M126" s="3" t="s">
        <v>508</v>
      </c>
      <c r="N126" s="3"/>
    </row>
    <row r="127" spans="1:15" x14ac:dyDescent="0.25">
      <c r="A127" t="s">
        <v>387</v>
      </c>
      <c r="K127" t="s">
        <v>509</v>
      </c>
      <c r="L127" s="26">
        <v>18</v>
      </c>
      <c r="M127" t="s">
        <v>510</v>
      </c>
      <c r="N127" s="3"/>
      <c r="O127" t="s">
        <v>511</v>
      </c>
    </row>
    <row r="128" spans="1:15" x14ac:dyDescent="0.25">
      <c r="A128" t="s">
        <v>25</v>
      </c>
      <c r="K128" t="s">
        <v>509</v>
      </c>
      <c r="L128" s="26">
        <v>1.5</v>
      </c>
      <c r="M128" t="s">
        <v>510</v>
      </c>
      <c r="N128" s="3"/>
      <c r="O128" t="s">
        <v>511</v>
      </c>
    </row>
    <row r="129" spans="1:15" x14ac:dyDescent="0.25">
      <c r="A129" t="s">
        <v>381</v>
      </c>
      <c r="K129" t="s">
        <v>509</v>
      </c>
      <c r="L129" s="26">
        <v>0</v>
      </c>
      <c r="M129" t="s">
        <v>510</v>
      </c>
      <c r="N129" s="3"/>
      <c r="O129" t="s">
        <v>511</v>
      </c>
    </row>
    <row r="130" spans="1:15" x14ac:dyDescent="0.25">
      <c r="L130" s="3"/>
      <c r="N130" s="3"/>
    </row>
    <row r="131" spans="1:15" x14ac:dyDescent="0.25">
      <c r="A131" s="1" t="s">
        <v>26</v>
      </c>
      <c r="B131" s="1"/>
      <c r="C131" s="1"/>
      <c r="D131" s="1"/>
      <c r="E131" s="2"/>
      <c r="F131" s="2"/>
      <c r="G131" s="2"/>
      <c r="H131" s="2"/>
      <c r="I131" s="2"/>
      <c r="J131" s="2"/>
      <c r="K131" s="2"/>
      <c r="L131" s="2"/>
      <c r="M131" s="2"/>
      <c r="N131" s="2" t="s">
        <v>300</v>
      </c>
      <c r="O131" s="2"/>
    </row>
    <row r="132" spans="1:15" x14ac:dyDescent="0.25">
      <c r="A132" s="78" t="s">
        <v>490</v>
      </c>
      <c r="B132" s="79"/>
      <c r="C132" s="79"/>
      <c r="D132" s="79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</row>
    <row r="133" spans="1:15" x14ac:dyDescent="0.25">
      <c r="F133" t="s">
        <v>306</v>
      </c>
      <c r="K133" t="s">
        <v>382</v>
      </c>
      <c r="L133" s="81">
        <f>INDEX('feed pars'!C$6:C$43,MATCH(F133,'feed pars'!B$6:B$43,0))</f>
        <v>100</v>
      </c>
      <c r="M133" t="s">
        <v>28</v>
      </c>
      <c r="N133" s="26" t="s">
        <v>385</v>
      </c>
    </row>
    <row r="134" spans="1:15" x14ac:dyDescent="0.25">
      <c r="F134" t="s">
        <v>307</v>
      </c>
      <c r="K134" t="s">
        <v>382</v>
      </c>
      <c r="L134" s="81">
        <f>INDEX('feed pars'!C$6:C$43,MATCH(F134,'feed pars'!B$6:B$43,0))</f>
        <v>100</v>
      </c>
      <c r="N134" s="3"/>
    </row>
    <row r="135" spans="1:15" x14ac:dyDescent="0.25">
      <c r="F135" t="s">
        <v>308</v>
      </c>
      <c r="K135" t="s">
        <v>382</v>
      </c>
      <c r="L135" s="81">
        <f>INDEX('feed pars'!C$6:C$43,MATCH(F135,'feed pars'!B$6:B$43,0))</f>
        <v>100</v>
      </c>
      <c r="N135" s="3"/>
    </row>
    <row r="136" spans="1:15" x14ac:dyDescent="0.25">
      <c r="F136" t="s">
        <v>2</v>
      </c>
      <c r="K136" t="s">
        <v>382</v>
      </c>
      <c r="L136" s="81">
        <f>INDEX('feed pars'!C$6:C$43,MATCH(F136,'feed pars'!B$6:B$43,0))</f>
        <v>100</v>
      </c>
      <c r="N136" s="3"/>
    </row>
    <row r="137" spans="1:15" x14ac:dyDescent="0.25">
      <c r="F137" t="s">
        <v>12</v>
      </c>
      <c r="K137" t="s">
        <v>382</v>
      </c>
      <c r="L137" s="81">
        <f>INDEX('feed pars'!C$6:C$43,MATCH(F137,'feed pars'!B$6:B$43,0))</f>
        <v>100</v>
      </c>
      <c r="N137" s="3"/>
    </row>
    <row r="138" spans="1:15" x14ac:dyDescent="0.25">
      <c r="F138" t="s">
        <v>33</v>
      </c>
      <c r="K138" t="s">
        <v>382</v>
      </c>
      <c r="L138" s="81">
        <f>INDEX('feed pars'!C$6:C$43,MATCH(F138,'feed pars'!B$6:B$43,0))</f>
        <v>100</v>
      </c>
      <c r="N138" s="3"/>
    </row>
    <row r="139" spans="1:15" x14ac:dyDescent="0.25">
      <c r="F139" t="s">
        <v>17</v>
      </c>
      <c r="K139" t="s">
        <v>382</v>
      </c>
      <c r="L139" s="81">
        <f>INDEX('feed pars'!C$6:C$43,MATCH(F139,'feed pars'!B$6:B$43,0))</f>
        <v>86</v>
      </c>
      <c r="N139" s="3"/>
    </row>
    <row r="140" spans="1:15" x14ac:dyDescent="0.25">
      <c r="F140" t="s">
        <v>37</v>
      </c>
      <c r="K140" t="s">
        <v>382</v>
      </c>
      <c r="L140" s="81">
        <f>INDEX('feed pars'!C$6:C$43,MATCH(F140,'feed pars'!B$6:B$43,0))</f>
        <v>86</v>
      </c>
      <c r="N140" s="3"/>
    </row>
    <row r="141" spans="1:15" x14ac:dyDescent="0.25">
      <c r="F141" t="s">
        <v>38</v>
      </c>
      <c r="K141" t="s">
        <v>382</v>
      </c>
      <c r="L141" s="81">
        <f>INDEX('feed pars'!C$6:C$43,MATCH(F141,'feed pars'!B$6:B$43,0))</f>
        <v>86</v>
      </c>
      <c r="N141" s="3"/>
    </row>
    <row r="142" spans="1:15" x14ac:dyDescent="0.25">
      <c r="F142" t="s">
        <v>39</v>
      </c>
      <c r="K142" t="s">
        <v>382</v>
      </c>
      <c r="L142" s="81">
        <f>INDEX('feed pars'!C$6:C$43,MATCH(F142,'feed pars'!B$6:B$43,0))</f>
        <v>86</v>
      </c>
      <c r="N142" s="3"/>
    </row>
    <row r="143" spans="1:15" x14ac:dyDescent="0.25">
      <c r="F143" t="s">
        <v>312</v>
      </c>
      <c r="K143" t="s">
        <v>382</v>
      </c>
      <c r="L143" s="81">
        <f>INDEX('feed pars'!C$6:C$43,MATCH(F143,'feed pars'!B$6:B$43,0))</f>
        <v>86</v>
      </c>
      <c r="N143" s="3"/>
    </row>
    <row r="144" spans="1:15" x14ac:dyDescent="0.25">
      <c r="F144" t="s">
        <v>40</v>
      </c>
      <c r="K144" t="s">
        <v>382</v>
      </c>
      <c r="L144" s="81">
        <f>INDEX('feed pars'!C$6:C$43,MATCH(F144,'feed pars'!B$6:B$43,0))</f>
        <v>86</v>
      </c>
      <c r="N144" s="3"/>
    </row>
    <row r="145" spans="6:14" x14ac:dyDescent="0.25">
      <c r="F145" t="s">
        <v>41</v>
      </c>
      <c r="K145" t="s">
        <v>382</v>
      </c>
      <c r="L145" s="81">
        <f>INDEX('feed pars'!C$6:C$43,MATCH(F145,'feed pars'!B$6:B$43,0))</f>
        <v>85</v>
      </c>
      <c r="N145" s="3"/>
    </row>
    <row r="146" spans="6:14" x14ac:dyDescent="0.25">
      <c r="F146" t="s">
        <v>42</v>
      </c>
      <c r="K146" t="s">
        <v>382</v>
      </c>
      <c r="L146" s="81">
        <f>INDEX('feed pars'!C$6:C$43,MATCH(F146,'feed pars'!B$6:B$43,0))</f>
        <v>85</v>
      </c>
      <c r="N146" s="3"/>
    </row>
    <row r="147" spans="6:14" x14ac:dyDescent="0.25">
      <c r="F147" t="s">
        <v>35</v>
      </c>
      <c r="K147" t="s">
        <v>382</v>
      </c>
      <c r="L147" s="81">
        <f>INDEX('feed pars'!C$6:C$43,MATCH(F147,'feed pars'!B$6:B$43,0))</f>
        <v>91</v>
      </c>
      <c r="N147" s="3"/>
    </row>
    <row r="148" spans="6:14" x14ac:dyDescent="0.25">
      <c r="F148" t="s">
        <v>43</v>
      </c>
      <c r="K148" t="s">
        <v>382</v>
      </c>
      <c r="L148" s="81">
        <f>INDEX('feed pars'!C$6:C$43,MATCH(F148,'feed pars'!B$6:B$43,0))</f>
        <v>91</v>
      </c>
      <c r="N148" s="3"/>
    </row>
    <row r="149" spans="6:14" x14ac:dyDescent="0.25">
      <c r="F149" t="s">
        <v>310</v>
      </c>
      <c r="K149" t="s">
        <v>382</v>
      </c>
      <c r="L149" s="81">
        <f>INDEX('feed pars'!C$6:C$43,MATCH(F149,'feed pars'!B$6:B$43,0))</f>
        <v>100</v>
      </c>
      <c r="N149" s="3"/>
    </row>
    <row r="150" spans="6:14" x14ac:dyDescent="0.25">
      <c r="F150" t="s">
        <v>302</v>
      </c>
      <c r="K150" t="s">
        <v>382</v>
      </c>
      <c r="L150" s="81">
        <f>INDEX('feed pars'!C$6:C$43,MATCH(F150,'feed pars'!B$6:B$43,0))</f>
        <v>85</v>
      </c>
      <c r="N150" s="3"/>
    </row>
    <row r="151" spans="6:14" x14ac:dyDescent="0.25">
      <c r="F151" t="s">
        <v>313</v>
      </c>
      <c r="K151" t="s">
        <v>382</v>
      </c>
      <c r="L151" s="81">
        <f>INDEX('feed pars'!C$6:C$43,MATCH(F151,'feed pars'!B$6:B$43,0))</f>
        <v>87</v>
      </c>
      <c r="N151" s="3"/>
    </row>
    <row r="152" spans="6:14" x14ac:dyDescent="0.25">
      <c r="F152" t="s">
        <v>44</v>
      </c>
      <c r="K152" t="s">
        <v>382</v>
      </c>
      <c r="L152" s="81">
        <f>INDEX('feed pars'!C$6:C$43,MATCH(F152,'feed pars'!B$6:B$43,0))</f>
        <v>87.5</v>
      </c>
      <c r="N152" s="3"/>
    </row>
    <row r="153" spans="6:14" x14ac:dyDescent="0.25">
      <c r="F153" t="s">
        <v>45</v>
      </c>
      <c r="K153" t="s">
        <v>382</v>
      </c>
      <c r="L153" s="81">
        <f>INDEX('feed pars'!C$6:C$43,MATCH(F153,'feed pars'!B$6:B$43,0))</f>
        <v>87</v>
      </c>
      <c r="N153" s="3"/>
    </row>
    <row r="154" spans="6:14" x14ac:dyDescent="0.25">
      <c r="F154" t="s">
        <v>36</v>
      </c>
      <c r="K154" t="s">
        <v>382</v>
      </c>
      <c r="L154" s="81">
        <f>INDEX('feed pars'!C$6:C$43,MATCH(F154,'feed pars'!B$6:B$43,0))</f>
        <v>89.5</v>
      </c>
      <c r="N154" s="3"/>
    </row>
    <row r="155" spans="6:14" x14ac:dyDescent="0.25">
      <c r="F155" t="s">
        <v>46</v>
      </c>
      <c r="K155" t="s">
        <v>382</v>
      </c>
      <c r="L155" s="81">
        <f>INDEX('feed pars'!C$6:C$43,MATCH(F155,'feed pars'!B$6:B$43,0))</f>
        <v>91</v>
      </c>
      <c r="N155" s="3"/>
    </row>
    <row r="156" spans="6:14" x14ac:dyDescent="0.25">
      <c r="F156" t="s">
        <v>47</v>
      </c>
      <c r="K156" t="s">
        <v>382</v>
      </c>
      <c r="L156" s="81">
        <f>INDEX('feed pars'!C$6:C$43,MATCH(F156,'feed pars'!B$6:B$43,0))</f>
        <v>91</v>
      </c>
      <c r="N156" s="3"/>
    </row>
    <row r="157" spans="6:14" x14ac:dyDescent="0.25">
      <c r="F157" t="s">
        <v>314</v>
      </c>
      <c r="K157" t="s">
        <v>382</v>
      </c>
      <c r="L157" s="81">
        <f>INDEX('feed pars'!C$6:C$43,MATCH(F157,'feed pars'!B$6:B$43,0))</f>
        <v>90</v>
      </c>
      <c r="N157" s="3"/>
    </row>
    <row r="158" spans="6:14" x14ac:dyDescent="0.25">
      <c r="F158" t="s">
        <v>48</v>
      </c>
      <c r="K158" t="s">
        <v>382</v>
      </c>
      <c r="L158" s="81">
        <f>INDEX('feed pars'!C$6:C$43,MATCH(F158,'feed pars'!B$6:B$43,0))</f>
        <v>87</v>
      </c>
      <c r="N158" s="3"/>
    </row>
    <row r="159" spans="6:14" x14ac:dyDescent="0.25">
      <c r="F159" t="s">
        <v>49</v>
      </c>
      <c r="K159" t="s">
        <v>382</v>
      </c>
      <c r="L159" s="81">
        <f>INDEX('feed pars'!C$6:C$43,MATCH(F159,'feed pars'!B$6:B$43,0))</f>
        <v>87.8</v>
      </c>
      <c r="N159" s="3"/>
    </row>
    <row r="160" spans="6:14" x14ac:dyDescent="0.25">
      <c r="F160" t="s">
        <v>50</v>
      </c>
      <c r="K160" t="s">
        <v>382</v>
      </c>
      <c r="L160" s="81">
        <f>INDEX('feed pars'!C$6:C$43,MATCH(F160,'feed pars'!B$6:B$43,0))</f>
        <v>90</v>
      </c>
      <c r="N160" s="3"/>
    </row>
    <row r="161" spans="6:14" x14ac:dyDescent="0.25">
      <c r="F161" t="s">
        <v>51</v>
      </c>
      <c r="K161" t="s">
        <v>382</v>
      </c>
      <c r="L161" s="81">
        <f>INDEX('feed pars'!C$6:C$43,MATCH(F161,'feed pars'!B$6:B$43,0))</f>
        <v>11</v>
      </c>
      <c r="N161" s="3"/>
    </row>
    <row r="162" spans="6:14" x14ac:dyDescent="0.25">
      <c r="F162" t="s">
        <v>309</v>
      </c>
      <c r="K162" t="s">
        <v>382</v>
      </c>
      <c r="L162" s="81">
        <f>INDEX('feed pars'!C$6:C$43,MATCH(F162,'feed pars'!B$6:B$43,0))</f>
        <v>90</v>
      </c>
      <c r="N162" s="3"/>
    </row>
    <row r="163" spans="6:14" x14ac:dyDescent="0.25">
      <c r="F163" t="s">
        <v>380</v>
      </c>
      <c r="K163" t="s">
        <v>382</v>
      </c>
      <c r="L163" s="81">
        <f>INDEX('feed pars'!C$6:C$43,MATCH(F163,'feed pars'!B$6:B$43,0))</f>
        <v>88.5</v>
      </c>
      <c r="N163" s="3"/>
    </row>
    <row r="164" spans="6:14" x14ac:dyDescent="0.25">
      <c r="F164" t="s">
        <v>52</v>
      </c>
      <c r="K164" t="s">
        <v>382</v>
      </c>
      <c r="L164" s="81">
        <f>INDEX('feed pars'!C$6:C$43,MATCH(F164,'feed pars'!B$6:B$43,0))</f>
        <v>75.5</v>
      </c>
      <c r="N164" s="3"/>
    </row>
    <row r="165" spans="6:14" x14ac:dyDescent="0.25">
      <c r="F165" t="s">
        <v>53</v>
      </c>
      <c r="K165" t="s">
        <v>382</v>
      </c>
      <c r="L165" s="81">
        <f>INDEX('feed pars'!C$6:C$43,MATCH(F165,'feed pars'!B$6:B$43,0))</f>
        <v>89.5</v>
      </c>
      <c r="N165" s="3"/>
    </row>
    <row r="166" spans="6:14" x14ac:dyDescent="0.25">
      <c r="F166" t="s">
        <v>54</v>
      </c>
      <c r="K166" t="s">
        <v>382</v>
      </c>
      <c r="L166" s="81">
        <f>INDEX('feed pars'!C$6:C$43,MATCH(F166,'feed pars'!B$6:B$43,0))</f>
        <v>6.25</v>
      </c>
      <c r="N166" s="3"/>
    </row>
    <row r="167" spans="6:14" x14ac:dyDescent="0.25">
      <c r="F167" t="s">
        <v>55</v>
      </c>
      <c r="K167" t="s">
        <v>382</v>
      </c>
      <c r="L167" s="81">
        <f>INDEX('feed pars'!C$6:C$43,MATCH(F167,'feed pars'!B$6:B$43,0))</f>
        <v>97</v>
      </c>
      <c r="N167" s="3"/>
    </row>
    <row r="168" spans="6:14" x14ac:dyDescent="0.25">
      <c r="F168" t="s">
        <v>56</v>
      </c>
      <c r="K168" t="s">
        <v>382</v>
      </c>
      <c r="L168" s="81">
        <f>INDEX('feed pars'!C$6:C$43,MATCH(F168,'feed pars'!B$6:B$43,0))</f>
        <v>91</v>
      </c>
      <c r="N168" s="3"/>
    </row>
    <row r="169" spans="6:14" x14ac:dyDescent="0.25">
      <c r="F169" t="s">
        <v>57</v>
      </c>
      <c r="K169" t="s">
        <v>382</v>
      </c>
      <c r="L169" s="81">
        <f>INDEX('feed pars'!C$6:C$43,MATCH(F169,'feed pars'!B$6:B$43,0))</f>
        <v>92</v>
      </c>
      <c r="N169" s="3"/>
    </row>
    <row r="170" spans="6:14" x14ac:dyDescent="0.25">
      <c r="F170" t="s">
        <v>319</v>
      </c>
      <c r="K170" t="s">
        <v>382</v>
      </c>
      <c r="L170" s="84">
        <v>100</v>
      </c>
      <c r="N170" s="3"/>
    </row>
    <row r="171" spans="6:14" x14ac:dyDescent="0.25">
      <c r="F171" t="s">
        <v>306</v>
      </c>
      <c r="K171" t="s">
        <v>492</v>
      </c>
      <c r="L171" s="25">
        <f>INDEX('feed pars'!D$6:D$43,MATCH(F171,'feed pars'!B$6:B$43,0))</f>
        <v>17.316948400000001</v>
      </c>
      <c r="M171" t="s">
        <v>491</v>
      </c>
      <c r="N171" s="26" t="s">
        <v>493</v>
      </c>
    </row>
    <row r="172" spans="6:14" x14ac:dyDescent="0.25">
      <c r="F172" t="s">
        <v>307</v>
      </c>
      <c r="K172" t="s">
        <v>492</v>
      </c>
      <c r="L172" s="25">
        <f>INDEX('feed pars'!D$6:D$43,MATCH(F172,'feed pars'!B$6:B$43,0))</f>
        <v>17.150216</v>
      </c>
      <c r="N172" s="3"/>
    </row>
    <row r="173" spans="6:14" x14ac:dyDescent="0.25">
      <c r="F173" t="s">
        <v>308</v>
      </c>
      <c r="K173" t="s">
        <v>492</v>
      </c>
      <c r="L173" s="25">
        <f>INDEX('feed pars'!D$6:D$43,MATCH(F173,'feed pars'!B$6:B$43,0))</f>
        <v>16.789764399999999</v>
      </c>
      <c r="N173" s="3"/>
    </row>
    <row r="174" spans="6:14" x14ac:dyDescent="0.25">
      <c r="F174" t="s">
        <v>2</v>
      </c>
      <c r="K174" t="s">
        <v>492</v>
      </c>
      <c r="L174" s="25">
        <f>INDEX('feed pars'!D$6:D$43,MATCH(F174,'feed pars'!B$6:B$43,0))</f>
        <v>17.160257599999998</v>
      </c>
      <c r="N174" s="3"/>
    </row>
    <row r="175" spans="6:14" x14ac:dyDescent="0.25">
      <c r="F175" t="s">
        <v>12</v>
      </c>
      <c r="K175" t="s">
        <v>492</v>
      </c>
      <c r="L175" s="25">
        <f>INDEX('feed pars'!D$6:D$43,MATCH(F175,'feed pars'!B$6:B$43,0))</f>
        <v>17.6573168</v>
      </c>
      <c r="N175" s="3"/>
    </row>
    <row r="176" spans="6:14" x14ac:dyDescent="0.25">
      <c r="F176" t="s">
        <v>33</v>
      </c>
      <c r="K176" t="s">
        <v>492</v>
      </c>
      <c r="L176" s="25">
        <f>INDEX('feed pars'!D$6:D$43,MATCH(F176,'feed pars'!B$6:B$43,0))</f>
        <v>17.411437066666668</v>
      </c>
      <c r="N176" s="3"/>
    </row>
    <row r="177" spans="6:14" x14ac:dyDescent="0.25">
      <c r="F177" t="s">
        <v>17</v>
      </c>
      <c r="K177" t="s">
        <v>492</v>
      </c>
      <c r="L177" s="25">
        <f>INDEX('feed pars'!D$6:D$43,MATCH(F177,'feed pars'!B$6:B$43,0))</f>
        <v>18.210023200000002</v>
      </c>
      <c r="N177" s="3"/>
    </row>
    <row r="178" spans="6:14" x14ac:dyDescent="0.25">
      <c r="F178" t="s">
        <v>37</v>
      </c>
      <c r="K178" t="s">
        <v>492</v>
      </c>
      <c r="L178" s="25">
        <f>INDEX('feed pars'!D$6:D$43,MATCH(F178,'feed pars'!B$6:B$43,0))</f>
        <v>18.089524000000001</v>
      </c>
      <c r="N178" s="3"/>
    </row>
    <row r="179" spans="6:14" x14ac:dyDescent="0.25">
      <c r="F179" t="s">
        <v>38</v>
      </c>
      <c r="K179" t="s">
        <v>492</v>
      </c>
      <c r="L179" s="25">
        <f>INDEX('feed pars'!D$6:D$43,MATCH(F179,'feed pars'!B$6:B$43,0))</f>
        <v>18.6602216</v>
      </c>
      <c r="N179" s="3"/>
    </row>
    <row r="180" spans="6:14" x14ac:dyDescent="0.25">
      <c r="F180" t="s">
        <v>39</v>
      </c>
      <c r="K180" t="s">
        <v>492</v>
      </c>
      <c r="L180" s="25">
        <f>INDEX('feed pars'!D$6:D$43,MATCH(F180,'feed pars'!B$6:B$43,0))</f>
        <v>18.2284328</v>
      </c>
      <c r="N180" s="3"/>
    </row>
    <row r="181" spans="6:14" x14ac:dyDescent="0.25">
      <c r="F181" t="s">
        <v>312</v>
      </c>
      <c r="K181" t="s">
        <v>492</v>
      </c>
      <c r="L181" s="25">
        <f>INDEX('feed pars'!D$6:D$43,MATCH(F181,'feed pars'!B$6:B$43,0))</f>
        <v>17.924256</v>
      </c>
      <c r="N181" s="3"/>
    </row>
    <row r="182" spans="6:14" x14ac:dyDescent="0.25">
      <c r="F182" t="s">
        <v>40</v>
      </c>
      <c r="K182" t="s">
        <v>492</v>
      </c>
      <c r="L182" s="25">
        <f>INDEX('feed pars'!D$6:D$43,MATCH(F182,'feed pars'!B$6:B$43,0))</f>
        <v>18.3899352</v>
      </c>
      <c r="N182" s="3"/>
    </row>
    <row r="183" spans="6:14" x14ac:dyDescent="0.25">
      <c r="F183" t="s">
        <v>41</v>
      </c>
      <c r="K183" t="s">
        <v>492</v>
      </c>
      <c r="L183" s="25">
        <f>INDEX('feed pars'!D$6:D$43,MATCH(F183,'feed pars'!B$6:B$43,0))</f>
        <v>18.478217600000001</v>
      </c>
      <c r="N183" s="3"/>
    </row>
    <row r="184" spans="6:14" x14ac:dyDescent="0.25">
      <c r="F184" t="s">
        <v>42</v>
      </c>
      <c r="K184" t="s">
        <v>492</v>
      </c>
      <c r="L184" s="25">
        <f>INDEX('feed pars'!D$6:D$43,MATCH(F184,'feed pars'!B$6:B$43,0))</f>
        <v>18.737207199999997</v>
      </c>
      <c r="N184" s="3"/>
    </row>
    <row r="185" spans="6:14" x14ac:dyDescent="0.25">
      <c r="F185" t="s">
        <v>35</v>
      </c>
      <c r="K185" t="s">
        <v>492</v>
      </c>
      <c r="L185" s="25">
        <f>INDEX('feed pars'!D$6:D$43,MATCH(F185,'feed pars'!B$6:B$43,0))</f>
        <v>27.903096000000001</v>
      </c>
      <c r="N185" s="3"/>
    </row>
    <row r="186" spans="6:14" x14ac:dyDescent="0.25">
      <c r="F186" t="s">
        <v>43</v>
      </c>
      <c r="K186" t="s">
        <v>492</v>
      </c>
      <c r="L186" s="25">
        <f>INDEX('feed pars'!D$6:D$43,MATCH(F186,'feed pars'!B$6:B$43,0))</f>
        <v>26.501456000000001</v>
      </c>
      <c r="N186" s="3"/>
    </row>
    <row r="187" spans="6:14" x14ac:dyDescent="0.25">
      <c r="F187" t="s">
        <v>310</v>
      </c>
      <c r="K187" t="s">
        <v>492</v>
      </c>
      <c r="L187" s="25">
        <f>INDEX('feed pars'!D$6:D$43,MATCH(F187,'feed pars'!B$6:B$43,0))</f>
        <v>39.329599999999999</v>
      </c>
      <c r="N187" s="3"/>
    </row>
    <row r="188" spans="6:14" x14ac:dyDescent="0.25">
      <c r="F188" t="s">
        <v>302</v>
      </c>
      <c r="K188" t="s">
        <v>492</v>
      </c>
      <c r="L188" s="25">
        <f>INDEX('feed pars'!D$6:D$43,MATCH(F188,'feed pars'!B$6:B$43,0))</f>
        <v>16.927627199999996</v>
      </c>
      <c r="N188" s="3"/>
    </row>
    <row r="189" spans="6:14" x14ac:dyDescent="0.25">
      <c r="F189" t="s">
        <v>313</v>
      </c>
      <c r="K189" t="s">
        <v>492</v>
      </c>
      <c r="L189" s="25">
        <f>INDEX('feed pars'!D$6:D$43,MATCH(F189,'feed pars'!B$6:B$43,0))</f>
        <v>22.965976000000001</v>
      </c>
      <c r="N189" s="3"/>
    </row>
    <row r="190" spans="6:14" x14ac:dyDescent="0.25">
      <c r="F190" t="s">
        <v>44</v>
      </c>
      <c r="K190" t="s">
        <v>492</v>
      </c>
      <c r="L190" s="25">
        <f>INDEX('feed pars'!D$6:D$43,MATCH(F190,'feed pars'!B$6:B$43,0))</f>
        <v>19.589487999999999</v>
      </c>
      <c r="N190" s="3"/>
    </row>
    <row r="191" spans="6:14" x14ac:dyDescent="0.25">
      <c r="F191" t="s">
        <v>45</v>
      </c>
      <c r="K191" t="s">
        <v>492</v>
      </c>
      <c r="L191" s="25">
        <f>INDEX('feed pars'!D$6:D$43,MATCH(F191,'feed pars'!B$6:B$43,0))</f>
        <v>20.560594400000003</v>
      </c>
      <c r="N191" s="3"/>
    </row>
    <row r="192" spans="6:14" x14ac:dyDescent="0.25">
      <c r="F192" t="s">
        <v>36</v>
      </c>
      <c r="K192" t="s">
        <v>492</v>
      </c>
      <c r="L192" s="25">
        <f>INDEX('feed pars'!D$6:D$43,MATCH(F192,'feed pars'!B$6:B$43,0))</f>
        <v>19.4920008</v>
      </c>
      <c r="N192" s="3"/>
    </row>
    <row r="193" spans="6:14" x14ac:dyDescent="0.25">
      <c r="F193" t="s">
        <v>46</v>
      </c>
      <c r="K193" t="s">
        <v>492</v>
      </c>
      <c r="L193" s="25">
        <f>INDEX('feed pars'!D$6:D$43,MATCH(F193,'feed pars'!B$6:B$43,0))</f>
        <v>19.083224000000001</v>
      </c>
      <c r="N193" s="3"/>
    </row>
    <row r="194" spans="6:14" x14ac:dyDescent="0.25">
      <c r="F194" t="s">
        <v>47</v>
      </c>
      <c r="K194" t="s">
        <v>492</v>
      </c>
      <c r="L194" s="25">
        <f>INDEX('feed pars'!D$6:D$43,MATCH(F194,'feed pars'!B$6:B$43,0))</f>
        <v>19.581538399999999</v>
      </c>
      <c r="N194" s="3"/>
    </row>
    <row r="195" spans="6:14" x14ac:dyDescent="0.25">
      <c r="F195" t="s">
        <v>314</v>
      </c>
      <c r="K195" t="s">
        <v>492</v>
      </c>
      <c r="L195" s="25">
        <f>INDEX('feed pars'!D$6:D$43,MATCH(F195,'feed pars'!B$6:B$43,0))</f>
        <v>16.971140800000001</v>
      </c>
      <c r="N195" s="3"/>
    </row>
    <row r="196" spans="6:14" x14ac:dyDescent="0.25">
      <c r="F196" t="s">
        <v>48</v>
      </c>
      <c r="K196" t="s">
        <v>492</v>
      </c>
      <c r="L196" s="25">
        <f>INDEX('feed pars'!D$6:D$43,MATCH(F196,'feed pars'!B$6:B$43,0))</f>
        <v>18.194124000000002</v>
      </c>
      <c r="N196" s="3"/>
    </row>
    <row r="197" spans="6:14" x14ac:dyDescent="0.25">
      <c r="F197" t="s">
        <v>49</v>
      </c>
      <c r="K197" t="s">
        <v>492</v>
      </c>
      <c r="L197" s="25">
        <f>INDEX('feed pars'!D$6:D$43,MATCH(F197,'feed pars'!B$6:B$43,0))</f>
        <v>18.472360000000002</v>
      </c>
      <c r="N197" s="3"/>
    </row>
    <row r="198" spans="6:14" x14ac:dyDescent="0.25">
      <c r="F198" t="s">
        <v>50</v>
      </c>
      <c r="K198" t="s">
        <v>492</v>
      </c>
      <c r="L198" s="25">
        <f>INDEX('feed pars'!D$6:D$43,MATCH(F198,'feed pars'!B$6:B$43,0))</f>
        <v>19.659779199999999</v>
      </c>
      <c r="N198" s="3"/>
    </row>
    <row r="199" spans="6:14" x14ac:dyDescent="0.25">
      <c r="F199" t="s">
        <v>51</v>
      </c>
      <c r="K199" t="s">
        <v>492</v>
      </c>
      <c r="L199" s="25">
        <f>INDEX('feed pars'!D$6:D$43,MATCH(F199,'feed pars'!B$6:B$43,0))</f>
        <v>18.8602168</v>
      </c>
      <c r="N199" s="3"/>
    </row>
    <row r="200" spans="6:14" x14ac:dyDescent="0.25">
      <c r="F200" t="s">
        <v>309</v>
      </c>
      <c r="K200" t="s">
        <v>492</v>
      </c>
      <c r="L200" s="25">
        <f>INDEX('feed pars'!D$6:D$43,MATCH(F200,'feed pars'!B$6:B$43,0))</f>
        <v>19.848896</v>
      </c>
      <c r="N200" s="3"/>
    </row>
    <row r="201" spans="6:14" x14ac:dyDescent="0.25">
      <c r="F201" t="s">
        <v>380</v>
      </c>
      <c r="K201" t="s">
        <v>492</v>
      </c>
      <c r="L201" s="25">
        <f>INDEX('feed pars'!D$6:D$43,MATCH(F201,'feed pars'!B$6:B$43,0))</f>
        <v>22.900705599999998</v>
      </c>
      <c r="N201" s="3"/>
    </row>
    <row r="202" spans="6:14" x14ac:dyDescent="0.25">
      <c r="F202" t="s">
        <v>52</v>
      </c>
      <c r="K202" t="s">
        <v>492</v>
      </c>
      <c r="L202" s="25">
        <f>INDEX('feed pars'!D$6:D$43,MATCH(F202,'feed pars'!B$6:B$43,0))</f>
        <v>16.1615368</v>
      </c>
      <c r="N202" s="3"/>
    </row>
    <row r="203" spans="6:14" x14ac:dyDescent="0.25">
      <c r="F203" t="s">
        <v>53</v>
      </c>
      <c r="K203" t="s">
        <v>492</v>
      </c>
      <c r="L203" s="25">
        <f>INDEX('feed pars'!D$6:D$43,MATCH(F203,'feed pars'!B$6:B$43,0))</f>
        <v>17.334312000000001</v>
      </c>
      <c r="N203" s="3"/>
    </row>
    <row r="204" spans="6:14" x14ac:dyDescent="0.25">
      <c r="F204" t="s">
        <v>54</v>
      </c>
      <c r="K204" t="s">
        <v>492</v>
      </c>
      <c r="L204" s="25">
        <f>INDEX('feed pars'!D$6:D$43,MATCH(F204,'feed pars'!B$6:B$43,0))</f>
        <v>16.464040000000001</v>
      </c>
      <c r="N204" s="3"/>
    </row>
    <row r="205" spans="6:14" x14ac:dyDescent="0.25">
      <c r="F205" t="s">
        <v>55</v>
      </c>
      <c r="K205" t="s">
        <v>492</v>
      </c>
      <c r="L205" s="25">
        <f>INDEX('feed pars'!D$6:D$43,MATCH(F205,'feed pars'!B$6:B$43,0))</f>
        <v>16.975324799999999</v>
      </c>
      <c r="N205" s="3"/>
    </row>
    <row r="206" spans="6:14" x14ac:dyDescent="0.25">
      <c r="F206" t="s">
        <v>56</v>
      </c>
      <c r="K206" t="s">
        <v>492</v>
      </c>
      <c r="L206" s="25">
        <f>INDEX('feed pars'!D$6:D$43,MATCH(F206,'feed pars'!B$6:B$43,0))</f>
        <v>23.055932000000002</v>
      </c>
      <c r="N206" s="3"/>
    </row>
    <row r="207" spans="6:14" x14ac:dyDescent="0.25">
      <c r="F207" t="s">
        <v>57</v>
      </c>
      <c r="K207" t="s">
        <v>492</v>
      </c>
      <c r="L207" s="25">
        <f>INDEX('feed pars'!D$6:D$43,MATCH(F207,'feed pars'!B$6:B$43,0))</f>
        <v>22.254696000000003</v>
      </c>
      <c r="N207" s="3"/>
    </row>
    <row r="208" spans="6:14" x14ac:dyDescent="0.25">
      <c r="F208" t="s">
        <v>319</v>
      </c>
      <c r="K208" t="s">
        <v>492</v>
      </c>
      <c r="L208" s="83">
        <v>0</v>
      </c>
      <c r="N208" s="3"/>
    </row>
    <row r="209" spans="1:15" x14ac:dyDescent="0.25">
      <c r="A209" s="7" t="s">
        <v>20</v>
      </c>
      <c r="B209" s="7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25">
      <c r="A210" t="s">
        <v>24</v>
      </c>
      <c r="F210" t="s">
        <v>306</v>
      </c>
      <c r="K210" t="s">
        <v>18</v>
      </c>
      <c r="L210" s="25">
        <f>INDEX('feed pars'!M$6:M$43,MATCH(F210,'feed pars'!B$6:B$43,0))</f>
        <v>11.3</v>
      </c>
      <c r="M210" t="s">
        <v>19</v>
      </c>
      <c r="N210" s="26" t="s">
        <v>496</v>
      </c>
    </row>
    <row r="211" spans="1:15" x14ac:dyDescent="0.25">
      <c r="A211" t="s">
        <v>24</v>
      </c>
      <c r="F211" t="s">
        <v>307</v>
      </c>
      <c r="K211" t="s">
        <v>18</v>
      </c>
      <c r="L211" s="25">
        <f>INDEX('feed pars'!M$6:M$43,MATCH(F211,'feed pars'!B$6:B$43,0))</f>
        <v>10.1</v>
      </c>
      <c r="N211" s="3"/>
    </row>
    <row r="212" spans="1:15" x14ac:dyDescent="0.25">
      <c r="A212" t="s">
        <v>24</v>
      </c>
      <c r="F212" t="s">
        <v>308</v>
      </c>
      <c r="K212" t="s">
        <v>18</v>
      </c>
      <c r="L212" s="25">
        <f>INDEX('feed pars'!M$6:M$43,MATCH(F212,'feed pars'!B$6:B$43,0))</f>
        <v>8.5</v>
      </c>
      <c r="N212" s="3"/>
    </row>
    <row r="213" spans="1:15" x14ac:dyDescent="0.25">
      <c r="A213" t="s">
        <v>24</v>
      </c>
      <c r="F213" t="s">
        <v>12</v>
      </c>
      <c r="K213" t="s">
        <v>18</v>
      </c>
      <c r="L213" s="25">
        <f>INDEX('feed pars'!M$6:M$43,MATCH(F213,'feed pars'!B$6:B$43,0))</f>
        <v>11</v>
      </c>
    </row>
    <row r="214" spans="1:15" x14ac:dyDescent="0.25">
      <c r="A214" t="s">
        <v>24</v>
      </c>
      <c r="F214" t="s">
        <v>33</v>
      </c>
      <c r="K214" t="s">
        <v>18</v>
      </c>
      <c r="L214" s="25">
        <f>INDEX('feed pars'!M$6:M$43,MATCH(F214,'feed pars'!B$6:B$43,0))</f>
        <v>9.9416666666666664</v>
      </c>
    </row>
    <row r="215" spans="1:15" x14ac:dyDescent="0.25">
      <c r="A215" t="s">
        <v>24</v>
      </c>
      <c r="F215" t="s">
        <v>17</v>
      </c>
      <c r="K215" t="s">
        <v>18</v>
      </c>
      <c r="L215" s="25">
        <f>INDEX('feed pars'!M$6:M$43,MATCH(F215,'feed pars'!B$6:B$43,0))</f>
        <v>14.1</v>
      </c>
    </row>
    <row r="216" spans="1:15" x14ac:dyDescent="0.25">
      <c r="A216" t="s">
        <v>24</v>
      </c>
      <c r="F216" t="s">
        <v>37</v>
      </c>
      <c r="K216" t="s">
        <v>18</v>
      </c>
      <c r="L216" s="25">
        <f>INDEX('feed pars'!M$6:M$43,MATCH(F216,'feed pars'!B$6:B$43,0))</f>
        <v>13.2</v>
      </c>
    </row>
    <row r="217" spans="1:15" x14ac:dyDescent="0.25">
      <c r="A217" t="s">
        <v>24</v>
      </c>
      <c r="F217" t="s">
        <v>38</v>
      </c>
      <c r="K217" t="s">
        <v>18</v>
      </c>
      <c r="L217" s="25">
        <f>INDEX('feed pars'!M$6:M$43,MATCH(F217,'feed pars'!B$6:B$43,0))</f>
        <v>11.7</v>
      </c>
    </row>
    <row r="218" spans="1:15" x14ac:dyDescent="0.25">
      <c r="A218" t="s">
        <v>24</v>
      </c>
      <c r="F218" t="s">
        <v>39</v>
      </c>
      <c r="K218" t="s">
        <v>18</v>
      </c>
      <c r="L218" s="25">
        <f>INDEX('feed pars'!M$6:M$43,MATCH(F218,'feed pars'!B$6:B$43,0))</f>
        <v>14</v>
      </c>
    </row>
    <row r="219" spans="1:15" x14ac:dyDescent="0.25">
      <c r="A219" t="s">
        <v>24</v>
      </c>
      <c r="F219" t="s">
        <v>312</v>
      </c>
      <c r="K219" t="s">
        <v>18</v>
      </c>
      <c r="L219" s="25">
        <f>INDEX('feed pars'!M$6:M$43,MATCH(F219,'feed pars'!B$6:B$43,0))</f>
        <v>13.9</v>
      </c>
    </row>
    <row r="220" spans="1:15" x14ac:dyDescent="0.25">
      <c r="A220" t="s">
        <v>24</v>
      </c>
      <c r="F220" t="s">
        <v>40</v>
      </c>
      <c r="K220" t="s">
        <v>18</v>
      </c>
      <c r="L220" s="25">
        <f>INDEX('feed pars'!M$6:M$43,MATCH(F220,'feed pars'!B$6:B$43,0))</f>
        <v>12.8</v>
      </c>
    </row>
    <row r="221" spans="1:15" x14ac:dyDescent="0.25">
      <c r="A221" t="s">
        <v>24</v>
      </c>
      <c r="F221" t="s">
        <v>41</v>
      </c>
      <c r="K221" t="s">
        <v>18</v>
      </c>
      <c r="L221" s="25">
        <f>INDEX('feed pars'!M$6:M$43,MATCH(F221,'feed pars'!B$6:B$43,0))</f>
        <v>13.8</v>
      </c>
    </row>
    <row r="222" spans="1:15" x14ac:dyDescent="0.25">
      <c r="A222" t="s">
        <v>24</v>
      </c>
      <c r="F222" t="s">
        <v>42</v>
      </c>
      <c r="K222" t="s">
        <v>18</v>
      </c>
      <c r="L222" s="25">
        <f>INDEX('feed pars'!M$6:M$43,MATCH(F222,'feed pars'!B$6:B$43,0))</f>
        <v>13.3</v>
      </c>
    </row>
    <row r="223" spans="1:15" x14ac:dyDescent="0.25">
      <c r="A223" t="s">
        <v>24</v>
      </c>
      <c r="F223" t="s">
        <v>35</v>
      </c>
      <c r="K223" t="s">
        <v>18</v>
      </c>
      <c r="L223" s="25">
        <f>INDEX('feed pars'!M$6:M$43,MATCH(F223,'feed pars'!B$6:B$43,0))</f>
        <v>22.1</v>
      </c>
    </row>
    <row r="224" spans="1:15" x14ac:dyDescent="0.25">
      <c r="A224" t="s">
        <v>24</v>
      </c>
      <c r="F224" t="s">
        <v>43</v>
      </c>
      <c r="K224" t="s">
        <v>18</v>
      </c>
      <c r="L224" s="25">
        <f>INDEX('feed pars'!M$6:M$43,MATCH(F224,'feed pars'!B$6:B$43,0))</f>
        <v>20.100000000000001</v>
      </c>
    </row>
    <row r="225" spans="1:12" x14ac:dyDescent="0.25">
      <c r="A225" t="s">
        <v>24</v>
      </c>
      <c r="F225" t="s">
        <v>302</v>
      </c>
      <c r="K225" t="s">
        <v>18</v>
      </c>
      <c r="L225" s="25">
        <f>INDEX('feed pars'!M$6:M$43,MATCH(F225,'feed pars'!B$6:B$43,0))</f>
        <v>6.6</v>
      </c>
    </row>
    <row r="226" spans="1:12" x14ac:dyDescent="0.25">
      <c r="A226" t="s">
        <v>24</v>
      </c>
      <c r="F226" t="s">
        <v>310</v>
      </c>
      <c r="K226" t="s">
        <v>18</v>
      </c>
      <c r="L226" s="25">
        <f>INDEX('feed pars'!M$6:M$43,MATCH(F226,'feed pars'!B$6:B$43,0))</f>
        <v>36.6</v>
      </c>
    </row>
    <row r="227" spans="1:12" x14ac:dyDescent="0.25">
      <c r="A227" t="s">
        <v>24</v>
      </c>
      <c r="F227" t="s">
        <v>313</v>
      </c>
      <c r="K227" t="s">
        <v>18</v>
      </c>
      <c r="L227" s="25">
        <f>INDEX('feed pars'!M$6:M$43,MATCH(F227,'feed pars'!B$6:B$43,0))</f>
        <v>16.399999999999999</v>
      </c>
    </row>
    <row r="228" spans="1:12" x14ac:dyDescent="0.25">
      <c r="A228" t="s">
        <v>24</v>
      </c>
      <c r="F228" t="s">
        <v>44</v>
      </c>
      <c r="K228" t="s">
        <v>18</v>
      </c>
      <c r="L228" s="25">
        <f>INDEX('feed pars'!M$6:M$43,MATCH(F228,'feed pars'!B$6:B$43,0))</f>
        <v>14.6</v>
      </c>
    </row>
    <row r="229" spans="1:12" x14ac:dyDescent="0.25">
      <c r="A229" t="s">
        <v>24</v>
      </c>
      <c r="F229" t="s">
        <v>36</v>
      </c>
      <c r="K229" t="s">
        <v>18</v>
      </c>
      <c r="L229" s="25">
        <f>INDEX('feed pars'!M$6:M$43,MATCH(F229,'feed pars'!B$6:B$43,0))</f>
        <v>12.2</v>
      </c>
    </row>
    <row r="230" spans="1:12" x14ac:dyDescent="0.25">
      <c r="A230" t="s">
        <v>24</v>
      </c>
      <c r="F230" t="s">
        <v>46</v>
      </c>
      <c r="K230" t="s">
        <v>18</v>
      </c>
      <c r="L230" s="25">
        <f>INDEX('feed pars'!M$6:M$43,MATCH(F230,'feed pars'!B$6:B$43,0))</f>
        <v>11.4</v>
      </c>
    </row>
    <row r="231" spans="1:12" x14ac:dyDescent="0.25">
      <c r="A231" t="s">
        <v>24</v>
      </c>
      <c r="F231" t="s">
        <v>47</v>
      </c>
      <c r="K231" t="s">
        <v>18</v>
      </c>
      <c r="L231" s="25">
        <f>INDEX('feed pars'!M$6:M$43,MATCH(F231,'feed pars'!B$6:B$43,0))</f>
        <v>13.4</v>
      </c>
    </row>
    <row r="232" spans="1:12" x14ac:dyDescent="0.25">
      <c r="A232" t="s">
        <v>24</v>
      </c>
      <c r="F232" t="s">
        <v>314</v>
      </c>
      <c r="K232" t="s">
        <v>18</v>
      </c>
      <c r="L232" s="25">
        <f>INDEX('feed pars'!M$6:M$43,MATCH(F232,'feed pars'!B$6:B$43,0))</f>
        <v>8.5</v>
      </c>
    </row>
    <row r="233" spans="1:12" x14ac:dyDescent="0.25">
      <c r="A233" t="s">
        <v>24</v>
      </c>
      <c r="F233" t="s">
        <v>48</v>
      </c>
      <c r="K233" t="s">
        <v>18</v>
      </c>
      <c r="L233" s="25">
        <f>INDEX('feed pars'!M$6:M$43,MATCH(F233,'feed pars'!B$6:B$43,0))</f>
        <v>11</v>
      </c>
    </row>
    <row r="234" spans="1:12" x14ac:dyDescent="0.25">
      <c r="A234" t="s">
        <v>24</v>
      </c>
      <c r="F234" t="s">
        <v>50</v>
      </c>
      <c r="K234" t="s">
        <v>18</v>
      </c>
      <c r="L234" s="25">
        <f>INDEX('feed pars'!M$6:M$43,MATCH(F234,'feed pars'!B$6:B$43,0))</f>
        <v>13.3</v>
      </c>
    </row>
    <row r="235" spans="1:12" x14ac:dyDescent="0.25">
      <c r="A235" t="s">
        <v>24</v>
      </c>
      <c r="F235" t="s">
        <v>309</v>
      </c>
      <c r="K235" t="s">
        <v>18</v>
      </c>
      <c r="L235" s="25">
        <f>INDEX('feed pars'!M$6:M$43,MATCH(F235,'feed pars'!B$6:B$43,0))</f>
        <v>11.6</v>
      </c>
    </row>
    <row r="236" spans="1:12" x14ac:dyDescent="0.25">
      <c r="A236" t="s">
        <v>24</v>
      </c>
      <c r="F236" t="s">
        <v>52</v>
      </c>
      <c r="K236" t="s">
        <v>18</v>
      </c>
      <c r="L236" s="25">
        <f>INDEX('feed pars'!M$6:M$43,MATCH(F236,'feed pars'!B$6:B$43,0))</f>
        <v>12.4</v>
      </c>
    </row>
    <row r="237" spans="1:12" x14ac:dyDescent="0.25">
      <c r="A237" t="s">
        <v>24</v>
      </c>
      <c r="F237" t="s">
        <v>53</v>
      </c>
      <c r="K237" t="s">
        <v>18</v>
      </c>
      <c r="L237" s="25">
        <f>INDEX('feed pars'!M$6:M$43,MATCH(F237,'feed pars'!B$6:B$43,0))</f>
        <v>12.3</v>
      </c>
    </row>
    <row r="238" spans="1:12" x14ac:dyDescent="0.25">
      <c r="A238" t="s">
        <v>24</v>
      </c>
      <c r="F238" t="s">
        <v>54</v>
      </c>
      <c r="K238" t="s">
        <v>18</v>
      </c>
      <c r="L238" s="25">
        <f>INDEX('feed pars'!M$6:M$43,MATCH(F238,'feed pars'!B$6:B$43,0))</f>
        <v>13.6</v>
      </c>
    </row>
    <row r="239" spans="1:12" x14ac:dyDescent="0.25">
      <c r="A239" t="s">
        <v>24</v>
      </c>
      <c r="F239" t="s">
        <v>56</v>
      </c>
      <c r="K239" t="s">
        <v>18</v>
      </c>
      <c r="L239" s="25">
        <f>INDEX('feed pars'!M$6:M$43,MATCH(F239,'feed pars'!B$6:B$43,0))</f>
        <v>15.5</v>
      </c>
    </row>
    <row r="240" spans="1:12" x14ac:dyDescent="0.25">
      <c r="A240" t="s">
        <v>24</v>
      </c>
      <c r="F240" t="s">
        <v>319</v>
      </c>
      <c r="K240" t="s">
        <v>18</v>
      </c>
      <c r="L240" s="3">
        <v>0</v>
      </c>
    </row>
    <row r="241" spans="1:14" x14ac:dyDescent="0.25">
      <c r="A241" t="s">
        <v>24</v>
      </c>
      <c r="F241" t="s">
        <v>306</v>
      </c>
      <c r="K241" t="s">
        <v>494</v>
      </c>
      <c r="L241" s="81">
        <f>INDEX('feed pars'!P$6:P$43,MATCH(F241,'feed pars'!B$6:B$43,0))</f>
        <v>20</v>
      </c>
      <c r="M241" t="s">
        <v>495</v>
      </c>
      <c r="N241" s="26" t="s">
        <v>499</v>
      </c>
    </row>
    <row r="242" spans="1:14" x14ac:dyDescent="0.25">
      <c r="A242" t="s">
        <v>24</v>
      </c>
      <c r="F242" t="s">
        <v>307</v>
      </c>
      <c r="K242" t="s">
        <v>494</v>
      </c>
      <c r="L242" s="81">
        <f>INDEX('feed pars'!P$6:P$43,MATCH(F242,'feed pars'!B$6:B$43,0))</f>
        <v>20</v>
      </c>
      <c r="N242" s="3"/>
    </row>
    <row r="243" spans="1:14" x14ac:dyDescent="0.25">
      <c r="A243" t="s">
        <v>24</v>
      </c>
      <c r="F243" t="s">
        <v>308</v>
      </c>
      <c r="K243" t="s">
        <v>494</v>
      </c>
      <c r="L243" s="81">
        <f>INDEX('feed pars'!P$6:P$43,MATCH(F243,'feed pars'!B$6:B$43,0))</f>
        <v>22.5</v>
      </c>
      <c r="N243" s="3"/>
    </row>
    <row r="244" spans="1:14" x14ac:dyDescent="0.25">
      <c r="A244" t="s">
        <v>24</v>
      </c>
      <c r="F244" t="s">
        <v>12</v>
      </c>
      <c r="K244" t="s">
        <v>494</v>
      </c>
      <c r="L244" s="81">
        <f>INDEX('feed pars'!P$6:P$43,MATCH(F244,'feed pars'!B$6:B$43,0))</f>
        <v>30</v>
      </c>
    </row>
    <row r="245" spans="1:14" x14ac:dyDescent="0.25">
      <c r="A245" t="s">
        <v>24</v>
      </c>
      <c r="F245" t="s">
        <v>33</v>
      </c>
      <c r="K245" t="s">
        <v>494</v>
      </c>
      <c r="L245" s="81">
        <f>INDEX('feed pars'!P$6:P$43,MATCH(F245,'feed pars'!B$6:B$43,0))</f>
        <v>20</v>
      </c>
    </row>
    <row r="246" spans="1:14" x14ac:dyDescent="0.25">
      <c r="A246" t="s">
        <v>24</v>
      </c>
      <c r="F246" t="s">
        <v>17</v>
      </c>
      <c r="K246" t="s">
        <v>494</v>
      </c>
      <c r="L246" s="81">
        <f>INDEX('feed pars'!P$6:P$43,MATCH(F246,'feed pars'!B$6:B$43,0))</f>
        <v>25</v>
      </c>
    </row>
    <row r="247" spans="1:14" x14ac:dyDescent="0.25">
      <c r="A247" t="s">
        <v>24</v>
      </c>
      <c r="F247" t="s">
        <v>37</v>
      </c>
      <c r="K247" t="s">
        <v>494</v>
      </c>
      <c r="L247" s="81">
        <f>INDEX('feed pars'!P$6:P$43,MATCH(F247,'feed pars'!B$6:B$43,0))</f>
        <v>27</v>
      </c>
    </row>
    <row r="248" spans="1:14" x14ac:dyDescent="0.25">
      <c r="A248" t="s">
        <v>24</v>
      </c>
      <c r="F248" t="s">
        <v>38</v>
      </c>
      <c r="K248" t="s">
        <v>494</v>
      </c>
      <c r="L248" s="81">
        <f>INDEX('feed pars'!P$6:P$43,MATCH(F248,'feed pars'!B$6:B$43,0))</f>
        <v>61</v>
      </c>
    </row>
    <row r="249" spans="1:14" x14ac:dyDescent="0.25">
      <c r="A249" t="s">
        <v>24</v>
      </c>
      <c r="F249" t="s">
        <v>39</v>
      </c>
      <c r="K249" t="s">
        <v>494</v>
      </c>
      <c r="L249" s="81">
        <f>INDEX('feed pars'!P$6:P$43,MATCH(F249,'feed pars'!B$6:B$43,0))</f>
        <v>26</v>
      </c>
    </row>
    <row r="250" spans="1:14" x14ac:dyDescent="0.25">
      <c r="A250" t="s">
        <v>24</v>
      </c>
      <c r="F250" t="s">
        <v>312</v>
      </c>
      <c r="K250" t="s">
        <v>494</v>
      </c>
      <c r="L250" s="81">
        <f>INDEX('feed pars'!P$6:P$43,MATCH(F250,'feed pars'!B$6:B$43,0))</f>
        <v>20</v>
      </c>
    </row>
    <row r="251" spans="1:14" x14ac:dyDescent="0.25">
      <c r="A251" t="s">
        <v>24</v>
      </c>
      <c r="F251" t="s">
        <v>40</v>
      </c>
      <c r="K251" t="s">
        <v>494</v>
      </c>
      <c r="L251" s="81">
        <f>INDEX('feed pars'!P$6:P$43,MATCH(F251,'feed pars'!B$6:B$43,0))</f>
        <v>40</v>
      </c>
    </row>
    <row r="252" spans="1:14" x14ac:dyDescent="0.25">
      <c r="A252" t="s">
        <v>24</v>
      </c>
      <c r="F252" t="s">
        <v>41</v>
      </c>
      <c r="K252" t="s">
        <v>494</v>
      </c>
      <c r="L252" s="81">
        <f>INDEX('feed pars'!P$6:P$43,MATCH(F252,'feed pars'!B$6:B$43,0))</f>
        <v>17</v>
      </c>
    </row>
    <row r="253" spans="1:14" x14ac:dyDescent="0.25">
      <c r="A253" t="s">
        <v>24</v>
      </c>
      <c r="F253" t="s">
        <v>42</v>
      </c>
      <c r="K253" t="s">
        <v>494</v>
      </c>
      <c r="L253" s="81">
        <f>INDEX('feed pars'!P$6:P$43,MATCH(F253,'feed pars'!B$6:B$43,0))</f>
        <v>14</v>
      </c>
    </row>
    <row r="254" spans="1:14" x14ac:dyDescent="0.25">
      <c r="A254" t="s">
        <v>24</v>
      </c>
      <c r="F254" t="s">
        <v>35</v>
      </c>
      <c r="K254" t="s">
        <v>494</v>
      </c>
      <c r="L254" s="81">
        <f>INDEX('feed pars'!P$6:P$43,MATCH(F254,'feed pars'!B$6:B$43,0))</f>
        <v>460</v>
      </c>
    </row>
    <row r="255" spans="1:14" x14ac:dyDescent="0.25">
      <c r="A255" t="s">
        <v>24</v>
      </c>
      <c r="F255" t="s">
        <v>43</v>
      </c>
      <c r="K255" t="s">
        <v>494</v>
      </c>
      <c r="L255" s="81">
        <f>INDEX('feed pars'!P$6:P$43,MATCH(F255,'feed pars'!B$6:B$43,0))</f>
        <v>380</v>
      </c>
    </row>
    <row r="256" spans="1:14" x14ac:dyDescent="0.25">
      <c r="A256" t="s">
        <v>24</v>
      </c>
      <c r="F256" t="s">
        <v>302</v>
      </c>
      <c r="K256" t="s">
        <v>494</v>
      </c>
      <c r="L256" s="81">
        <f>INDEX('feed pars'!P$6:P$43,MATCH(F256,'feed pars'!B$6:B$43,0))</f>
        <v>20</v>
      </c>
    </row>
    <row r="257" spans="1:15" x14ac:dyDescent="0.25">
      <c r="A257" t="s">
        <v>24</v>
      </c>
      <c r="F257" t="s">
        <v>310</v>
      </c>
      <c r="K257" t="s">
        <v>494</v>
      </c>
      <c r="L257" s="81">
        <f>INDEX('feed pars'!P$6:P$43,MATCH(F257,'feed pars'!B$6:B$43,0))</f>
        <v>1000</v>
      </c>
    </row>
    <row r="258" spans="1:15" x14ac:dyDescent="0.25">
      <c r="A258" t="s">
        <v>24</v>
      </c>
      <c r="F258" t="s">
        <v>313</v>
      </c>
      <c r="K258" t="s">
        <v>494</v>
      </c>
      <c r="L258" s="81">
        <f>INDEX('feed pars'!P$6:P$43,MATCH(F258,'feed pars'!B$6:B$43,0))</f>
        <v>180</v>
      </c>
    </row>
    <row r="259" spans="1:15" x14ac:dyDescent="0.25">
      <c r="A259" t="s">
        <v>24</v>
      </c>
      <c r="F259" t="s">
        <v>44</v>
      </c>
      <c r="K259" t="s">
        <v>494</v>
      </c>
      <c r="L259" s="81">
        <f>INDEX('feed pars'!P$6:P$43,MATCH(F259,'feed pars'!B$6:B$43,0))</f>
        <v>10</v>
      </c>
    </row>
    <row r="260" spans="1:15" x14ac:dyDescent="0.25">
      <c r="A260" t="s">
        <v>24</v>
      </c>
      <c r="F260" t="s">
        <v>36</v>
      </c>
      <c r="K260" t="s">
        <v>494</v>
      </c>
      <c r="L260" s="81">
        <f>INDEX('feed pars'!P$6:P$43,MATCH(F260,'feed pars'!B$6:B$43,0))</f>
        <v>46</v>
      </c>
    </row>
    <row r="261" spans="1:15" x14ac:dyDescent="0.25">
      <c r="A261" t="s">
        <v>24</v>
      </c>
      <c r="F261" t="s">
        <v>46</v>
      </c>
      <c r="K261" t="s">
        <v>494</v>
      </c>
      <c r="L261" s="81">
        <f>INDEX('feed pars'!P$6:P$43,MATCH(F261,'feed pars'!B$6:B$43,0))</f>
        <v>10</v>
      </c>
    </row>
    <row r="262" spans="1:15" x14ac:dyDescent="0.25">
      <c r="A262" t="s">
        <v>24</v>
      </c>
      <c r="F262" t="s">
        <v>47</v>
      </c>
      <c r="K262" t="s">
        <v>494</v>
      </c>
      <c r="L262" s="81">
        <f>INDEX('feed pars'!P$6:P$43,MATCH(F262,'feed pars'!B$6:B$43,0))</f>
        <v>97</v>
      </c>
    </row>
    <row r="263" spans="1:15" x14ac:dyDescent="0.25">
      <c r="A263" t="s">
        <v>24</v>
      </c>
      <c r="F263" t="s">
        <v>314</v>
      </c>
      <c r="K263" t="s">
        <v>494</v>
      </c>
      <c r="L263" s="81">
        <f>INDEX('feed pars'!P$6:P$43,MATCH(F263,'feed pars'!B$6:B$43,0))</f>
        <v>27</v>
      </c>
    </row>
    <row r="264" spans="1:15" x14ac:dyDescent="0.25">
      <c r="A264" t="s">
        <v>24</v>
      </c>
      <c r="F264" t="s">
        <v>48</v>
      </c>
      <c r="K264" t="s">
        <v>494</v>
      </c>
      <c r="L264" s="81">
        <f>INDEX('feed pars'!P$6:P$43,MATCH(F264,'feed pars'!B$6:B$43,0))</f>
        <v>45</v>
      </c>
    </row>
    <row r="265" spans="1:15" x14ac:dyDescent="0.25">
      <c r="A265" t="s">
        <v>24</v>
      </c>
      <c r="F265" t="s">
        <v>50</v>
      </c>
      <c r="K265" t="s">
        <v>494</v>
      </c>
      <c r="L265" s="81">
        <f>INDEX('feed pars'!P$6:P$43,MATCH(F265,'feed pars'!B$6:B$43,0))</f>
        <v>45</v>
      </c>
    </row>
    <row r="266" spans="1:15" x14ac:dyDescent="0.25">
      <c r="A266" t="s">
        <v>24</v>
      </c>
      <c r="F266" t="s">
        <v>309</v>
      </c>
      <c r="K266" t="s">
        <v>494</v>
      </c>
      <c r="L266" s="81">
        <f>INDEX('feed pars'!P$6:P$43,MATCH(F266,'feed pars'!B$6:B$43,0))</f>
        <v>80</v>
      </c>
    </row>
    <row r="267" spans="1:15" x14ac:dyDescent="0.25">
      <c r="A267" t="s">
        <v>24</v>
      </c>
      <c r="F267" t="s">
        <v>52</v>
      </c>
      <c r="K267" t="s">
        <v>494</v>
      </c>
      <c r="L267" s="81">
        <f>INDEX('feed pars'!P$6:P$43,MATCH(F267,'feed pars'!B$6:B$43,0))</f>
        <v>0</v>
      </c>
    </row>
    <row r="268" spans="1:15" x14ac:dyDescent="0.25">
      <c r="A268" t="s">
        <v>24</v>
      </c>
      <c r="F268" t="s">
        <v>53</v>
      </c>
      <c r="K268" t="s">
        <v>494</v>
      </c>
      <c r="L268" s="81">
        <f>INDEX('feed pars'!P$6:P$43,MATCH(F268,'feed pars'!B$6:B$43,0))</f>
        <v>32</v>
      </c>
    </row>
    <row r="269" spans="1:15" x14ac:dyDescent="0.25">
      <c r="A269" t="s">
        <v>24</v>
      </c>
      <c r="F269" t="s">
        <v>54</v>
      </c>
      <c r="K269" t="s">
        <v>494</v>
      </c>
      <c r="L269" s="81">
        <f>INDEX('feed pars'!P$6:P$43,MATCH(F269,'feed pars'!B$6:B$43,0))</f>
        <v>10</v>
      </c>
    </row>
    <row r="270" spans="1:15" x14ac:dyDescent="0.25">
      <c r="A270" t="s">
        <v>24</v>
      </c>
      <c r="F270" t="s">
        <v>56</v>
      </c>
      <c r="K270" t="s">
        <v>494</v>
      </c>
      <c r="L270" s="81">
        <f>INDEX('feed pars'!P$6:P$43,MATCH(F270,'feed pars'!B$6:B$43,0))</f>
        <v>33</v>
      </c>
    </row>
    <row r="271" spans="1:15" x14ac:dyDescent="0.25">
      <c r="A271" t="s">
        <v>24</v>
      </c>
      <c r="F271" t="s">
        <v>319</v>
      </c>
      <c r="K271" t="s">
        <v>494</v>
      </c>
      <c r="L271" s="3">
        <v>0</v>
      </c>
    </row>
    <row r="272" spans="1:15" x14ac:dyDescent="0.25">
      <c r="A272" s="7" t="s">
        <v>400</v>
      </c>
      <c r="B272" s="7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25">
      <c r="A273" t="s">
        <v>387</v>
      </c>
      <c r="F273" t="s">
        <v>2</v>
      </c>
      <c r="K273" t="s">
        <v>18</v>
      </c>
      <c r="L273" s="25">
        <f>INDEX('feed pars'!M$6:M$43,MATCH(F273,'feed pars'!B$6:B$43,0))</f>
        <v>9.1</v>
      </c>
      <c r="M273" t="s">
        <v>19</v>
      </c>
      <c r="N273" s="26" t="s">
        <v>496</v>
      </c>
    </row>
    <row r="274" spans="1:15" x14ac:dyDescent="0.25">
      <c r="A274" t="s">
        <v>387</v>
      </c>
      <c r="F274" t="s">
        <v>33</v>
      </c>
      <c r="K274" t="s">
        <v>18</v>
      </c>
      <c r="L274" s="31">
        <f>L214</f>
        <v>9.9416666666666664</v>
      </c>
    </row>
    <row r="275" spans="1:15" x14ac:dyDescent="0.25">
      <c r="L275" s="31"/>
    </row>
    <row r="276" spans="1:15" x14ac:dyDescent="0.25">
      <c r="A276" t="s">
        <v>387</v>
      </c>
      <c r="F276" t="s">
        <v>38</v>
      </c>
      <c r="K276" t="s">
        <v>18</v>
      </c>
      <c r="L276" s="31">
        <f>L217</f>
        <v>11.7</v>
      </c>
    </row>
    <row r="277" spans="1:15" x14ac:dyDescent="0.25">
      <c r="A277" t="s">
        <v>387</v>
      </c>
      <c r="F277" t="s">
        <v>37</v>
      </c>
      <c r="K277" t="s">
        <v>18</v>
      </c>
      <c r="L277" s="31">
        <f>L216</f>
        <v>13.2</v>
      </c>
    </row>
    <row r="278" spans="1:15" x14ac:dyDescent="0.25">
      <c r="A278" t="s">
        <v>387</v>
      </c>
      <c r="F278" t="s">
        <v>17</v>
      </c>
      <c r="K278" t="s">
        <v>18</v>
      </c>
      <c r="L278" s="31">
        <f>L215</f>
        <v>14.1</v>
      </c>
    </row>
    <row r="279" spans="1:15" x14ac:dyDescent="0.25">
      <c r="A279" t="s">
        <v>387</v>
      </c>
      <c r="F279" t="s">
        <v>49</v>
      </c>
      <c r="K279" t="s">
        <v>18</v>
      </c>
      <c r="L279" s="31">
        <f t="shared" ref="L279:L285" si="14">L216</f>
        <v>13.2</v>
      </c>
    </row>
    <row r="280" spans="1:15" x14ac:dyDescent="0.25">
      <c r="A280" t="s">
        <v>387</v>
      </c>
      <c r="F280" t="s">
        <v>48</v>
      </c>
      <c r="K280" t="s">
        <v>18</v>
      </c>
      <c r="L280" s="31">
        <f t="shared" si="14"/>
        <v>11.7</v>
      </c>
    </row>
    <row r="281" spans="1:15" x14ac:dyDescent="0.25">
      <c r="A281" t="s">
        <v>387</v>
      </c>
      <c r="F281" t="s">
        <v>310</v>
      </c>
      <c r="K281" t="s">
        <v>18</v>
      </c>
      <c r="L281" s="31">
        <f t="shared" si="14"/>
        <v>14</v>
      </c>
    </row>
    <row r="282" spans="1:15" x14ac:dyDescent="0.25">
      <c r="A282" t="s">
        <v>387</v>
      </c>
      <c r="F282" t="s">
        <v>53</v>
      </c>
      <c r="K282" t="s">
        <v>18</v>
      </c>
      <c r="L282" s="31">
        <f t="shared" si="14"/>
        <v>13.9</v>
      </c>
    </row>
    <row r="283" spans="1:15" x14ac:dyDescent="0.25">
      <c r="A283" t="s">
        <v>387</v>
      </c>
      <c r="F283" t="s">
        <v>52</v>
      </c>
      <c r="K283" t="s">
        <v>18</v>
      </c>
      <c r="L283" s="31">
        <f t="shared" si="14"/>
        <v>12.8</v>
      </c>
    </row>
    <row r="284" spans="1:15" x14ac:dyDescent="0.25">
      <c r="A284" t="s">
        <v>387</v>
      </c>
      <c r="F284" t="s">
        <v>56</v>
      </c>
      <c r="K284" t="s">
        <v>18</v>
      </c>
      <c r="L284" s="31">
        <f t="shared" si="14"/>
        <v>13.8</v>
      </c>
    </row>
    <row r="285" spans="1:15" x14ac:dyDescent="0.25">
      <c r="A285" t="s">
        <v>387</v>
      </c>
      <c r="F285" t="s">
        <v>314</v>
      </c>
      <c r="K285" t="s">
        <v>18</v>
      </c>
      <c r="L285" s="31">
        <f t="shared" si="14"/>
        <v>13.3</v>
      </c>
    </row>
    <row r="286" spans="1:15" x14ac:dyDescent="0.25">
      <c r="L286" s="3"/>
    </row>
    <row r="287" spans="1:15" x14ac:dyDescent="0.25">
      <c r="A287" s="8" t="s">
        <v>21</v>
      </c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 spans="1:15" x14ac:dyDescent="0.25">
      <c r="A288" s="27" t="s">
        <v>383</v>
      </c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 spans="1:14" x14ac:dyDescent="0.25">
      <c r="A289" t="s">
        <v>25</v>
      </c>
      <c r="E289" t="s">
        <v>296</v>
      </c>
      <c r="F289" t="s">
        <v>17</v>
      </c>
      <c r="K289" t="s">
        <v>18</v>
      </c>
      <c r="L289" s="25">
        <f>INDEX('feed pars'!AD$6:AD$43,MATCH(F289,'feed pars'!B$6:B$43,0))</f>
        <v>12.3</v>
      </c>
      <c r="M289" t="s">
        <v>297</v>
      </c>
      <c r="N289" t="s">
        <v>497</v>
      </c>
    </row>
    <row r="290" spans="1:14" x14ac:dyDescent="0.25">
      <c r="A290" t="s">
        <v>25</v>
      </c>
      <c r="E290" t="s">
        <v>296</v>
      </c>
      <c r="F290" t="s">
        <v>37</v>
      </c>
      <c r="K290" t="s">
        <v>18</v>
      </c>
      <c r="L290" s="25">
        <f>INDEX('feed pars'!AD$6:AD$43,MATCH(F290,'feed pars'!B$6:B$43,0))</f>
        <v>11.2</v>
      </c>
    </row>
    <row r="291" spans="1:14" x14ac:dyDescent="0.25">
      <c r="A291" t="s">
        <v>25</v>
      </c>
      <c r="E291" t="s">
        <v>296</v>
      </c>
      <c r="F291" t="s">
        <v>38</v>
      </c>
      <c r="K291" t="s">
        <v>18</v>
      </c>
      <c r="L291" s="25">
        <f>INDEX('feed pars'!AD$6:AD$43,MATCH(F291,'feed pars'!B$6:B$43,0))</f>
        <v>9.4</v>
      </c>
    </row>
    <row r="292" spans="1:14" x14ac:dyDescent="0.25">
      <c r="A292" t="s">
        <v>25</v>
      </c>
      <c r="E292" t="s">
        <v>296</v>
      </c>
      <c r="F292" t="s">
        <v>39</v>
      </c>
      <c r="K292" t="s">
        <v>18</v>
      </c>
      <c r="L292" s="25">
        <f>INDEX('feed pars'!AD$6:AD$43,MATCH(F292,'feed pars'!B$6:B$43,0))</f>
        <v>12</v>
      </c>
    </row>
    <row r="293" spans="1:14" x14ac:dyDescent="0.25">
      <c r="A293" t="s">
        <v>25</v>
      </c>
      <c r="E293" t="s">
        <v>296</v>
      </c>
      <c r="F293" t="s">
        <v>40</v>
      </c>
      <c r="K293" t="s">
        <v>18</v>
      </c>
      <c r="L293" s="25">
        <f>INDEX('feed pars'!AD$6:AD$43,MATCH(F293,'feed pars'!B$6:B$43,0))</f>
        <v>13.2</v>
      </c>
    </row>
    <row r="294" spans="1:14" x14ac:dyDescent="0.25">
      <c r="A294" t="s">
        <v>25</v>
      </c>
      <c r="E294" t="s">
        <v>296</v>
      </c>
      <c r="F294" t="s">
        <v>41</v>
      </c>
      <c r="K294" t="s">
        <v>18</v>
      </c>
      <c r="L294" s="25">
        <f>INDEX('feed pars'!AD$6:AD$43,MATCH(F294,'feed pars'!B$6:B$43,0))</f>
        <v>11.5</v>
      </c>
    </row>
    <row r="295" spans="1:14" x14ac:dyDescent="0.25">
      <c r="A295" t="s">
        <v>25</v>
      </c>
      <c r="E295" t="s">
        <v>296</v>
      </c>
      <c r="F295" t="s">
        <v>42</v>
      </c>
      <c r="K295" t="s">
        <v>18</v>
      </c>
      <c r="L295" s="25">
        <f>INDEX('feed pars'!AD$6:AD$43,MATCH(F295,'feed pars'!B$6:B$43,0))</f>
        <v>10.9</v>
      </c>
    </row>
    <row r="296" spans="1:14" x14ac:dyDescent="0.25">
      <c r="A296" t="s">
        <v>25</v>
      </c>
      <c r="E296" t="s">
        <v>296</v>
      </c>
      <c r="F296" t="s">
        <v>35</v>
      </c>
      <c r="K296" t="s">
        <v>18</v>
      </c>
      <c r="L296" s="25">
        <f>INDEX('feed pars'!AD$6:AD$43,MATCH(F296,'feed pars'!B$6:B$43,0))</f>
        <v>18.5</v>
      </c>
    </row>
    <row r="297" spans="1:14" x14ac:dyDescent="0.25">
      <c r="A297" t="s">
        <v>25</v>
      </c>
      <c r="E297" t="s">
        <v>296</v>
      </c>
      <c r="F297" t="s">
        <v>43</v>
      </c>
      <c r="K297" t="s">
        <v>18</v>
      </c>
      <c r="L297" s="25">
        <f>INDEX('feed pars'!AD$6:AD$43,MATCH(F297,'feed pars'!B$6:B$43,0))</f>
        <v>17.5</v>
      </c>
    </row>
    <row r="298" spans="1:14" x14ac:dyDescent="0.25">
      <c r="A298" t="s">
        <v>25</v>
      </c>
      <c r="E298" t="s">
        <v>296</v>
      </c>
      <c r="F298" t="s">
        <v>310</v>
      </c>
      <c r="K298" t="s">
        <v>18</v>
      </c>
      <c r="L298" s="25">
        <f>INDEX('feed pars'!AD$6:AD$43,MATCH(F298,'feed pars'!B$6:B$43,0))</f>
        <v>29.8</v>
      </c>
    </row>
    <row r="299" spans="1:14" x14ac:dyDescent="0.25">
      <c r="A299" t="s">
        <v>25</v>
      </c>
      <c r="E299" t="s">
        <v>296</v>
      </c>
      <c r="F299" t="s">
        <v>44</v>
      </c>
      <c r="K299" t="s">
        <v>18</v>
      </c>
      <c r="L299" s="25">
        <f>INDEX('feed pars'!AD$6:AD$43,MATCH(F299,'feed pars'!B$6:B$43,0))</f>
        <v>9.9</v>
      </c>
    </row>
    <row r="300" spans="1:14" x14ac:dyDescent="0.25">
      <c r="A300" t="s">
        <v>25</v>
      </c>
      <c r="E300" t="s">
        <v>296</v>
      </c>
      <c r="F300" t="s">
        <v>45</v>
      </c>
      <c r="K300" t="s">
        <v>18</v>
      </c>
      <c r="L300" s="25">
        <f>INDEX('feed pars'!AD$6:AD$43,MATCH(F300,'feed pars'!B$6:B$43,0))</f>
        <v>10.3</v>
      </c>
    </row>
    <row r="301" spans="1:14" x14ac:dyDescent="0.25">
      <c r="A301" t="s">
        <v>25</v>
      </c>
      <c r="E301" t="s">
        <v>296</v>
      </c>
      <c r="F301" t="s">
        <v>36</v>
      </c>
      <c r="K301" t="s">
        <v>18</v>
      </c>
      <c r="L301" s="25">
        <f>INDEX('feed pars'!AD$6:AD$43,MATCH(F301,'feed pars'!B$6:B$43,0))</f>
        <v>7.7</v>
      </c>
    </row>
    <row r="302" spans="1:14" x14ac:dyDescent="0.25">
      <c r="A302" t="s">
        <v>25</v>
      </c>
      <c r="E302" t="s">
        <v>296</v>
      </c>
      <c r="F302" t="s">
        <v>46</v>
      </c>
      <c r="K302" t="s">
        <v>18</v>
      </c>
      <c r="L302" s="25">
        <f>INDEX('feed pars'!AD$6:AD$43,MATCH(F302,'feed pars'!B$6:B$43,0))</f>
        <v>6.5</v>
      </c>
    </row>
    <row r="303" spans="1:14" x14ac:dyDescent="0.25">
      <c r="A303" t="s">
        <v>25</v>
      </c>
      <c r="E303" t="s">
        <v>296</v>
      </c>
      <c r="F303" t="s">
        <v>47</v>
      </c>
      <c r="K303" t="s">
        <v>18</v>
      </c>
      <c r="L303" s="25">
        <f>INDEX('feed pars'!AD$6:AD$43,MATCH(F303,'feed pars'!B$6:B$43,0))</f>
        <v>6.2</v>
      </c>
    </row>
    <row r="304" spans="1:14" x14ac:dyDescent="0.25">
      <c r="A304" t="s">
        <v>25</v>
      </c>
      <c r="E304" t="s">
        <v>296</v>
      </c>
      <c r="F304" t="s">
        <v>48</v>
      </c>
      <c r="K304" t="s">
        <v>18</v>
      </c>
      <c r="L304" s="25">
        <f>INDEX('feed pars'!AD$6:AD$43,MATCH(F304,'feed pars'!B$6:B$43,0))</f>
        <v>7.8</v>
      </c>
    </row>
    <row r="305" spans="1:15" x14ac:dyDescent="0.25">
      <c r="A305" t="s">
        <v>25</v>
      </c>
      <c r="E305" t="s">
        <v>296</v>
      </c>
      <c r="F305" t="s">
        <v>49</v>
      </c>
      <c r="K305" t="s">
        <v>18</v>
      </c>
      <c r="L305" s="25">
        <f>INDEX('feed pars'!AD$6:AD$43,MATCH(F305,'feed pars'!B$6:B$43,0))</f>
        <v>9.1999999999999993</v>
      </c>
    </row>
    <row r="306" spans="1:15" x14ac:dyDescent="0.25">
      <c r="A306" t="s">
        <v>25</v>
      </c>
      <c r="E306" t="s">
        <v>296</v>
      </c>
      <c r="F306" t="s">
        <v>50</v>
      </c>
      <c r="K306" t="s">
        <v>18</v>
      </c>
      <c r="L306" s="25">
        <f>INDEX('feed pars'!AD$6:AD$43,MATCH(F306,'feed pars'!B$6:B$43,0))</f>
        <v>8.6999999999999993</v>
      </c>
    </row>
    <row r="307" spans="1:15" x14ac:dyDescent="0.25">
      <c r="A307" t="s">
        <v>25</v>
      </c>
      <c r="E307" t="s">
        <v>296</v>
      </c>
      <c r="F307" t="s">
        <v>51</v>
      </c>
      <c r="K307" t="s">
        <v>18</v>
      </c>
      <c r="L307" s="25">
        <f>INDEX('feed pars'!AD$6:AD$43,MATCH(F307,'feed pars'!B$6:B$43,0))</f>
        <v>8.9</v>
      </c>
    </row>
    <row r="308" spans="1:15" x14ac:dyDescent="0.25">
      <c r="A308" t="s">
        <v>25</v>
      </c>
      <c r="E308" t="s">
        <v>296</v>
      </c>
      <c r="F308" t="s">
        <v>309</v>
      </c>
      <c r="K308" t="s">
        <v>18</v>
      </c>
      <c r="L308" s="25">
        <f>INDEX('feed pars'!AD$6:AD$43,MATCH(F308,'feed pars'!B$6:B$43,0))</f>
        <v>7.0888888888888877</v>
      </c>
    </row>
    <row r="309" spans="1:15" x14ac:dyDescent="0.25">
      <c r="A309" t="s">
        <v>25</v>
      </c>
      <c r="E309" t="s">
        <v>296</v>
      </c>
      <c r="F309" t="s">
        <v>52</v>
      </c>
      <c r="K309" t="s">
        <v>18</v>
      </c>
      <c r="L309" s="25">
        <f>INDEX('feed pars'!AD$6:AD$43,MATCH(F309,'feed pars'!B$6:B$43,0))</f>
        <v>9</v>
      </c>
    </row>
    <row r="310" spans="1:15" x14ac:dyDescent="0.25">
      <c r="A310" t="s">
        <v>25</v>
      </c>
      <c r="E310" t="s">
        <v>296</v>
      </c>
      <c r="F310" t="s">
        <v>53</v>
      </c>
      <c r="K310" t="s">
        <v>18</v>
      </c>
      <c r="L310" s="25">
        <f>INDEX('feed pars'!AD$6:AD$43,MATCH(F310,'feed pars'!B$6:B$43,0))</f>
        <v>8</v>
      </c>
    </row>
    <row r="311" spans="1:15" x14ac:dyDescent="0.25">
      <c r="A311" t="s">
        <v>25</v>
      </c>
      <c r="E311" t="s">
        <v>296</v>
      </c>
      <c r="F311" t="s">
        <v>54</v>
      </c>
      <c r="K311" t="s">
        <v>18</v>
      </c>
      <c r="L311" s="25">
        <f>INDEX('feed pars'!AD$6:AD$43,MATCH(F311,'feed pars'!B$6:B$43,0))</f>
        <v>12.2</v>
      </c>
    </row>
    <row r="312" spans="1:15" x14ac:dyDescent="0.25">
      <c r="A312" t="s">
        <v>25</v>
      </c>
      <c r="E312" t="s">
        <v>296</v>
      </c>
      <c r="F312" t="s">
        <v>55</v>
      </c>
      <c r="K312" t="s">
        <v>18</v>
      </c>
      <c r="L312" s="25">
        <f>INDEX('feed pars'!AD$6:AD$43,MATCH(F312,'feed pars'!B$6:B$43,0))</f>
        <v>12.2</v>
      </c>
    </row>
    <row r="313" spans="1:15" x14ac:dyDescent="0.25">
      <c r="A313" t="s">
        <v>25</v>
      </c>
      <c r="E313" t="s">
        <v>296</v>
      </c>
      <c r="F313" t="s">
        <v>56</v>
      </c>
      <c r="K313" t="s">
        <v>18</v>
      </c>
      <c r="L313" s="25">
        <f>INDEX('feed pars'!AD$6:AD$43,MATCH(F313,'feed pars'!B$6:B$43,0))</f>
        <v>11.3</v>
      </c>
    </row>
    <row r="314" spans="1:15" x14ac:dyDescent="0.25">
      <c r="A314" t="s">
        <v>25</v>
      </c>
      <c r="E314" t="s">
        <v>296</v>
      </c>
      <c r="F314" t="s">
        <v>57</v>
      </c>
      <c r="K314" t="s">
        <v>18</v>
      </c>
      <c r="L314" s="25">
        <f>INDEX('feed pars'!AD$6:AD$43,MATCH(F314,'feed pars'!B$6:B$43,0))</f>
        <v>10.8</v>
      </c>
    </row>
    <row r="315" spans="1:15" x14ac:dyDescent="0.25">
      <c r="A315" s="27" t="s">
        <v>384</v>
      </c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 spans="1:15" x14ac:dyDescent="0.25">
      <c r="A316" t="s">
        <v>25</v>
      </c>
      <c r="F316" t="s">
        <v>17</v>
      </c>
      <c r="K316" t="s">
        <v>18</v>
      </c>
      <c r="L316" s="25">
        <f>INDEX('feed pars'!AC$6:AC$43,MATCH(F316,'feed pars'!B$6:B$43,0))</f>
        <v>12.1</v>
      </c>
      <c r="M316" t="s">
        <v>22</v>
      </c>
      <c r="N316" t="s">
        <v>498</v>
      </c>
    </row>
    <row r="317" spans="1:15" x14ac:dyDescent="0.25">
      <c r="A317" t="s">
        <v>25</v>
      </c>
      <c r="F317" t="s">
        <v>37</v>
      </c>
      <c r="K317" t="s">
        <v>18</v>
      </c>
      <c r="L317" s="25">
        <f>INDEX('feed pars'!AC$6:AC$43,MATCH(F317,'feed pars'!B$6:B$43,0))</f>
        <v>11</v>
      </c>
    </row>
    <row r="318" spans="1:15" x14ac:dyDescent="0.25">
      <c r="A318" t="s">
        <v>25</v>
      </c>
      <c r="F318" t="s">
        <v>38</v>
      </c>
      <c r="K318" t="s">
        <v>18</v>
      </c>
      <c r="L318" s="25">
        <f>INDEX('feed pars'!AC$6:AC$43,MATCH(F318,'feed pars'!B$6:B$43,0))</f>
        <v>9</v>
      </c>
    </row>
    <row r="319" spans="1:15" x14ac:dyDescent="0.25">
      <c r="A319" t="s">
        <v>25</v>
      </c>
      <c r="F319" t="s">
        <v>39</v>
      </c>
      <c r="K319" t="s">
        <v>18</v>
      </c>
      <c r="L319" s="25">
        <f>INDEX('feed pars'!AC$6:AC$43,MATCH(F319,'feed pars'!B$6:B$43,0))</f>
        <v>11.9</v>
      </c>
    </row>
    <row r="320" spans="1:15" x14ac:dyDescent="0.25">
      <c r="A320" t="s">
        <v>25</v>
      </c>
      <c r="F320" t="s">
        <v>40</v>
      </c>
      <c r="K320" t="s">
        <v>18</v>
      </c>
      <c r="L320" s="25">
        <f>INDEX('feed pars'!AC$6:AC$43,MATCH(F320,'feed pars'!B$6:B$43,0))</f>
        <v>12.8</v>
      </c>
    </row>
    <row r="321" spans="1:12" x14ac:dyDescent="0.25">
      <c r="A321" t="s">
        <v>25</v>
      </c>
      <c r="F321" t="s">
        <v>41</v>
      </c>
      <c r="K321" t="s">
        <v>18</v>
      </c>
      <c r="L321" s="25">
        <f>INDEX('feed pars'!AC$6:AC$43,MATCH(F321,'feed pars'!B$6:B$43,0))</f>
        <v>11.2</v>
      </c>
    </row>
    <row r="322" spans="1:12" x14ac:dyDescent="0.25">
      <c r="A322" t="s">
        <v>25</v>
      </c>
      <c r="F322" t="s">
        <v>42</v>
      </c>
      <c r="K322" t="s">
        <v>18</v>
      </c>
      <c r="L322" s="25">
        <f>INDEX('feed pars'!AC$6:AC$43,MATCH(F322,'feed pars'!B$6:B$43,0))</f>
        <v>10.7</v>
      </c>
    </row>
    <row r="323" spans="1:12" x14ac:dyDescent="0.25">
      <c r="A323" t="s">
        <v>25</v>
      </c>
      <c r="F323" t="s">
        <v>35</v>
      </c>
      <c r="K323" t="s">
        <v>18</v>
      </c>
      <c r="L323" s="25">
        <f>INDEX('feed pars'!AC$6:AC$43,MATCH(F323,'feed pars'!B$6:B$43,0))</f>
        <v>18</v>
      </c>
    </row>
    <row r="324" spans="1:12" x14ac:dyDescent="0.25">
      <c r="A324" t="s">
        <v>25</v>
      </c>
      <c r="F324" t="s">
        <v>43</v>
      </c>
      <c r="K324" t="s">
        <v>18</v>
      </c>
      <c r="L324" s="25">
        <f>INDEX('feed pars'!AC$6:AC$43,MATCH(F324,'feed pars'!B$6:B$43,0))</f>
        <v>17.3</v>
      </c>
    </row>
    <row r="325" spans="1:12" x14ac:dyDescent="0.25">
      <c r="A325" t="s">
        <v>25</v>
      </c>
      <c r="F325" t="s">
        <v>310</v>
      </c>
      <c r="K325" t="s">
        <v>18</v>
      </c>
      <c r="L325" s="25">
        <f>INDEX('feed pars'!AC$6:AC$43,MATCH(F325,'feed pars'!B$6:B$43,0))</f>
        <v>29.8</v>
      </c>
    </row>
    <row r="326" spans="1:12" x14ac:dyDescent="0.25">
      <c r="A326" t="s">
        <v>25</v>
      </c>
      <c r="F326" t="s">
        <v>44</v>
      </c>
      <c r="K326" t="s">
        <v>18</v>
      </c>
      <c r="L326" s="25">
        <f>INDEX('feed pars'!AC$6:AC$43,MATCH(F326,'feed pars'!B$6:B$43,0))</f>
        <v>9.3000000000000007</v>
      </c>
    </row>
    <row r="327" spans="1:12" x14ac:dyDescent="0.25">
      <c r="A327" t="s">
        <v>25</v>
      </c>
      <c r="F327" t="s">
        <v>45</v>
      </c>
      <c r="K327" t="s">
        <v>18</v>
      </c>
      <c r="L327" s="25">
        <f>INDEX('feed pars'!AC$6:AC$43,MATCH(F327,'feed pars'!B$6:B$43,0))</f>
        <v>9.6999999999999993</v>
      </c>
    </row>
    <row r="328" spans="1:12" x14ac:dyDescent="0.25">
      <c r="A328" t="s">
        <v>25</v>
      </c>
      <c r="F328" t="s">
        <v>36</v>
      </c>
      <c r="K328" t="s">
        <v>18</v>
      </c>
      <c r="L328" s="25">
        <f>INDEX('feed pars'!AC$6:AC$43,MATCH(F328,'feed pars'!B$6:B$43,0))</f>
        <v>7.1</v>
      </c>
    </row>
    <row r="329" spans="1:12" x14ac:dyDescent="0.25">
      <c r="A329" t="s">
        <v>25</v>
      </c>
      <c r="F329" t="s">
        <v>46</v>
      </c>
      <c r="K329" t="s">
        <v>18</v>
      </c>
      <c r="L329" s="25">
        <f>INDEX('feed pars'!AC$6:AC$43,MATCH(F329,'feed pars'!B$6:B$43,0))</f>
        <v>5.9</v>
      </c>
    </row>
    <row r="330" spans="1:12" x14ac:dyDescent="0.25">
      <c r="A330" t="s">
        <v>25</v>
      </c>
      <c r="F330" t="s">
        <v>47</v>
      </c>
      <c r="K330" t="s">
        <v>18</v>
      </c>
      <c r="L330" s="25">
        <f>INDEX('feed pars'!AC$6:AC$43,MATCH(F330,'feed pars'!B$6:B$43,0))</f>
        <v>5.4</v>
      </c>
    </row>
    <row r="331" spans="1:12" x14ac:dyDescent="0.25">
      <c r="A331" t="s">
        <v>25</v>
      </c>
      <c r="F331" t="s">
        <v>48</v>
      </c>
      <c r="K331" t="s">
        <v>18</v>
      </c>
      <c r="L331" s="25">
        <f>INDEX('feed pars'!AC$6:AC$43,MATCH(F331,'feed pars'!B$6:B$43,0))</f>
        <v>7.2</v>
      </c>
    </row>
    <row r="332" spans="1:12" x14ac:dyDescent="0.25">
      <c r="A332" t="s">
        <v>25</v>
      </c>
      <c r="F332" t="s">
        <v>49</v>
      </c>
      <c r="K332" t="s">
        <v>18</v>
      </c>
      <c r="L332" s="25">
        <f>INDEX('feed pars'!AC$6:AC$43,MATCH(F332,'feed pars'!B$6:B$43,0))</f>
        <v>8.6999999999999993</v>
      </c>
    </row>
    <row r="333" spans="1:12" x14ac:dyDescent="0.25">
      <c r="A333" t="s">
        <v>25</v>
      </c>
      <c r="F333" t="s">
        <v>50</v>
      </c>
      <c r="K333" t="s">
        <v>18</v>
      </c>
      <c r="L333" s="25">
        <f>INDEX('feed pars'!AC$6:AC$43,MATCH(F333,'feed pars'!B$6:B$43,0))</f>
        <v>8.1</v>
      </c>
    </row>
    <row r="334" spans="1:12" x14ac:dyDescent="0.25">
      <c r="A334" t="s">
        <v>25</v>
      </c>
      <c r="F334" t="s">
        <v>51</v>
      </c>
      <c r="K334" t="s">
        <v>18</v>
      </c>
      <c r="L334" s="25">
        <f>INDEX('feed pars'!AC$6:AC$43,MATCH(F334,'feed pars'!B$6:B$43,0))</f>
        <v>8.1999999999999993</v>
      </c>
    </row>
    <row r="335" spans="1:12" x14ac:dyDescent="0.25">
      <c r="A335" t="s">
        <v>25</v>
      </c>
      <c r="F335" t="s">
        <v>309</v>
      </c>
      <c r="K335" t="s">
        <v>18</v>
      </c>
      <c r="L335" s="25">
        <f>INDEX('feed pars'!AC$6:AC$43,MATCH(F335,'feed pars'!B$6:B$43,0))</f>
        <v>6.6</v>
      </c>
    </row>
    <row r="336" spans="1:12" x14ac:dyDescent="0.25">
      <c r="A336" t="s">
        <v>25</v>
      </c>
      <c r="F336" t="s">
        <v>52</v>
      </c>
      <c r="K336" t="s">
        <v>18</v>
      </c>
      <c r="L336" s="25">
        <f>INDEX('feed pars'!AC$6:AC$43,MATCH(F336,'feed pars'!B$6:B$43,0))</f>
        <v>8.6999999999999993</v>
      </c>
    </row>
    <row r="337" spans="1:12" x14ac:dyDescent="0.25">
      <c r="A337" t="s">
        <v>25</v>
      </c>
      <c r="F337" t="s">
        <v>53</v>
      </c>
      <c r="K337" t="s">
        <v>18</v>
      </c>
      <c r="L337" s="25">
        <f>INDEX('feed pars'!AC$6:AC$43,MATCH(F337,'feed pars'!B$6:B$43,0))</f>
        <v>6.9</v>
      </c>
    </row>
    <row r="338" spans="1:12" x14ac:dyDescent="0.25">
      <c r="A338" t="s">
        <v>25</v>
      </c>
      <c r="F338" t="s">
        <v>54</v>
      </c>
      <c r="K338" t="s">
        <v>18</v>
      </c>
      <c r="L338" s="25">
        <f>INDEX('feed pars'!AC$6:AC$43,MATCH(F338,'feed pars'!B$6:B$43,0))</f>
        <v>12.4</v>
      </c>
    </row>
    <row r="339" spans="1:12" x14ac:dyDescent="0.25">
      <c r="A339" t="s">
        <v>25</v>
      </c>
      <c r="F339" t="s">
        <v>55</v>
      </c>
      <c r="K339" t="s">
        <v>18</v>
      </c>
      <c r="L339" s="25">
        <f>INDEX('feed pars'!AC$6:AC$43,MATCH(F339,'feed pars'!B$6:B$43,0))</f>
        <v>12.4</v>
      </c>
    </row>
    <row r="340" spans="1:12" x14ac:dyDescent="0.25">
      <c r="A340" t="s">
        <v>25</v>
      </c>
      <c r="F340" t="s">
        <v>56</v>
      </c>
      <c r="K340" t="s">
        <v>18</v>
      </c>
      <c r="L340" s="25">
        <f>INDEX('feed pars'!AC$6:AC$43,MATCH(F340,'feed pars'!B$6:B$43,0))</f>
        <v>11.1</v>
      </c>
    </row>
    <row r="341" spans="1:12" x14ac:dyDescent="0.25">
      <c r="A341" t="s">
        <v>25</v>
      </c>
      <c r="F341" t="s">
        <v>57</v>
      </c>
      <c r="K341" t="s">
        <v>18</v>
      </c>
      <c r="L341" s="25">
        <f>INDEX('feed pars'!AC$6:AC$43,MATCH(F341,'feed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Q48"/>
  <sheetViews>
    <sheetView tabSelected="1"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C35" sqref="C35"/>
    </sheetView>
  </sheetViews>
  <sheetFormatPr defaultRowHeight="15" x14ac:dyDescent="0.25"/>
  <cols>
    <col min="2" max="2" width="27" bestFit="1" customWidth="1"/>
    <col min="3" max="9" width="7.5703125" customWidth="1"/>
    <col min="25" max="25" width="7.5703125" customWidth="1"/>
  </cols>
  <sheetData>
    <row r="1" spans="2:43" x14ac:dyDescent="0.25">
      <c r="B1" t="s">
        <v>485</v>
      </c>
      <c r="C1" s="11" t="s">
        <v>118</v>
      </c>
      <c r="D1" s="11"/>
      <c r="E1" s="11"/>
      <c r="F1" s="11"/>
      <c r="G1" s="11"/>
      <c r="H1" s="11"/>
      <c r="I1" s="11"/>
      <c r="Y1" s="11"/>
    </row>
    <row r="3" spans="2:43" x14ac:dyDescent="0.25">
      <c r="C3" s="61" t="s">
        <v>303</v>
      </c>
      <c r="D3" s="62"/>
      <c r="E3" s="62"/>
      <c r="F3" s="62"/>
      <c r="G3" s="62"/>
      <c r="J3" s="61" t="s">
        <v>483</v>
      </c>
      <c r="K3" s="62"/>
      <c r="L3" s="62"/>
      <c r="M3" s="62"/>
      <c r="N3" s="62"/>
      <c r="O3" s="62"/>
      <c r="P3" s="62"/>
      <c r="Q3" s="62"/>
      <c r="R3" s="62"/>
      <c r="S3" s="88" t="s">
        <v>503</v>
      </c>
      <c r="T3" s="62">
        <f>1/6.25</f>
        <v>0.16</v>
      </c>
      <c r="U3" s="62"/>
      <c r="V3" s="62"/>
      <c r="Y3" s="61" t="s">
        <v>25</v>
      </c>
      <c r="Z3" s="62"/>
      <c r="AA3" s="62"/>
      <c r="AB3" s="62"/>
      <c r="AC3" s="62"/>
      <c r="AD3" s="62"/>
      <c r="AE3" s="62"/>
      <c r="AF3" s="62"/>
      <c r="AG3" s="62"/>
      <c r="AH3" s="88" t="s">
        <v>503</v>
      </c>
      <c r="AI3" s="62">
        <f>1/6.25</f>
        <v>0.16</v>
      </c>
      <c r="AJ3" s="62"/>
      <c r="AK3" s="62"/>
      <c r="AO3" s="61" t="s">
        <v>381</v>
      </c>
      <c r="AP3" s="62"/>
    </row>
    <row r="4" spans="2:43" x14ac:dyDescent="0.25">
      <c r="C4" s="60"/>
      <c r="D4" s="2"/>
      <c r="E4" s="2"/>
      <c r="F4" s="2"/>
      <c r="G4" s="2"/>
      <c r="J4" s="67" t="s">
        <v>294</v>
      </c>
      <c r="K4" s="68">
        <v>1</v>
      </c>
      <c r="L4" s="68" t="s">
        <v>589</v>
      </c>
      <c r="M4" s="68">
        <v>2</v>
      </c>
      <c r="N4" s="68">
        <v>6</v>
      </c>
      <c r="O4" s="68">
        <v>7</v>
      </c>
      <c r="P4" s="68">
        <v>8</v>
      </c>
      <c r="Q4" s="68">
        <v>9</v>
      </c>
      <c r="R4" s="68">
        <v>11</v>
      </c>
      <c r="S4" s="68">
        <v>10</v>
      </c>
      <c r="T4" s="68"/>
      <c r="U4" s="68">
        <v>26</v>
      </c>
      <c r="V4" s="68">
        <v>28</v>
      </c>
      <c r="W4" s="4"/>
      <c r="X4" s="4"/>
      <c r="Y4" s="67" t="s">
        <v>294</v>
      </c>
      <c r="Z4" s="68">
        <v>1</v>
      </c>
      <c r="AA4" s="68" t="s">
        <v>589</v>
      </c>
      <c r="AB4" s="68" t="s">
        <v>588</v>
      </c>
      <c r="AC4" s="68">
        <v>2</v>
      </c>
      <c r="AD4" s="68">
        <v>3</v>
      </c>
      <c r="AE4" s="68">
        <v>5</v>
      </c>
      <c r="AF4" s="68">
        <v>6</v>
      </c>
      <c r="AG4" s="68"/>
      <c r="AH4" s="68">
        <v>12</v>
      </c>
      <c r="AI4" s="68"/>
      <c r="AJ4" s="68">
        <v>29</v>
      </c>
      <c r="AK4" s="68">
        <v>31</v>
      </c>
      <c r="AL4" s="4"/>
      <c r="AM4" s="4"/>
      <c r="AN4" s="4"/>
      <c r="AO4" s="67" t="s">
        <v>294</v>
      </c>
      <c r="AP4" s="68">
        <v>1</v>
      </c>
    </row>
    <row r="5" spans="2:43" x14ac:dyDescent="0.25">
      <c r="B5" s="4" t="s">
        <v>58</v>
      </c>
      <c r="C5" s="70" t="s">
        <v>59</v>
      </c>
      <c r="D5" s="72" t="s">
        <v>401</v>
      </c>
      <c r="E5" s="71" t="s">
        <v>500</v>
      </c>
      <c r="F5" s="71" t="s">
        <v>501</v>
      </c>
      <c r="G5" s="72" t="s">
        <v>502</v>
      </c>
      <c r="H5" s="74" t="s">
        <v>486</v>
      </c>
      <c r="J5" s="67" t="s">
        <v>295</v>
      </c>
      <c r="K5" s="70" t="s">
        <v>59</v>
      </c>
      <c r="L5" s="71" t="s">
        <v>489</v>
      </c>
      <c r="M5" s="71" t="s">
        <v>488</v>
      </c>
      <c r="N5" s="71" t="s">
        <v>515</v>
      </c>
      <c r="O5" s="70" t="s">
        <v>404</v>
      </c>
      <c r="P5" s="71" t="s">
        <v>405</v>
      </c>
      <c r="Q5" s="71" t="s">
        <v>406</v>
      </c>
      <c r="R5" s="71" t="s">
        <v>282</v>
      </c>
      <c r="S5" s="72" t="s">
        <v>481</v>
      </c>
      <c r="T5" s="71" t="s">
        <v>500</v>
      </c>
      <c r="U5" s="71" t="s">
        <v>501</v>
      </c>
      <c r="V5" s="72" t="s">
        <v>502</v>
      </c>
      <c r="W5" s="114" t="s">
        <v>486</v>
      </c>
      <c r="Y5" s="67" t="s">
        <v>295</v>
      </c>
      <c r="Z5" s="70" t="s">
        <v>59</v>
      </c>
      <c r="AA5" s="71" t="s">
        <v>489</v>
      </c>
      <c r="AB5" s="106" t="s">
        <v>515</v>
      </c>
      <c r="AC5" s="71" t="s">
        <v>121</v>
      </c>
      <c r="AD5" s="71" t="s">
        <v>120</v>
      </c>
      <c r="AE5" s="70" t="s">
        <v>404</v>
      </c>
      <c r="AF5" s="71" t="s">
        <v>405</v>
      </c>
      <c r="AG5" s="71" t="s">
        <v>487</v>
      </c>
      <c r="AH5" s="72" t="s">
        <v>481</v>
      </c>
      <c r="AI5" s="71" t="s">
        <v>500</v>
      </c>
      <c r="AJ5" s="71" t="s">
        <v>501</v>
      </c>
      <c r="AK5" s="72" t="s">
        <v>502</v>
      </c>
      <c r="AL5" s="114" t="s">
        <v>486</v>
      </c>
      <c r="AM5" s="105" t="s">
        <v>582</v>
      </c>
      <c r="AN5" s="4"/>
      <c r="AO5" s="67" t="s">
        <v>295</v>
      </c>
      <c r="AP5" s="69" t="s">
        <v>59</v>
      </c>
      <c r="AQ5" s="74" t="s">
        <v>486</v>
      </c>
    </row>
    <row r="6" spans="2:43" x14ac:dyDescent="0.25">
      <c r="B6" t="s">
        <v>306</v>
      </c>
      <c r="C6" s="36">
        <f t="shared" ref="C6:C11" si="0">AVERAGE(Z6,K6)</f>
        <v>100</v>
      </c>
      <c r="D6" s="63">
        <f t="shared" ref="D6:D11" si="1">L6</f>
        <v>17.316948400000001</v>
      </c>
      <c r="E6" s="37">
        <f>AVERAGE(T6,AI6)</f>
        <v>2.4239999999999999</v>
      </c>
      <c r="F6" s="90">
        <f>AVERAGE(U6,AJ6)</f>
        <v>0.27999999999999997</v>
      </c>
      <c r="G6" s="91">
        <f>AVERAGE(V6,AK6)</f>
        <v>2.4250000000000003</v>
      </c>
      <c r="J6" s="67"/>
      <c r="K6" s="36">
        <v>100</v>
      </c>
      <c r="L6" s="76">
        <f t="shared" ref="L6:L11" si="2">( 5.7*O6+9.4*P6+4.1*(Q6+R6) ) * 0.004184</f>
        <v>17.316948400000001</v>
      </c>
      <c r="M6" s="37">
        <f>AVERAGE('ruminants, roughage'!D21:D22)</f>
        <v>11.3</v>
      </c>
      <c r="N6" s="37">
        <f>AVERAGE('ruminants, roughage'!H21:H22)</f>
        <v>13.35</v>
      </c>
      <c r="O6" s="64">
        <f>AVERAGE('ruminants, roughage'!I21:I22)</f>
        <v>151.5</v>
      </c>
      <c r="P6" s="43">
        <v>20</v>
      </c>
      <c r="Q6" s="38"/>
      <c r="R6" s="40">
        <f>1000-SUM(O6:Q6,S6)</f>
        <v>753</v>
      </c>
      <c r="S6" s="41">
        <f>AVERAGE('ruminants, roughage'!K21:K22)</f>
        <v>75.5</v>
      </c>
      <c r="T6" s="37">
        <f>O6*T$3/1000*100</f>
        <v>2.4239999999999999</v>
      </c>
      <c r="U6" s="90">
        <f>AVERAGE('ruminants, roughage'!X21:X22)/1000*100</f>
        <v>0.27999999999999997</v>
      </c>
      <c r="V6" s="91">
        <f>AVERAGE('ruminants, roughage'!Z21:Z22)/1000*100</f>
        <v>2.4250000000000003</v>
      </c>
      <c r="Y6" s="67"/>
      <c r="Z6" s="36"/>
      <c r="AA6" s="53"/>
      <c r="AB6" s="53"/>
      <c r="AC6" s="53"/>
      <c r="AD6" s="53"/>
      <c r="AE6" s="36"/>
      <c r="AF6" s="53"/>
      <c r="AG6" s="53"/>
      <c r="AH6" s="54"/>
      <c r="AI6" s="38"/>
      <c r="AJ6" s="38"/>
      <c r="AK6" s="41"/>
      <c r="AL6" s="115"/>
      <c r="AN6" t="s">
        <v>484</v>
      </c>
      <c r="AO6" s="67"/>
      <c r="AP6" s="58"/>
    </row>
    <row r="7" spans="2:43" x14ac:dyDescent="0.25">
      <c r="B7" t="s">
        <v>307</v>
      </c>
      <c r="C7" s="36">
        <f t="shared" si="0"/>
        <v>100</v>
      </c>
      <c r="D7" s="63">
        <f t="shared" si="1"/>
        <v>17.150216</v>
      </c>
      <c r="E7" s="37">
        <f t="shared" ref="E7:E14" si="3">AVERAGE(T7,AI7)</f>
        <v>2.1280000000000001</v>
      </c>
      <c r="F7" s="90">
        <f t="shared" ref="F7:F14" si="4">AVERAGE(U7,AJ7)</f>
        <v>0.27</v>
      </c>
      <c r="G7" s="91">
        <f t="shared" ref="G7:G14" si="5">AVERAGE(V7,AK7)</f>
        <v>2.34</v>
      </c>
      <c r="J7" s="67"/>
      <c r="K7" s="36">
        <v>100</v>
      </c>
      <c r="L7" s="76">
        <f t="shared" si="2"/>
        <v>17.150216</v>
      </c>
      <c r="M7" s="37">
        <f>AVERAGE('ruminants, roughage'!D25:D25)</f>
        <v>10.1</v>
      </c>
      <c r="N7" s="37">
        <f>AVERAGE('ruminants, roughage'!H22:H23)</f>
        <v>11.899999999999999</v>
      </c>
      <c r="O7" s="64">
        <f>AVERAGE('ruminants, roughage'!I25:I25)</f>
        <v>133</v>
      </c>
      <c r="P7" s="43">
        <v>20</v>
      </c>
      <c r="Q7" s="38"/>
      <c r="R7" s="40">
        <f t="shared" ref="R7:R11" si="6">1000-SUM(O7:Q7,S7)</f>
        <v>769</v>
      </c>
      <c r="S7" s="41">
        <f>AVERAGE('ruminants, roughage'!K25:K25)</f>
        <v>78</v>
      </c>
      <c r="T7" s="37">
        <f t="shared" ref="T7:T42" si="7">O7*T$3/1000*100</f>
        <v>2.1280000000000001</v>
      </c>
      <c r="U7" s="90">
        <f>AVERAGE('ruminants, roughage'!X25:X25)/1000*100</f>
        <v>0.27</v>
      </c>
      <c r="V7" s="91">
        <f>AVERAGE('ruminants, roughage'!Z25:Z25)/1000*100</f>
        <v>2.34</v>
      </c>
      <c r="W7" s="115"/>
      <c r="Y7" s="67"/>
      <c r="Z7" s="36"/>
      <c r="AA7" s="53"/>
      <c r="AB7" s="53"/>
      <c r="AC7" s="53"/>
      <c r="AD7" s="53"/>
      <c r="AE7" s="36"/>
      <c r="AF7" s="53"/>
      <c r="AG7" s="53"/>
      <c r="AH7" s="54"/>
      <c r="AI7" s="38"/>
      <c r="AJ7" s="38"/>
      <c r="AK7" s="41"/>
      <c r="AL7" s="115"/>
      <c r="AN7" t="s">
        <v>484</v>
      </c>
      <c r="AO7" s="67"/>
      <c r="AP7" s="58"/>
    </row>
    <row r="8" spans="2:43" x14ac:dyDescent="0.25">
      <c r="B8" t="s">
        <v>308</v>
      </c>
      <c r="C8" s="36">
        <f t="shared" si="0"/>
        <v>100</v>
      </c>
      <c r="D8" s="63">
        <f t="shared" si="1"/>
        <v>16.789764399999999</v>
      </c>
      <c r="E8" s="37">
        <f t="shared" si="3"/>
        <v>1.5439999999999998</v>
      </c>
      <c r="F8" s="90">
        <f t="shared" si="4"/>
        <v>0.21000000000000002</v>
      </c>
      <c r="G8" s="91">
        <f t="shared" si="5"/>
        <v>2.35</v>
      </c>
      <c r="J8" s="67"/>
      <c r="K8" s="36">
        <v>100</v>
      </c>
      <c r="L8" s="76">
        <f t="shared" si="2"/>
        <v>16.789764399999999</v>
      </c>
      <c r="M8" s="42">
        <f>(8.3+8.7)/2</f>
        <v>8.5</v>
      </c>
      <c r="N8" s="42">
        <f>AVERAGE('ruminants, roughage'!H23:H24)</f>
        <v>10.75</v>
      </c>
      <c r="O8" s="85">
        <f>(91+102)/2</f>
        <v>96.5</v>
      </c>
      <c r="P8" s="43">
        <f>(22+23)/2</f>
        <v>22.5</v>
      </c>
      <c r="Q8" s="39"/>
      <c r="R8" s="40">
        <f t="shared" si="6"/>
        <v>793</v>
      </c>
      <c r="S8" s="44">
        <f>(83+93)/2</f>
        <v>88</v>
      </c>
      <c r="T8" s="37">
        <f t="shared" si="7"/>
        <v>1.5439999999999998</v>
      </c>
      <c r="U8" s="90">
        <f>(2+2.2)/2/1000*100</f>
        <v>0.21000000000000002</v>
      </c>
      <c r="V8" s="91">
        <f>(20.3+26.7)/2/1000*100</f>
        <v>2.35</v>
      </c>
      <c r="W8" s="115" t="s">
        <v>482</v>
      </c>
      <c r="X8" t="s">
        <v>484</v>
      </c>
      <c r="Y8" s="67"/>
      <c r="Z8" s="36"/>
      <c r="AA8" s="53"/>
      <c r="AB8" s="53"/>
      <c r="AC8" s="53"/>
      <c r="AD8" s="53"/>
      <c r="AE8" s="36"/>
      <c r="AF8" s="53"/>
      <c r="AG8" s="53"/>
      <c r="AH8" s="54"/>
      <c r="AI8" s="39"/>
      <c r="AJ8" s="39"/>
      <c r="AK8" s="44"/>
      <c r="AL8" s="115"/>
      <c r="AN8" t="s">
        <v>484</v>
      </c>
      <c r="AO8" s="67"/>
      <c r="AP8" s="58"/>
    </row>
    <row r="9" spans="2:43" x14ac:dyDescent="0.25">
      <c r="B9" t="s">
        <v>2</v>
      </c>
      <c r="C9" s="36">
        <f t="shared" si="0"/>
        <v>100</v>
      </c>
      <c r="D9" s="63">
        <f t="shared" si="1"/>
        <v>17.160257599999998</v>
      </c>
      <c r="E9" s="37">
        <f t="shared" si="3"/>
        <v>1.496</v>
      </c>
      <c r="F9" s="90">
        <f t="shared" si="4"/>
        <v>0.21000000000000002</v>
      </c>
      <c r="G9" s="91">
        <f t="shared" si="5"/>
        <v>1.81</v>
      </c>
      <c r="J9" s="67"/>
      <c r="K9" s="36">
        <v>100</v>
      </c>
      <c r="L9" s="76">
        <f t="shared" si="2"/>
        <v>17.160257599999998</v>
      </c>
      <c r="M9" s="37">
        <f>AVERAGE('ruminants, roughage'!D33:D33)</f>
        <v>9.1</v>
      </c>
      <c r="N9" s="37">
        <f>AVERAGE('ruminants, roughage'!H24:H25)</f>
        <v>11.8</v>
      </c>
      <c r="O9" s="64">
        <f>AVERAGE('ruminants, roughage'!I33:I33)</f>
        <v>93.5</v>
      </c>
      <c r="P9" s="43">
        <v>20</v>
      </c>
      <c r="Q9" s="38"/>
      <c r="R9" s="40">
        <f t="shared" si="6"/>
        <v>824.5</v>
      </c>
      <c r="S9" s="41">
        <f>AVERAGE('ruminants, roughage'!K33:K33)</f>
        <v>62</v>
      </c>
      <c r="T9" s="37">
        <f t="shared" si="7"/>
        <v>1.496</v>
      </c>
      <c r="U9" s="90">
        <f>AVERAGE('ruminants, roughage'!X33:X33)/1000*100</f>
        <v>0.21000000000000002</v>
      </c>
      <c r="V9" s="91">
        <f>AVERAGE('ruminants, roughage'!Z33:Z33)/1000*100</f>
        <v>1.81</v>
      </c>
      <c r="W9" s="115"/>
      <c r="Y9" s="67"/>
      <c r="Z9" s="36"/>
      <c r="AA9" s="53"/>
      <c r="AB9" s="53"/>
      <c r="AC9" s="53"/>
      <c r="AD9" s="53"/>
      <c r="AE9" s="36"/>
      <c r="AF9" s="53"/>
      <c r="AG9" s="53"/>
      <c r="AH9" s="54"/>
      <c r="AI9" s="38"/>
      <c r="AJ9" s="38"/>
      <c r="AK9" s="41"/>
      <c r="AL9" s="115"/>
      <c r="AN9" t="s">
        <v>484</v>
      </c>
      <c r="AO9" s="67"/>
      <c r="AP9" s="58"/>
    </row>
    <row r="10" spans="2:43" x14ac:dyDescent="0.25">
      <c r="B10" t="s">
        <v>12</v>
      </c>
      <c r="C10" s="36">
        <f t="shared" si="0"/>
        <v>100</v>
      </c>
      <c r="D10" s="63">
        <f t="shared" si="1"/>
        <v>17.6573168</v>
      </c>
      <c r="E10" s="37">
        <f t="shared" si="3"/>
        <v>1.0880000000000001</v>
      </c>
      <c r="F10" s="90">
        <f t="shared" si="4"/>
        <v>0.16999999999999998</v>
      </c>
      <c r="G10" s="91">
        <f t="shared" si="5"/>
        <v>1.03</v>
      </c>
      <c r="J10" s="67"/>
      <c r="K10" s="36">
        <v>100</v>
      </c>
      <c r="L10" s="76">
        <f t="shared" si="2"/>
        <v>17.6573168</v>
      </c>
      <c r="M10" s="37">
        <v>11</v>
      </c>
      <c r="N10" s="37">
        <f>AVERAGE('ruminants, roughage'!H25:H26)</f>
        <v>12.3</v>
      </c>
      <c r="O10" s="64">
        <v>68</v>
      </c>
      <c r="P10" s="38">
        <v>30</v>
      </c>
      <c r="Q10" s="38">
        <v>198</v>
      </c>
      <c r="R10" s="40">
        <f t="shared" si="6"/>
        <v>668</v>
      </c>
      <c r="S10" s="41">
        <v>36</v>
      </c>
      <c r="T10" s="37">
        <f t="shared" si="7"/>
        <v>1.0880000000000001</v>
      </c>
      <c r="U10" s="90">
        <f>1.7/1000*100</f>
        <v>0.16999999999999998</v>
      </c>
      <c r="V10" s="91">
        <f>10.3/1000*100</f>
        <v>1.03</v>
      </c>
      <c r="W10" s="116" t="s">
        <v>402</v>
      </c>
      <c r="X10" s="11" t="s">
        <v>484</v>
      </c>
      <c r="Y10" s="67"/>
      <c r="Z10" s="36"/>
      <c r="AA10" s="53"/>
      <c r="AB10" s="53"/>
      <c r="AC10" s="53"/>
      <c r="AD10" s="53"/>
      <c r="AE10" s="36"/>
      <c r="AF10" s="53"/>
      <c r="AG10" s="53"/>
      <c r="AH10" s="54"/>
      <c r="AI10" s="38"/>
      <c r="AJ10" s="38"/>
      <c r="AK10" s="41"/>
      <c r="AL10" s="115"/>
      <c r="AN10" t="s">
        <v>484</v>
      </c>
      <c r="AO10" s="67"/>
      <c r="AP10" s="58"/>
    </row>
    <row r="11" spans="2:43" x14ac:dyDescent="0.25">
      <c r="B11" t="s">
        <v>33</v>
      </c>
      <c r="C11" s="36">
        <f t="shared" si="0"/>
        <v>100</v>
      </c>
      <c r="D11" s="63">
        <f t="shared" si="1"/>
        <v>17.411437066666668</v>
      </c>
      <c r="E11" s="37">
        <f t="shared" si="3"/>
        <v>2.2466666666666666</v>
      </c>
      <c r="F11" s="90">
        <f t="shared" si="4"/>
        <v>0.27</v>
      </c>
      <c r="G11" s="91">
        <f t="shared" si="5"/>
        <v>2.34</v>
      </c>
      <c r="J11" s="67"/>
      <c r="K11" s="36">
        <v>100</v>
      </c>
      <c r="L11" s="76">
        <f t="shared" si="2"/>
        <v>17.411437066666668</v>
      </c>
      <c r="M11" s="37">
        <f>AVERAGE('ruminants, roughage'!D3:D14)</f>
        <v>9.9416666666666664</v>
      </c>
      <c r="N11" s="37">
        <f>AVERAGE('ruminants, roughage'!H26:H27)</f>
        <v>12.4</v>
      </c>
      <c r="O11" s="64">
        <f>AVERAGE('ruminants, roughage'!I3:I14)</f>
        <v>140.41666666666666</v>
      </c>
      <c r="P11" s="43">
        <v>20</v>
      </c>
      <c r="Q11" s="38"/>
      <c r="R11" s="40">
        <f t="shared" si="6"/>
        <v>773.91666666666674</v>
      </c>
      <c r="S11" s="41">
        <f>AVERAGE('ruminants, roughage'!K3:K14)</f>
        <v>65.666666666666657</v>
      </c>
      <c r="T11" s="37">
        <f t="shared" si="7"/>
        <v>2.2466666666666666</v>
      </c>
      <c r="U11" s="95">
        <f>U7</f>
        <v>0.27</v>
      </c>
      <c r="V11" s="96">
        <f>V7</f>
        <v>2.34</v>
      </c>
      <c r="W11" s="115"/>
      <c r="Y11" s="67"/>
      <c r="Z11" s="36"/>
      <c r="AA11" s="53"/>
      <c r="AB11" s="53"/>
      <c r="AC11" s="53"/>
      <c r="AD11" s="53"/>
      <c r="AE11" s="36"/>
      <c r="AF11" s="53"/>
      <c r="AG11" s="53"/>
      <c r="AH11" s="54"/>
      <c r="AI11" s="38"/>
      <c r="AJ11" s="38"/>
      <c r="AK11" s="41"/>
      <c r="AL11" s="115"/>
      <c r="AN11" t="s">
        <v>484</v>
      </c>
      <c r="AO11" s="67"/>
      <c r="AP11" s="58"/>
    </row>
    <row r="12" spans="2:43" x14ac:dyDescent="0.25">
      <c r="B12" s="4"/>
      <c r="C12" s="45"/>
      <c r="D12" s="54"/>
      <c r="E12" s="47"/>
      <c r="F12" s="47"/>
      <c r="G12" s="48"/>
      <c r="J12" s="67"/>
      <c r="K12" s="45"/>
      <c r="L12" s="55"/>
      <c r="M12" s="46"/>
      <c r="N12" s="46"/>
      <c r="O12" s="86"/>
      <c r="P12" s="47"/>
      <c r="Q12" s="47"/>
      <c r="R12" s="47"/>
      <c r="S12" s="48"/>
      <c r="T12" s="37"/>
      <c r="U12" s="47"/>
      <c r="V12" s="48"/>
      <c r="W12" s="115"/>
      <c r="Y12" s="67"/>
      <c r="Z12" s="45"/>
      <c r="AA12" s="55"/>
      <c r="AB12" s="55"/>
      <c r="AC12" s="55"/>
      <c r="AD12" s="55"/>
      <c r="AE12" s="45"/>
      <c r="AF12" s="55"/>
      <c r="AG12" s="55"/>
      <c r="AH12" s="56"/>
      <c r="AI12" s="47"/>
      <c r="AJ12" s="47"/>
      <c r="AK12" s="48"/>
      <c r="AL12" s="117"/>
      <c r="AM12" s="112"/>
      <c r="AN12" t="s">
        <v>484</v>
      </c>
      <c r="AO12" s="67"/>
      <c r="AP12" s="58"/>
    </row>
    <row r="13" spans="2:43" x14ac:dyDescent="0.25">
      <c r="B13" t="s">
        <v>17</v>
      </c>
      <c r="C13" s="64">
        <f>100-14</f>
        <v>86</v>
      </c>
      <c r="D13" s="63">
        <f t="shared" ref="D13:D26" si="8">L13</f>
        <v>18.210023200000002</v>
      </c>
      <c r="E13" s="37">
        <f t="shared" si="3"/>
        <v>1.9359999999999999</v>
      </c>
      <c r="F13" s="90">
        <f t="shared" si="4"/>
        <v>0.34499999999999997</v>
      </c>
      <c r="G13" s="91">
        <f t="shared" si="5"/>
        <v>0.52500000000000002</v>
      </c>
      <c r="H13" s="98" t="s">
        <v>512</v>
      </c>
      <c r="I13" s="97"/>
      <c r="J13" s="67">
        <f>MATCH($B13,ruminants!$A$3:$A$120,0)</f>
        <v>112</v>
      </c>
      <c r="K13" s="36">
        <f>INDEX(ruminants!$D$3:$AH$120,$J13,K$4)</f>
        <v>87</v>
      </c>
      <c r="L13" s="76">
        <f>( 5.7*O13+9.4*P13+4.1*(Q13+R13) ) * 0.004184</f>
        <v>18.210023200000002</v>
      </c>
      <c r="M13" s="37">
        <f>INDEX(ruminants!$D$3:$AH$120,$J13,M$4)</f>
        <v>14.1</v>
      </c>
      <c r="N13" s="37">
        <f>INDEX(ruminants!$D$3:$AH$120,$J13,N$4)</f>
        <v>16</v>
      </c>
      <c r="O13" s="64">
        <f>INDEX(ruminants!$D$3:$AH$120,$J13,O$4)</f>
        <v>121</v>
      </c>
      <c r="P13" s="38">
        <f>INDEX(ruminants!$D$3:$AH$120,$J13,P$4)</f>
        <v>25</v>
      </c>
      <c r="Q13" s="38">
        <f>INDEX(ruminants!$D$3:$AH$120,$J13,Q$4)</f>
        <v>30</v>
      </c>
      <c r="R13" s="38">
        <f>INDEX(ruminants!$D$3:$AH$120,$J13,R$4)</f>
        <v>806</v>
      </c>
      <c r="S13" s="41">
        <f>INDEX(ruminants!$D$3:$AH$120,$J13,S$4)</f>
        <v>18</v>
      </c>
      <c r="T13" s="37">
        <f t="shared" si="7"/>
        <v>1.9359999999999999</v>
      </c>
      <c r="U13" s="90">
        <f>INDEX(ruminants!$D$3:$AH$120,$J13,U$4)/1000*100</f>
        <v>0.37</v>
      </c>
      <c r="V13" s="91">
        <f>INDEX(ruminants!$D$3:$AH$120,$J13,V$4)/1000*100</f>
        <v>0.47000000000000003</v>
      </c>
      <c r="W13" s="115"/>
      <c r="X13" s="109"/>
      <c r="Y13" s="67">
        <f>MATCH($B13,pigs!$A$3:$A$60,0)</f>
        <v>53</v>
      </c>
      <c r="Z13" s="36">
        <f>INDEX(pigs!$D$3:$AO$60,$Y13,Z$4)</f>
        <v>87</v>
      </c>
      <c r="AA13" s="76">
        <f>( 5.7*AE13+9.4*AF13+4.1*(AG13) ) * 0.004184</f>
        <v>18.032621599999999</v>
      </c>
      <c r="AB13" s="107">
        <v>15.9</v>
      </c>
      <c r="AC13" s="53">
        <f>INDEX(pigs!$D$3:$AO$60,$Y13,AC$4)</f>
        <v>12.1</v>
      </c>
      <c r="AD13" s="53">
        <f>INDEX(pigs!$D$3:$AO$60,$Y13,AD$4)</f>
        <v>12.3</v>
      </c>
      <c r="AE13" s="36">
        <f>INDEX(pigs!$D$3:$AO$60,$Y13,AE$4)</f>
        <v>121</v>
      </c>
      <c r="AF13" s="53">
        <f>INDEX(pigs!$D$3:$AO$60,$Y13,AF$4)</f>
        <v>17</v>
      </c>
      <c r="AG13" s="40">
        <f>1000-SUM(AE13:AF13,AH13)</f>
        <v>844</v>
      </c>
      <c r="AH13" s="54">
        <f>INDEX(pigs!$D$3:$AO$60,$Y13,AH$4)</f>
        <v>18</v>
      </c>
      <c r="AI13" s="37">
        <f>AE13*AI$3/1000*100</f>
        <v>1.9359999999999999</v>
      </c>
      <c r="AJ13" s="90">
        <f>INDEX(pigs!$D$3:$AO$60,$Y13,AJ$4)/1000*100</f>
        <v>0.32</v>
      </c>
      <c r="AK13" s="91">
        <f>INDEX(pigs!$D$3:$AO$60,$Y13,AK$4)/1000*100</f>
        <v>0.57999999999999996</v>
      </c>
      <c r="AL13" s="115"/>
      <c r="AM13" s="111" t="s">
        <v>581</v>
      </c>
      <c r="AN13" t="s">
        <v>484</v>
      </c>
      <c r="AO13" s="67">
        <f>MATCH($B13,poultry!$A$3:$A$41,0)</f>
        <v>35</v>
      </c>
      <c r="AP13" s="58">
        <f>INDEX(poultry!$D$3:$U$41,$AO13,AP$4)</f>
        <v>87</v>
      </c>
    </row>
    <row r="14" spans="2:43" x14ac:dyDescent="0.25">
      <c r="B14" t="s">
        <v>37</v>
      </c>
      <c r="C14" s="64">
        <f t="shared" ref="C14:C18" si="9">100-14</f>
        <v>86</v>
      </c>
      <c r="D14" s="63">
        <f t="shared" si="8"/>
        <v>18.089524000000001</v>
      </c>
      <c r="E14" s="37">
        <f t="shared" si="3"/>
        <v>1.9039999999999999</v>
      </c>
      <c r="F14" s="90">
        <f t="shared" si="4"/>
        <v>0.375</v>
      </c>
      <c r="G14" s="91">
        <f t="shared" si="5"/>
        <v>0.58000000000000007</v>
      </c>
      <c r="H14" s="98" t="s">
        <v>512</v>
      </c>
      <c r="I14" s="4"/>
      <c r="J14" s="67">
        <f>MATCH($B14,ruminants!$A$3:$A$120,0)</f>
        <v>42</v>
      </c>
      <c r="K14" s="36">
        <f>INDEX(ruminants!$D$3:$AH$120,$J14,K$4)</f>
        <v>87</v>
      </c>
      <c r="L14" s="76">
        <f t="shared" ref="L14:L42" si="10">( 5.7*O14+9.4*P14+4.1*(Q14+R14) ) * 0.004184</f>
        <v>18.089524000000001</v>
      </c>
      <c r="M14" s="37">
        <f>INDEX(ruminants!$D$3:$AH$120,$J14,M$4)</f>
        <v>13.2</v>
      </c>
      <c r="N14" s="37">
        <f>INDEX(ruminants!$D$3:$AH$120,$J14,N$4)</f>
        <v>15</v>
      </c>
      <c r="O14" s="64">
        <f>INDEX(ruminants!$D$3:$AH$120,$J14,O$4)</f>
        <v>122</v>
      </c>
      <c r="P14" s="38">
        <f>INDEX(ruminants!$D$3:$AH$120,$J14,P$4)</f>
        <v>27</v>
      </c>
      <c r="Q14" s="38">
        <f>INDEX(ruminants!$D$3:$AH$120,$J14,Q$4)</f>
        <v>62</v>
      </c>
      <c r="R14" s="38">
        <f>INDEX(ruminants!$D$3:$AH$120,$J14,R$4)</f>
        <v>761</v>
      </c>
      <c r="S14" s="41">
        <f>INDEX(ruminants!$D$3:$AH$120,$J14,S$4)</f>
        <v>28</v>
      </c>
      <c r="T14" s="37">
        <f t="shared" si="7"/>
        <v>1.952</v>
      </c>
      <c r="U14" s="90">
        <f>INDEX(ruminants!$D$3:$AH$120,$J14,U$4)/1000*100</f>
        <v>0.4</v>
      </c>
      <c r="V14" s="91">
        <f>INDEX(ruminants!$D$3:$AH$120,$J14,V$4)/1000*100</f>
        <v>0.59000000000000008</v>
      </c>
      <c r="W14" s="115"/>
      <c r="X14" s="109"/>
      <c r="Y14" s="67">
        <f>MATCH($B14,pigs!$A$3:$A$60,0)</f>
        <v>13</v>
      </c>
      <c r="Z14" s="36">
        <f>INDEX(pigs!$D$3:$AO$60,$Y14,Z$4)</f>
        <v>87</v>
      </c>
      <c r="AA14" s="76">
        <f t="shared" ref="AA14:AA16" si="11">( 5.7*AE14+9.4*AF14+4.1*(AG14) ) * 0.004184</f>
        <v>17.950615200000001</v>
      </c>
      <c r="AB14" s="107">
        <v>14.8</v>
      </c>
      <c r="AC14" s="53">
        <f>INDEX(pigs!$D$3:$AO$60,$Y14,AC$4)</f>
        <v>11</v>
      </c>
      <c r="AD14" s="53">
        <f>INDEX(pigs!$D$3:$AO$60,$Y14,AD$4)</f>
        <v>11.2</v>
      </c>
      <c r="AE14" s="36">
        <f>INDEX(pigs!$D$3:$AO$60,$Y14,AE$4)</f>
        <v>116</v>
      </c>
      <c r="AF14" s="53">
        <f>INDEX(pigs!$D$3:$AO$60,$Y14,AF$4)</f>
        <v>21</v>
      </c>
      <c r="AG14" s="40">
        <f t="shared" ref="AG14:AG16" si="12">1000-SUM(AE14:AF14,AH14)</f>
        <v>837</v>
      </c>
      <c r="AH14" s="54">
        <f>INDEX(pigs!$D$3:$AO$60,$Y14,AH$4)</f>
        <v>26</v>
      </c>
      <c r="AI14" s="37">
        <f t="shared" ref="AI14:AI43" si="13">AE14*AI$3/1000*100</f>
        <v>1.8560000000000001</v>
      </c>
      <c r="AJ14" s="90">
        <f>INDEX(pigs!$D$3:$AO$60,$Y14,AJ$4)/1000*100</f>
        <v>0.35000000000000003</v>
      </c>
      <c r="AK14" s="91">
        <f>INDEX(pigs!$D$3:$AO$60,$Y14,AK$4)/1000*100</f>
        <v>0.57000000000000006</v>
      </c>
      <c r="AL14" s="115"/>
      <c r="AM14" s="111" t="s">
        <v>583</v>
      </c>
      <c r="AN14" t="s">
        <v>484</v>
      </c>
      <c r="AO14" s="67">
        <f>MATCH($B14,poultry!$A$3:$A$41,0)</f>
        <v>16</v>
      </c>
      <c r="AP14" s="58">
        <f>INDEX(poultry!$D$3:$U$41,$AO14,AP$4)</f>
        <v>87</v>
      </c>
    </row>
    <row r="15" spans="2:43" x14ac:dyDescent="0.25">
      <c r="B15" t="s">
        <v>38</v>
      </c>
      <c r="C15" s="64">
        <f t="shared" si="9"/>
        <v>86</v>
      </c>
      <c r="D15" s="63">
        <f t="shared" si="8"/>
        <v>18.6602216</v>
      </c>
      <c r="E15" s="37">
        <f t="shared" ref="E15:E16" si="14">AVERAGE(T15,AI15)</f>
        <v>1.7680000000000002</v>
      </c>
      <c r="F15" s="90">
        <f t="shared" ref="F15:F16" si="15">AVERAGE(U15,AJ15)</f>
        <v>0.36499999999999999</v>
      </c>
      <c r="G15" s="91">
        <f t="shared" ref="G15:G16" si="16">AVERAGE(V15,AK15)</f>
        <v>0.54</v>
      </c>
      <c r="H15" s="98" t="s">
        <v>512</v>
      </c>
      <c r="I15" s="4"/>
      <c r="J15" s="67">
        <f>MATCH($B15,ruminants!$A$3:$A$120,0)</f>
        <v>28</v>
      </c>
      <c r="K15" s="36">
        <f>INDEX(ruminants!$D$3:$AH$120,$J15,K$4)</f>
        <v>85</v>
      </c>
      <c r="L15" s="76">
        <f t="shared" si="10"/>
        <v>18.6602216</v>
      </c>
      <c r="M15" s="37">
        <f>INDEX(ruminants!$D$3:$AH$120,$J15,M$4)</f>
        <v>11.7</v>
      </c>
      <c r="N15" s="37">
        <f>INDEX(ruminants!$D$3:$AH$120,$J15,N$4)</f>
        <v>13.3</v>
      </c>
      <c r="O15" s="64">
        <f>INDEX(ruminants!$D$3:$AH$120,$J15,O$4)</f>
        <v>110</v>
      </c>
      <c r="P15" s="38">
        <f>INDEX(ruminants!$D$3:$AH$120,$J15,P$4)</f>
        <v>61</v>
      </c>
      <c r="Q15" s="38">
        <f>INDEX(ruminants!$D$3:$AH$120,$J15,Q$4)</f>
        <v>141</v>
      </c>
      <c r="R15" s="38">
        <f>INDEX(ruminants!$D$3:$AH$120,$J15,R$4)</f>
        <v>654</v>
      </c>
      <c r="S15" s="41">
        <f>INDEX(ruminants!$D$3:$AH$120,$J15,S$4)</f>
        <v>34</v>
      </c>
      <c r="T15" s="37">
        <f t="shared" si="7"/>
        <v>1.76</v>
      </c>
      <c r="U15" s="90">
        <f>INDEX(ruminants!$D$3:$AH$120,$J15,U$4)/1000*100</f>
        <v>0.37</v>
      </c>
      <c r="V15" s="91">
        <f>INDEX(ruminants!$D$3:$AH$120,$J15,V$4)/1000*100</f>
        <v>0.53</v>
      </c>
      <c r="W15" s="115"/>
      <c r="X15" s="109"/>
      <c r="Y15" s="67">
        <f>MATCH($B15,pigs!$A$3:$A$60,0)</f>
        <v>11</v>
      </c>
      <c r="Z15" s="36">
        <f>INDEX(pigs!$D$3:$AO$60,$Y15,Z$4)</f>
        <v>87</v>
      </c>
      <c r="AA15" s="76">
        <f t="shared" si="11"/>
        <v>18.580307199999996</v>
      </c>
      <c r="AB15" s="104">
        <v>12.7</v>
      </c>
      <c r="AC15" s="53">
        <f>INDEX(pigs!$D$3:$AO$60,$Y15,AC$4)</f>
        <v>9</v>
      </c>
      <c r="AD15" s="53">
        <f>INDEX(pigs!$D$3:$AO$60,$Y15,AD$4)</f>
        <v>9.4</v>
      </c>
      <c r="AE15" s="36">
        <f>INDEX(pigs!$D$3:$AO$60,$Y15,AE$4)</f>
        <v>111</v>
      </c>
      <c r="AF15" s="53">
        <f>INDEX(pigs!$D$3:$AO$60,$Y15,AF$4)</f>
        <v>54</v>
      </c>
      <c r="AG15" s="40">
        <f t="shared" si="12"/>
        <v>805</v>
      </c>
      <c r="AH15" s="54">
        <f>INDEX(pigs!$D$3:$AO$60,$Y15,AH$4)</f>
        <v>30</v>
      </c>
      <c r="AI15" s="37">
        <f t="shared" si="13"/>
        <v>1.7760000000000002</v>
      </c>
      <c r="AJ15" s="90">
        <f>INDEX(pigs!$D$3:$AO$60,$Y15,AJ$4)/1000*100</f>
        <v>0.36</v>
      </c>
      <c r="AK15" s="91">
        <f>INDEX(pigs!$D$3:$AO$60,$Y15,AK$4)/1000*100</f>
        <v>0.54999999999999993</v>
      </c>
      <c r="AL15" s="115"/>
      <c r="AM15" s="111" t="s">
        <v>584</v>
      </c>
      <c r="AN15" t="s">
        <v>484</v>
      </c>
      <c r="AO15" s="67">
        <f>MATCH($B15,poultry!$A$3:$A$41,0)</f>
        <v>10</v>
      </c>
      <c r="AP15" s="58">
        <f>INDEX(poultry!$D$3:$U$41,$AO15,AP$4)</f>
        <v>87</v>
      </c>
    </row>
    <row r="16" spans="2:43" x14ac:dyDescent="0.25">
      <c r="B16" t="s">
        <v>39</v>
      </c>
      <c r="C16" s="64">
        <f t="shared" si="9"/>
        <v>86</v>
      </c>
      <c r="D16" s="63">
        <f>L16</f>
        <v>18.2284328</v>
      </c>
      <c r="E16" s="37">
        <f t="shared" si="14"/>
        <v>1.8639999999999999</v>
      </c>
      <c r="F16" s="90">
        <f t="shared" si="15"/>
        <v>0.38</v>
      </c>
      <c r="G16" s="91">
        <f t="shared" si="16"/>
        <v>0.58000000000000007</v>
      </c>
      <c r="H16" s="98" t="s">
        <v>512</v>
      </c>
      <c r="I16" s="4"/>
      <c r="J16" s="67">
        <f>MATCH($B16,ruminants!$A$3:$A$120,0)</f>
        <v>78</v>
      </c>
      <c r="K16" s="36">
        <f>INDEX(ruminants!$D$3:$AH$120,$J16,K$4)</f>
        <v>87</v>
      </c>
      <c r="L16" s="76">
        <f t="shared" si="10"/>
        <v>18.2284328</v>
      </c>
      <c r="M16" s="37">
        <f>INDEX(ruminants!$D$3:$AH$120,$J16,M$4)</f>
        <v>14</v>
      </c>
      <c r="N16" s="37">
        <f>INDEX(ruminants!$D$3:$AH$120,$J16,N$4)</f>
        <v>15.8</v>
      </c>
      <c r="O16" s="64">
        <f>INDEX(ruminants!$D$3:$AH$120,$J16,O$4)</f>
        <v>123</v>
      </c>
      <c r="P16" s="38">
        <f>INDEX(ruminants!$D$3:$AH$120,$J16,P$4)</f>
        <v>26</v>
      </c>
      <c r="Q16" s="38">
        <f>INDEX(ruminants!$D$3:$AH$120,$J16,Q$4)</f>
        <v>33</v>
      </c>
      <c r="R16" s="38">
        <f>INDEX(ruminants!$D$3:$AH$120,$J16,R$4)</f>
        <v>799</v>
      </c>
      <c r="S16" s="41">
        <f>INDEX(ruminants!$D$3:$AH$120,$J16,S$4)</f>
        <v>19</v>
      </c>
      <c r="T16" s="37">
        <f t="shared" si="7"/>
        <v>1.968</v>
      </c>
      <c r="U16" s="90">
        <f>INDEX(ruminants!$D$3:$AH$120,$J16,U$4)/1000*100</f>
        <v>0.4</v>
      </c>
      <c r="V16" s="91">
        <f>INDEX(ruminants!$D$3:$AH$120,$J16,V$4)/1000*100</f>
        <v>0.54</v>
      </c>
      <c r="W16" s="115"/>
      <c r="X16" s="109"/>
      <c r="Y16" s="67">
        <f>MATCH($B16,pigs!$A$3:$A$60,0)</f>
        <v>39</v>
      </c>
      <c r="Z16" s="36">
        <f>INDEX(pigs!$D$3:$AO$60,$Y16,Z$4)</f>
        <v>87</v>
      </c>
      <c r="AA16" s="76">
        <f t="shared" si="11"/>
        <v>17.846015199999997</v>
      </c>
      <c r="AB16" s="104">
        <v>15.6</v>
      </c>
      <c r="AC16" s="53">
        <f>INDEX(pigs!$D$3:$AO$60,$Y16,AC$4)</f>
        <v>11.9</v>
      </c>
      <c r="AD16" s="53">
        <f>INDEX(pigs!$D$3:$AO$60,$Y16,AD$4)</f>
        <v>12</v>
      </c>
      <c r="AE16" s="36">
        <f>INDEX(pigs!$D$3:$AO$60,$Y16,AE$4)</f>
        <v>110</v>
      </c>
      <c r="AF16" s="53">
        <f>INDEX(pigs!$D$3:$AO$60,$Y16,AF$4)</f>
        <v>15</v>
      </c>
      <c r="AG16" s="40">
        <f t="shared" si="12"/>
        <v>853</v>
      </c>
      <c r="AH16" s="54">
        <f>INDEX(pigs!$D$3:$AO$60,$Y16,AH$4)</f>
        <v>22</v>
      </c>
      <c r="AI16" s="37">
        <f t="shared" si="13"/>
        <v>1.76</v>
      </c>
      <c r="AJ16" s="90">
        <f>INDEX(pigs!$D$3:$AO$60,$Y16,AJ$4)/1000*100</f>
        <v>0.36</v>
      </c>
      <c r="AK16" s="91">
        <f>INDEX(pigs!$D$3:$AO$60,$Y16,AK$4)/1000*100</f>
        <v>0.62</v>
      </c>
      <c r="AL16" s="115"/>
      <c r="AM16" s="111" t="s">
        <v>585</v>
      </c>
      <c r="AN16" t="s">
        <v>484</v>
      </c>
      <c r="AO16" s="67">
        <f>MATCH($B16,poultry!$A$3:$A$41,0)</f>
        <v>31</v>
      </c>
      <c r="AP16" s="58">
        <f>INDEX(poultry!$D$3:$U$41,$AO16,AP$4)</f>
        <v>89</v>
      </c>
    </row>
    <row r="17" spans="2:42" x14ac:dyDescent="0.25">
      <c r="B17" t="s">
        <v>312</v>
      </c>
      <c r="C17" s="64">
        <f t="shared" si="9"/>
        <v>86</v>
      </c>
      <c r="D17" s="63">
        <f t="shared" si="8"/>
        <v>17.924256</v>
      </c>
      <c r="E17" s="37">
        <f t="shared" ref="E17:E43" si="17">AVERAGE(T17,AI17)</f>
        <v>1.6240000000000001</v>
      </c>
      <c r="F17" s="90">
        <f t="shared" ref="F17:F43" si="18">AVERAGE(U17,AJ17)</f>
        <v>0.32999999999999996</v>
      </c>
      <c r="G17" s="91">
        <f t="shared" ref="G17:G43" si="19">AVERAGE(V17,AK17)</f>
        <v>0.55499999999999994</v>
      </c>
      <c r="H17" s="98" t="s">
        <v>512</v>
      </c>
      <c r="I17" s="4"/>
      <c r="J17" s="67">
        <f>MATCH($B17,ruminants!$A$3:$A$120,0)</f>
        <v>77</v>
      </c>
      <c r="K17" s="36">
        <f>INDEX(ruminants!$D$3:$AH$120,$J17,K$4)</f>
        <v>87</v>
      </c>
      <c r="L17" s="76">
        <f t="shared" si="10"/>
        <v>17.924256</v>
      </c>
      <c r="M17" s="37">
        <f>INDEX(ruminants!$D$3:$AH$120,$J17,M$4)</f>
        <v>13.9</v>
      </c>
      <c r="N17" s="37">
        <f>INDEX(ruminants!$D$3:$AH$120,$J17,N$4)</f>
        <v>15.8</v>
      </c>
      <c r="O17" s="64">
        <f>INDEX(ruminants!$D$3:$AH$120,$J17,O$4)</f>
        <v>100</v>
      </c>
      <c r="P17" s="38">
        <f>INDEX(ruminants!$D$3:$AH$120,$J17,P$4)</f>
        <v>20</v>
      </c>
      <c r="Q17" s="38">
        <f>INDEX(ruminants!$D$3:$AH$120,$J17,Q$4)</f>
        <v>25</v>
      </c>
      <c r="R17" s="38">
        <f>INDEX(ruminants!$D$3:$AH$120,$J17,R$4)</f>
        <v>835</v>
      </c>
      <c r="S17" s="41">
        <f>INDEX(ruminants!$D$3:$AH$120,$J17,S$4)</f>
        <v>20</v>
      </c>
      <c r="T17" s="37">
        <f t="shared" si="7"/>
        <v>1.6</v>
      </c>
      <c r="U17" s="90">
        <f>INDEX(ruminants!$D$3:$AH$120,$J17,U$4)/1000*100</f>
        <v>0.33999999999999997</v>
      </c>
      <c r="V17" s="91">
        <f>INDEX(ruminants!$D$3:$AH$120,$J17,V$4)/1000*100</f>
        <v>0.54999999999999993</v>
      </c>
      <c r="W17" s="115"/>
      <c r="X17" s="109"/>
      <c r="Y17" s="67">
        <f>MATCH($B17,pigs!$A$3:$A$60,0)</f>
        <v>38</v>
      </c>
      <c r="Z17" s="36">
        <f>INDEX(pigs!$D$3:$AO$60,$Y17,Z$4)</f>
        <v>87</v>
      </c>
      <c r="AA17" s="76">
        <f>( 5.7*AE17+9.4*AF17+4.1*(AG17) ) * 0.004184</f>
        <v>17.794133599999999</v>
      </c>
      <c r="AB17" s="104"/>
      <c r="AC17" s="53">
        <f>INDEX(pigs!$D$3:$AO$60,$Y17,AC$4)</f>
        <v>11.3</v>
      </c>
      <c r="AD17" s="53">
        <f>INDEX(pigs!$D$3:$AO$60,$Y17,AD$4)</f>
        <v>11.5</v>
      </c>
      <c r="AE17" s="36">
        <f>INDEX(pigs!$D$3:$AO$60,$Y17,AE$4)</f>
        <v>103</v>
      </c>
      <c r="AF17" s="53">
        <f>INDEX(pigs!$D$3:$AO$60,$Y17,AF$4)</f>
        <v>14</v>
      </c>
      <c r="AG17" s="40">
        <f t="shared" ref="AG17" si="20">1000-SUM(AE17:AF17,AH17)</f>
        <v>862</v>
      </c>
      <c r="AH17" s="54">
        <f>INDEX(pigs!$D$3:$AO$60,$Y17,AH$4)</f>
        <v>21</v>
      </c>
      <c r="AI17" s="37">
        <f t="shared" ref="AI17" si="21">AE17*AI$3/1000*100</f>
        <v>1.6480000000000001</v>
      </c>
      <c r="AJ17" s="90">
        <f>INDEX(pigs!$D$3:$AO$60,$Y17,AJ$4)/1000*100</f>
        <v>0.32</v>
      </c>
      <c r="AK17" s="91">
        <f>INDEX(pigs!$D$3:$AO$60,$Y17,AK$4)/1000*100</f>
        <v>0.55999999999999994</v>
      </c>
      <c r="AL17" s="115"/>
      <c r="AM17" s="110"/>
      <c r="AN17" t="s">
        <v>484</v>
      </c>
      <c r="AO17" s="67">
        <f>MATCH($B17,poultry!$A$3:$A$41,0)</f>
        <v>30</v>
      </c>
      <c r="AP17" s="58">
        <f>INDEX(poultry!$D$3:$U$41,$AO17,AP$4)</f>
        <v>87</v>
      </c>
    </row>
    <row r="18" spans="2:42" x14ac:dyDescent="0.25">
      <c r="B18" t="s">
        <v>40</v>
      </c>
      <c r="C18" s="64">
        <f t="shared" si="9"/>
        <v>86</v>
      </c>
      <c r="D18" s="63">
        <f t="shared" si="8"/>
        <v>18.3899352</v>
      </c>
      <c r="E18" s="37">
        <f t="shared" si="17"/>
        <v>1.6400000000000001</v>
      </c>
      <c r="F18" s="90">
        <f t="shared" si="18"/>
        <v>0.33999999999999997</v>
      </c>
      <c r="G18" s="91">
        <f t="shared" si="19"/>
        <v>0.46500000000000002</v>
      </c>
      <c r="H18" s="98" t="s">
        <v>512</v>
      </c>
      <c r="I18" s="4"/>
      <c r="J18" s="67">
        <f>MATCH($B18,ruminants!$A$3:$A$120,0)</f>
        <v>53</v>
      </c>
      <c r="K18" s="36">
        <f>INDEX(ruminants!$D$3:$AH$120,$J18,K$4)</f>
        <v>48</v>
      </c>
      <c r="L18" s="76">
        <f t="shared" si="10"/>
        <v>18.3899352</v>
      </c>
      <c r="M18" s="37">
        <f>INDEX(ruminants!$D$3:$AH$120,$J18,M$4)</f>
        <v>12.8</v>
      </c>
      <c r="N18" s="37">
        <f>INDEX(ruminants!$D$3:$AH$120,$J18,N$4)</f>
        <v>14.5</v>
      </c>
      <c r="O18" s="64">
        <f>INDEX(ruminants!$D$3:$AH$120,$J18,O$4)</f>
        <v>111</v>
      </c>
      <c r="P18" s="38">
        <f>INDEX(ruminants!$D$3:$AH$120,$J18,P$4)</f>
        <v>40</v>
      </c>
      <c r="Q18" s="38">
        <f>INDEX(ruminants!$D$3:$AH$120,$J18,Q$4)</f>
        <v>63</v>
      </c>
      <c r="R18" s="38">
        <f>INDEX(ruminants!$D$3:$AH$120,$J18,R$4)</f>
        <v>763</v>
      </c>
      <c r="S18" s="41">
        <f>INDEX(ruminants!$D$3:$AH$120,$J18,S$4)</f>
        <v>23</v>
      </c>
      <c r="T18" s="37">
        <f t="shared" si="7"/>
        <v>1.7760000000000002</v>
      </c>
      <c r="U18" s="90">
        <f>INDEX(ruminants!$D$3:$AH$120,$J18,U$4)/1000*100</f>
        <v>0.36</v>
      </c>
      <c r="V18" s="91">
        <f>INDEX(ruminants!$D$3:$AH$120,$J18,V$4)/1000*100</f>
        <v>0.53</v>
      </c>
      <c r="W18" s="115"/>
      <c r="X18" s="109"/>
      <c r="Y18" s="67">
        <f>MATCH($B18,pigs!$A$3:$A$60,0)</f>
        <v>19</v>
      </c>
      <c r="Z18" s="36">
        <f>INDEX(pigs!$D$3:$AO$60,$Y18,Z$4)</f>
        <v>87</v>
      </c>
      <c r="AA18" s="76">
        <f t="shared" ref="AA18:AA23" si="22">( 5.7*AE18+9.4*AF18+4.1*(AG18) ) * 0.004184</f>
        <v>18.4970456</v>
      </c>
      <c r="AB18" s="104">
        <v>16.5</v>
      </c>
      <c r="AC18" s="53">
        <f>INDEX(pigs!$D$3:$AO$60,$Y18,AC$4)</f>
        <v>12.8</v>
      </c>
      <c r="AD18" s="53">
        <f>INDEX(pigs!$D$3:$AO$60,$Y18,AD$4)</f>
        <v>13.2</v>
      </c>
      <c r="AE18" s="36">
        <f>INDEX(pigs!$D$3:$AO$60,$Y18,AE$4)</f>
        <v>94</v>
      </c>
      <c r="AF18" s="53">
        <f>INDEX(pigs!$D$3:$AO$60,$Y18,AF$4)</f>
        <v>43</v>
      </c>
      <c r="AG18" s="40">
        <f t="shared" ref="AG18:AG23" si="23">1000-SUM(AE18:AF18,AH18)</f>
        <v>849</v>
      </c>
      <c r="AH18" s="54">
        <f>INDEX(pigs!$D$3:$AO$60,$Y18,AH$4)</f>
        <v>14</v>
      </c>
      <c r="AI18" s="37">
        <f t="shared" si="13"/>
        <v>1.5040000000000002</v>
      </c>
      <c r="AJ18" s="90">
        <f>INDEX(pigs!$D$3:$AO$60,$Y18,AJ$4)/1000*100</f>
        <v>0.32</v>
      </c>
      <c r="AK18" s="91">
        <f>INDEX(pigs!$D$3:$AO$60,$Y18,AK$4)/1000*100</f>
        <v>0.4</v>
      </c>
      <c r="AL18" s="115"/>
      <c r="AM18" s="111" t="s">
        <v>586</v>
      </c>
      <c r="AN18" t="s">
        <v>484</v>
      </c>
      <c r="AO18" s="67">
        <f>MATCH($B18,poultry!$A$3:$A$41,0)</f>
        <v>24</v>
      </c>
      <c r="AP18" s="58">
        <f>INDEX(poultry!$D$3:$U$41,$AO18,AP$4)</f>
        <v>87</v>
      </c>
    </row>
    <row r="19" spans="2:42" x14ac:dyDescent="0.25">
      <c r="B19" t="s">
        <v>41</v>
      </c>
      <c r="C19" s="64">
        <f>100-15</f>
        <v>85</v>
      </c>
      <c r="D19" s="63">
        <f t="shared" si="8"/>
        <v>18.478217600000001</v>
      </c>
      <c r="E19" s="37">
        <f t="shared" si="17"/>
        <v>3.7200000000000006</v>
      </c>
      <c r="F19" s="90">
        <f t="shared" si="18"/>
        <v>0.44499999999999995</v>
      </c>
      <c r="G19" s="91">
        <f t="shared" si="19"/>
        <v>1.155</v>
      </c>
      <c r="H19" s="98" t="s">
        <v>512</v>
      </c>
      <c r="I19" s="4"/>
      <c r="J19" s="67">
        <f>MATCH($B19,ruminants!$A$3:$A$120,0)</f>
        <v>115</v>
      </c>
      <c r="K19" s="36">
        <f>INDEX(ruminants!$D$3:$AH$120,$J19,K$4)</f>
        <v>87</v>
      </c>
      <c r="L19" s="76">
        <f t="shared" si="10"/>
        <v>18.478217600000001</v>
      </c>
      <c r="M19" s="37">
        <f>INDEX(ruminants!$D$3:$AH$120,$J19,M$4)</f>
        <v>13.8</v>
      </c>
      <c r="N19" s="37">
        <f>INDEX(ruminants!$D$3:$AH$120,$J19,N$4)</f>
        <v>16</v>
      </c>
      <c r="O19" s="64">
        <f>INDEX(ruminants!$D$3:$AH$120,$J19,O$4)</f>
        <v>226</v>
      </c>
      <c r="P19" s="38">
        <f>INDEX(ruminants!$D$3:$AH$120,$J19,P$4)</f>
        <v>17</v>
      </c>
      <c r="Q19" s="38">
        <f>INDEX(ruminants!$D$3:$AH$120,$J19,Q$4)</f>
        <v>78</v>
      </c>
      <c r="R19" s="38">
        <f>INDEX(ruminants!$D$3:$AH$120,$J19,R$4)</f>
        <v>646</v>
      </c>
      <c r="S19" s="41">
        <f>INDEX(ruminants!$D$3:$AH$120,$J19,S$4)</f>
        <v>33</v>
      </c>
      <c r="T19" s="37">
        <f t="shared" si="7"/>
        <v>3.6160000000000005</v>
      </c>
      <c r="U19" s="90">
        <f>INDEX(ruminants!$D$3:$AH$120,$J19,U$4)/1000*100</f>
        <v>0.43</v>
      </c>
      <c r="V19" s="91">
        <f>INDEX(ruminants!$D$3:$AH$120,$J19,V$4)/1000*100</f>
        <v>1.1100000000000001</v>
      </c>
      <c r="W19" s="115"/>
      <c r="Y19" s="67">
        <f>MATCH($B19,pigs!$A$3:$A$60,0)</f>
        <v>56</v>
      </c>
      <c r="Z19" s="36">
        <f>INDEX(pigs!$D$3:$AO$60,$Y19,Z$4)</f>
        <v>87</v>
      </c>
      <c r="AA19" s="76">
        <f t="shared" si="22"/>
        <v>18.420059999999999</v>
      </c>
      <c r="AB19" s="104">
        <v>16.100000000000001</v>
      </c>
      <c r="AC19" s="53">
        <f>INDEX(pigs!$D$3:$AO$60,$Y19,AC$4)</f>
        <v>11.2</v>
      </c>
      <c r="AD19" s="53">
        <f>INDEX(pigs!$D$3:$AO$60,$Y19,AD$4)</f>
        <v>11.5</v>
      </c>
      <c r="AE19" s="36">
        <f>INDEX(pigs!$D$3:$AO$60,$Y19,AE$4)</f>
        <v>239</v>
      </c>
      <c r="AF19" s="53">
        <f>INDEX(pigs!$D$3:$AO$60,$Y19,AF$4)</f>
        <v>12</v>
      </c>
      <c r="AG19" s="40">
        <f t="shared" si="23"/>
        <v>714</v>
      </c>
      <c r="AH19" s="54">
        <f>INDEX(pigs!$D$3:$AO$60,$Y19,AH$4)</f>
        <v>35</v>
      </c>
      <c r="AI19" s="37">
        <f t="shared" si="13"/>
        <v>3.8240000000000003</v>
      </c>
      <c r="AJ19" s="90">
        <f>INDEX(pigs!$D$3:$AO$60,$Y19,AJ$4)/1000*100</f>
        <v>0.45999999999999996</v>
      </c>
      <c r="AK19" s="91">
        <f>INDEX(pigs!$D$3:$AO$60,$Y19,AK$4)/1000*100</f>
        <v>1.2</v>
      </c>
      <c r="AL19" s="115"/>
      <c r="AM19" s="111" t="s">
        <v>587</v>
      </c>
      <c r="AN19" t="s">
        <v>484</v>
      </c>
      <c r="AO19" s="67">
        <f>MATCH($B19,poultry!$A$3:$A$41,0)</f>
        <v>39</v>
      </c>
      <c r="AP19" s="58">
        <f>INDEX(poultry!$D$3:$U$41,$AO19,AP$4)</f>
        <v>87</v>
      </c>
    </row>
    <row r="20" spans="2:42" x14ac:dyDescent="0.25">
      <c r="B20" t="s">
        <v>42</v>
      </c>
      <c r="C20" s="64">
        <f>100-15</f>
        <v>85</v>
      </c>
      <c r="D20" s="63">
        <f t="shared" si="8"/>
        <v>18.737207199999997</v>
      </c>
      <c r="E20" s="37">
        <f t="shared" si="17"/>
        <v>4.8079999999999998</v>
      </c>
      <c r="F20" s="90">
        <f t="shared" si="18"/>
        <v>0.61499999999999999</v>
      </c>
      <c r="G20" s="91">
        <f t="shared" si="19"/>
        <v>1.375</v>
      </c>
      <c r="H20" s="98" t="s">
        <v>512</v>
      </c>
      <c r="I20" s="4"/>
      <c r="J20" s="67"/>
      <c r="K20" s="64">
        <v>86.6</v>
      </c>
      <c r="L20" s="76">
        <f t="shared" si="10"/>
        <v>18.737207199999997</v>
      </c>
      <c r="M20" s="37">
        <v>13.3</v>
      </c>
      <c r="N20" s="37">
        <f>INDEX(ruminants!$D$3:$AH$120,$J20,N$4)</f>
        <v>14.5</v>
      </c>
      <c r="O20" s="64">
        <v>290</v>
      </c>
      <c r="P20" s="38">
        <v>14</v>
      </c>
      <c r="Q20" s="38">
        <v>91</v>
      </c>
      <c r="R20" s="40">
        <f>1000-SUM(O20:Q20,S20)</f>
        <v>566</v>
      </c>
      <c r="S20" s="41">
        <v>39</v>
      </c>
      <c r="T20" s="37">
        <f t="shared" si="7"/>
        <v>4.6399999999999997</v>
      </c>
      <c r="U20" s="90">
        <f>5.5/1000*100</f>
        <v>0.54999999999999993</v>
      </c>
      <c r="V20" s="91">
        <f>11.5/1000*100</f>
        <v>1.1499999999999999</v>
      </c>
      <c r="W20" s="116" t="s">
        <v>317</v>
      </c>
      <c r="X20" s="11" t="s">
        <v>484</v>
      </c>
      <c r="Y20" s="67">
        <f>MATCH($B20,pigs!$A$3:$A$60,0)</f>
        <v>57</v>
      </c>
      <c r="Z20" s="36">
        <f>INDEX(pigs!$D$3:$AO$60,$Y20,Z$4)</f>
        <v>87</v>
      </c>
      <c r="AA20" s="76">
        <f t="shared" si="22"/>
        <v>18.821305599999999</v>
      </c>
      <c r="AB20" s="104">
        <v>15.5</v>
      </c>
      <c r="AC20" s="53">
        <f>INDEX(pigs!$D$3:$AO$60,$Y20,AC$4)</f>
        <v>10.7</v>
      </c>
      <c r="AD20" s="53">
        <f>INDEX(pigs!$D$3:$AO$60,$Y20,AD$4)</f>
        <v>10.9</v>
      </c>
      <c r="AE20" s="36">
        <f>INDEX(pigs!$D$3:$AO$60,$Y20,AE$4)</f>
        <v>311</v>
      </c>
      <c r="AF20" s="53">
        <f>INDEX(pigs!$D$3:$AO$60,$Y20,AF$4)</f>
        <v>13</v>
      </c>
      <c r="AG20" s="40">
        <f t="shared" si="23"/>
        <v>635</v>
      </c>
      <c r="AH20" s="54">
        <f>INDEX(pigs!$D$3:$AO$60,$Y20,AH$4)</f>
        <v>41</v>
      </c>
      <c r="AI20" s="37">
        <f t="shared" si="13"/>
        <v>4.976</v>
      </c>
      <c r="AJ20" s="90">
        <f>INDEX(pigs!$D$3:$AO$60,$Y20,AJ$4)/1000*100</f>
        <v>0.67999999999999994</v>
      </c>
      <c r="AK20" s="91">
        <f>INDEX(pigs!$D$3:$AO$60,$Y20,AK$4)/1000*100</f>
        <v>1.6</v>
      </c>
      <c r="AL20" s="115"/>
      <c r="AM20" s="111" t="s">
        <v>317</v>
      </c>
      <c r="AN20" t="s">
        <v>484</v>
      </c>
      <c r="AO20" s="67"/>
      <c r="AP20" s="58"/>
    </row>
    <row r="21" spans="2:42" x14ac:dyDescent="0.25">
      <c r="B21" t="s">
        <v>35</v>
      </c>
      <c r="C21" s="64">
        <f>100-9</f>
        <v>91</v>
      </c>
      <c r="D21" s="63">
        <f t="shared" si="8"/>
        <v>27.903096000000001</v>
      </c>
      <c r="E21" s="37">
        <f t="shared" si="17"/>
        <v>3.3360000000000003</v>
      </c>
      <c r="F21" s="90">
        <f t="shared" si="18"/>
        <v>0.81</v>
      </c>
      <c r="G21" s="91">
        <f t="shared" si="19"/>
        <v>0.90999999999999992</v>
      </c>
      <c r="H21" s="98" t="s">
        <v>512</v>
      </c>
      <c r="I21" s="4"/>
      <c r="J21" s="67">
        <f>MATCH($B21,ruminants!$A$3:$A$120,0)</f>
        <v>71</v>
      </c>
      <c r="K21" s="36">
        <f>INDEX(ruminants!$D$3:$AH$120,$J21,K$4)</f>
        <v>93</v>
      </c>
      <c r="L21" s="76">
        <f t="shared" si="10"/>
        <v>27.903096000000001</v>
      </c>
      <c r="M21" s="37">
        <f>INDEX(ruminants!$D$3:$AH$120,$J21,M$4)</f>
        <v>22.1</v>
      </c>
      <c r="N21" s="37">
        <f>INDEX(ruminants!$D$3:$AH$120,$J21,N$4)</f>
        <v>22.1</v>
      </c>
      <c r="O21" s="64">
        <f>INDEX(ruminants!$D$3:$AH$120,$J21,O$4)</f>
        <v>210</v>
      </c>
      <c r="P21" s="38">
        <f>INDEX(ruminants!$D$3:$AH$120,$J21,P$4)</f>
        <v>460</v>
      </c>
      <c r="Q21" s="38">
        <f>INDEX(ruminants!$D$3:$AH$120,$J21,Q$4)</f>
        <v>80</v>
      </c>
      <c r="R21" s="38">
        <f>INDEX(ruminants!$D$3:$AH$120,$J21,R$4)</f>
        <v>200</v>
      </c>
      <c r="S21" s="41">
        <f>INDEX(ruminants!$D$3:$AH$120,$J21,S$4)</f>
        <v>50</v>
      </c>
      <c r="T21" s="37">
        <f t="shared" si="7"/>
        <v>3.3600000000000003</v>
      </c>
      <c r="U21" s="90">
        <f>INDEX(ruminants!$D$3:$AH$120,$J21,U$4)/1000*100</f>
        <v>0.86</v>
      </c>
      <c r="V21" s="91">
        <f>INDEX(ruminants!$D$3:$AH$120,$J21,V$4)/1000*100</f>
        <v>0.81999999999999984</v>
      </c>
      <c r="W21" s="115"/>
      <c r="Y21" s="67">
        <f>MATCH($B21,pigs!$A$3:$A$60,0)</f>
        <v>33</v>
      </c>
      <c r="Z21" s="36">
        <f>INDEX(pigs!$D$3:$AO$60,$Y21,Z$4)</f>
        <v>92</v>
      </c>
      <c r="AA21" s="76">
        <f t="shared" si="22"/>
        <v>27.892217599999999</v>
      </c>
      <c r="AB21" s="104">
        <v>23.5</v>
      </c>
      <c r="AC21" s="53">
        <f>INDEX(pigs!$D$3:$AO$60,$Y21,AC$4)</f>
        <v>18</v>
      </c>
      <c r="AD21" s="53">
        <f>INDEX(pigs!$D$3:$AO$60,$Y21,AD$4)</f>
        <v>18.5</v>
      </c>
      <c r="AE21" s="36">
        <f>INDEX(pigs!$D$3:$AO$60,$Y21,AE$4)</f>
        <v>207</v>
      </c>
      <c r="AF21" s="53">
        <f>INDEX(pigs!$D$3:$AO$60,$Y21,AF$4)</f>
        <v>455</v>
      </c>
      <c r="AG21" s="40">
        <f t="shared" si="23"/>
        <v>295</v>
      </c>
      <c r="AH21" s="54">
        <f>INDEX(pigs!$D$3:$AO$60,$Y21,AH$4)</f>
        <v>43</v>
      </c>
      <c r="AI21" s="37">
        <f t="shared" si="13"/>
        <v>3.3119999999999998</v>
      </c>
      <c r="AJ21" s="90">
        <f>INDEX(pigs!$D$3:$AO$60,$Y21,AJ$4)/1000*100</f>
        <v>0.76</v>
      </c>
      <c r="AK21" s="91">
        <f>INDEX(pigs!$D$3:$AO$60,$Y21,AK$4)/1000*100</f>
        <v>1</v>
      </c>
      <c r="AL21" s="115"/>
      <c r="AM21" s="111" t="s">
        <v>590</v>
      </c>
      <c r="AN21" t="s">
        <v>484</v>
      </c>
      <c r="AO21" s="67"/>
      <c r="AP21" s="58"/>
    </row>
    <row r="22" spans="2:42" x14ac:dyDescent="0.25">
      <c r="B22" t="s">
        <v>43</v>
      </c>
      <c r="C22" s="64">
        <f>100-9</f>
        <v>91</v>
      </c>
      <c r="D22" s="63">
        <f t="shared" si="8"/>
        <v>26.501456000000001</v>
      </c>
      <c r="E22" s="37">
        <f t="shared" si="17"/>
        <v>3.7359999999999998</v>
      </c>
      <c r="F22" s="90">
        <f t="shared" si="18"/>
        <v>0.57000000000000006</v>
      </c>
      <c r="G22" s="91">
        <f t="shared" si="19"/>
        <v>0.89500000000000002</v>
      </c>
      <c r="H22" s="98" t="s">
        <v>512</v>
      </c>
      <c r="I22" s="4"/>
      <c r="J22" s="67">
        <f>MATCH($B22,ruminants!$A$3:$A$120,0)</f>
        <v>45</v>
      </c>
      <c r="K22" s="36">
        <f>INDEX(ruminants!$D$3:$AH$120,$J22,K$4)</f>
        <v>93</v>
      </c>
      <c r="L22" s="76">
        <f t="shared" si="10"/>
        <v>26.501456000000001</v>
      </c>
      <c r="M22" s="37">
        <f>INDEX(ruminants!$D$3:$AH$120,$J22,M$4)</f>
        <v>20.100000000000001</v>
      </c>
      <c r="N22" s="37">
        <f>INDEX(ruminants!$D$3:$AH$120,$J22,N$4)</f>
        <v>20.8</v>
      </c>
      <c r="O22" s="64">
        <f>INDEX(ruminants!$D$3:$AH$120,$J22,O$4)</f>
        <v>240</v>
      </c>
      <c r="P22" s="38">
        <f>INDEX(ruminants!$D$3:$AH$120,$J22,P$4)</f>
        <v>380</v>
      </c>
      <c r="Q22" s="38">
        <f>INDEX(ruminants!$D$3:$AH$120,$J22,Q$4)</f>
        <v>70</v>
      </c>
      <c r="R22" s="38">
        <f>INDEX(ruminants!$D$3:$AH$120,$J22,R$4)</f>
        <v>270</v>
      </c>
      <c r="S22" s="41">
        <f>INDEX(ruminants!$D$3:$AH$120,$J22,S$4)</f>
        <v>40</v>
      </c>
      <c r="T22" s="37">
        <f t="shared" si="7"/>
        <v>3.84</v>
      </c>
      <c r="U22" s="90">
        <f>INDEX(ruminants!$D$3:$AH$120,$J22,U$4)/1000*100</f>
        <v>0.57000000000000006</v>
      </c>
      <c r="V22" s="91">
        <f>INDEX(ruminants!$D$3:$AH$120,$J22,V$4)/1000*100</f>
        <v>0.89999999999999991</v>
      </c>
      <c r="W22" s="115"/>
      <c r="Y22" s="67">
        <f>MATCH($B22,pigs!$A$3:$A$60,0)</f>
        <v>14</v>
      </c>
      <c r="Z22" s="36">
        <f>INDEX(pigs!$D$3:$AO$60,$Y22,Z$4)</f>
        <v>91</v>
      </c>
      <c r="AA22" s="76">
        <f t="shared" si="22"/>
        <v>27.712724000000005</v>
      </c>
      <c r="AB22" s="104">
        <v>20.9</v>
      </c>
      <c r="AC22" s="53">
        <f>INDEX(pigs!$D$3:$AO$60,$Y22,AC$4)</f>
        <v>17.3</v>
      </c>
      <c r="AD22" s="53">
        <f>INDEX(pigs!$D$3:$AO$60,$Y22,AD$4)</f>
        <v>17.5</v>
      </c>
      <c r="AE22" s="36">
        <f>INDEX(pigs!$D$3:$AO$60,$Y22,AE$4)</f>
        <v>227</v>
      </c>
      <c r="AF22" s="53">
        <f>INDEX(pigs!$D$3:$AO$60,$Y22,AF$4)</f>
        <v>437</v>
      </c>
      <c r="AG22" s="40">
        <f t="shared" si="23"/>
        <v>298</v>
      </c>
      <c r="AH22" s="54">
        <f>INDEX(pigs!$D$3:$AO$60,$Y22,AH$4)</f>
        <v>38</v>
      </c>
      <c r="AI22" s="37">
        <f t="shared" si="13"/>
        <v>3.6319999999999997</v>
      </c>
      <c r="AJ22" s="90">
        <f>INDEX(pigs!$D$3:$AO$60,$Y22,AJ$4)/1000*100</f>
        <v>0.57000000000000006</v>
      </c>
      <c r="AK22" s="91">
        <f>INDEX(pigs!$D$3:$AO$60,$Y22,AK$4)/1000*100</f>
        <v>0.89</v>
      </c>
      <c r="AL22" s="115"/>
      <c r="AM22" s="111" t="s">
        <v>591</v>
      </c>
      <c r="AN22" t="s">
        <v>484</v>
      </c>
      <c r="AO22" s="67"/>
      <c r="AP22" s="58"/>
    </row>
    <row r="23" spans="2:42" x14ac:dyDescent="0.25">
      <c r="B23" t="s">
        <v>310</v>
      </c>
      <c r="C23" s="64">
        <f t="shared" ref="C23:C36" si="24">AVERAGE(Z23,K23)</f>
        <v>100</v>
      </c>
      <c r="D23" s="63">
        <f t="shared" si="8"/>
        <v>39.329599999999999</v>
      </c>
      <c r="E23" s="37">
        <f t="shared" si="17"/>
        <v>0</v>
      </c>
      <c r="F23" s="90">
        <f t="shared" si="18"/>
        <v>0</v>
      </c>
      <c r="G23" s="91">
        <f t="shared" si="19"/>
        <v>0</v>
      </c>
      <c r="H23" s="4"/>
      <c r="I23" s="4"/>
      <c r="J23" s="67"/>
      <c r="K23" s="36">
        <v>100</v>
      </c>
      <c r="L23" s="76">
        <f>( 5.7*O23+9.4*P23+4.1*(Q23+R23) ) * 0.004184</f>
        <v>39.329599999999999</v>
      </c>
      <c r="M23" s="37">
        <v>36.6</v>
      </c>
      <c r="N23" s="113">
        <f>M23</f>
        <v>36.6</v>
      </c>
      <c r="O23" s="64">
        <v>0</v>
      </c>
      <c r="P23" s="38">
        <v>1000</v>
      </c>
      <c r="Q23" s="38">
        <v>0</v>
      </c>
      <c r="R23" s="38">
        <v>0</v>
      </c>
      <c r="S23" s="41">
        <v>0</v>
      </c>
      <c r="T23" s="37">
        <f t="shared" si="7"/>
        <v>0</v>
      </c>
      <c r="U23" s="90">
        <v>0</v>
      </c>
      <c r="V23" s="91">
        <v>0</v>
      </c>
      <c r="W23" s="116" t="s">
        <v>318</v>
      </c>
      <c r="X23" t="s">
        <v>484</v>
      </c>
      <c r="Y23" s="67">
        <f>MATCH($B23,pigs!$A$3:$A$60,0)</f>
        <v>28</v>
      </c>
      <c r="Z23" s="36">
        <f>INDEX(pigs!$D$3:$AO$60,$Y23,Z$4)</f>
        <v>100</v>
      </c>
      <c r="AA23" s="76">
        <f t="shared" si="22"/>
        <v>39.329599999999999</v>
      </c>
      <c r="AB23" s="104">
        <v>34.5</v>
      </c>
      <c r="AC23" s="53">
        <f>INDEX(pigs!$D$3:$AO$60,$Y23,AC$4)</f>
        <v>29.8</v>
      </c>
      <c r="AD23" s="53">
        <f>INDEX(pigs!$D$3:$AO$60,$Y23,AD$4)</f>
        <v>29.8</v>
      </c>
      <c r="AE23" s="36">
        <f>INDEX(pigs!$D$3:$AO$60,$Y23,AE$4)</f>
        <v>0</v>
      </c>
      <c r="AF23" s="53">
        <f>INDEX(pigs!$D$3:$AO$60,$Y23,AF$4)</f>
        <v>1000</v>
      </c>
      <c r="AG23" s="40">
        <f t="shared" si="23"/>
        <v>0</v>
      </c>
      <c r="AH23" s="54">
        <f>INDEX(pigs!$D$3:$AO$60,$Y23,AH$4)</f>
        <v>0</v>
      </c>
      <c r="AI23" s="37">
        <f t="shared" si="13"/>
        <v>0</v>
      </c>
      <c r="AJ23" s="90">
        <f>INDEX(pigs!$D$3:$AO$60,$Y23,AJ$4)/1000*100</f>
        <v>0</v>
      </c>
      <c r="AK23" s="91">
        <f>INDEX(pigs!$D$3:$AO$60,$Y23,AK$4)/1000*100</f>
        <v>0</v>
      </c>
      <c r="AL23" s="115"/>
      <c r="AM23" s="111" t="s">
        <v>318</v>
      </c>
      <c r="AN23" t="s">
        <v>484</v>
      </c>
      <c r="AO23" s="67">
        <f>MATCH($B23,poultry!$A$3:$A$41,0)</f>
        <v>1</v>
      </c>
      <c r="AP23" s="58">
        <f>INDEX(poultry!$D$3:$U$41,$AO23,AP$4)</f>
        <v>99</v>
      </c>
    </row>
    <row r="24" spans="2:42" x14ac:dyDescent="0.25">
      <c r="B24" t="s">
        <v>302</v>
      </c>
      <c r="C24" s="64">
        <f t="shared" si="24"/>
        <v>85</v>
      </c>
      <c r="D24" s="63">
        <f t="shared" si="8"/>
        <v>16.927627199999996</v>
      </c>
      <c r="E24" s="37">
        <f t="shared" si="17"/>
        <v>1.1040000000000001</v>
      </c>
      <c r="F24" s="90">
        <f t="shared" si="18"/>
        <v>0.26</v>
      </c>
      <c r="G24" s="91">
        <f t="shared" si="19"/>
        <v>1.6800000000000002</v>
      </c>
      <c r="H24" s="4"/>
      <c r="I24" s="4"/>
      <c r="J24" s="67">
        <f>MATCH($B24,ruminants!$A$3:$A$120,0)</f>
        <v>22</v>
      </c>
      <c r="K24" s="36">
        <f>INDEX(ruminants!$D$3:$AH$120,$J24,K$4)</f>
        <v>85</v>
      </c>
      <c r="L24" s="76">
        <f t="shared" si="10"/>
        <v>16.927627199999996</v>
      </c>
      <c r="M24" s="37">
        <f>INDEX(ruminants!$D$3:$AH$120,$J24,M$4)</f>
        <v>6.6</v>
      </c>
      <c r="N24" s="37">
        <f>INDEX(ruminants!$D$3:$AH$120,$J24,N$4)</f>
        <v>7.6</v>
      </c>
      <c r="O24" s="64">
        <f>INDEX(ruminants!$D$3:$AH$120,$J24,O$4)</f>
        <v>69</v>
      </c>
      <c r="P24" s="38">
        <f>INDEX(ruminants!$D$3:$AH$120,$J24,P$4)</f>
        <v>20</v>
      </c>
      <c r="Q24" s="38">
        <f>INDEX(ruminants!$D$3:$AH$120,$J24,Q$4)</f>
        <v>436</v>
      </c>
      <c r="R24" s="38">
        <f>INDEX(ruminants!$D$3:$AH$120,$J24,R$4)</f>
        <v>409</v>
      </c>
      <c r="S24" s="41">
        <f>INDEX(ruminants!$D$3:$AH$120,$J24,S$4)</f>
        <v>66</v>
      </c>
      <c r="T24" s="37">
        <f t="shared" si="7"/>
        <v>1.1040000000000001</v>
      </c>
      <c r="U24" s="90">
        <f>INDEX(ruminants!$D$3:$AH$120,$J24,U$4)/1000*100</f>
        <v>0.26</v>
      </c>
      <c r="V24" s="91">
        <f>INDEX(ruminants!$D$3:$AH$120,$J24,V$4)/1000*100</f>
        <v>1.6800000000000002</v>
      </c>
      <c r="W24" s="115"/>
      <c r="Y24" s="67"/>
      <c r="Z24" s="36"/>
      <c r="AA24" s="53"/>
      <c r="AB24" s="107"/>
      <c r="AC24" s="53"/>
      <c r="AD24" s="53"/>
      <c r="AE24" s="36"/>
      <c r="AF24" s="53"/>
      <c r="AG24" s="53"/>
      <c r="AH24" s="54"/>
      <c r="AI24" s="37"/>
      <c r="AJ24" s="90"/>
      <c r="AK24" s="91"/>
      <c r="AL24" s="115"/>
      <c r="AM24" s="111"/>
      <c r="AN24" t="s">
        <v>484</v>
      </c>
      <c r="AO24" s="67"/>
      <c r="AP24" s="58"/>
    </row>
    <row r="25" spans="2:42" x14ac:dyDescent="0.25">
      <c r="B25" t="s">
        <v>313</v>
      </c>
      <c r="C25" s="64">
        <f t="shared" si="24"/>
        <v>87</v>
      </c>
      <c r="D25" s="63">
        <f t="shared" si="8"/>
        <v>22.965976000000001</v>
      </c>
      <c r="E25" s="37">
        <f t="shared" si="17"/>
        <v>6.4</v>
      </c>
      <c r="F25" s="90">
        <f t="shared" si="18"/>
        <v>0.63</v>
      </c>
      <c r="G25" s="91">
        <f t="shared" si="19"/>
        <v>1.9</v>
      </c>
      <c r="H25" s="4"/>
      <c r="I25" s="4"/>
      <c r="J25" s="67">
        <f>MATCH($B25,ruminants!$A$3:$A$120,0)</f>
        <v>92</v>
      </c>
      <c r="K25" s="36">
        <f>INDEX(ruminants!$D$3:$AH$120,$J25,K$4)</f>
        <v>87</v>
      </c>
      <c r="L25" s="76">
        <f t="shared" si="10"/>
        <v>22.965976000000001</v>
      </c>
      <c r="M25" s="37">
        <f>INDEX(ruminants!$D$3:$AH$120,$J25,M$4)</f>
        <v>16.399999999999999</v>
      </c>
      <c r="N25" s="37">
        <f>INDEX(ruminants!$D$3:$AH$120,$J25,N$4)</f>
        <v>18.399999999999999</v>
      </c>
      <c r="O25" s="64">
        <f>INDEX(ruminants!$D$3:$AH$120,$J25,O$4)</f>
        <v>400</v>
      </c>
      <c r="P25" s="38">
        <f>INDEX(ruminants!$D$3:$AH$120,$J25,P$4)</f>
        <v>180</v>
      </c>
      <c r="Q25" s="38">
        <f>INDEX(ruminants!$D$3:$AH$120,$J25,Q$4)</f>
        <v>60</v>
      </c>
      <c r="R25" s="38">
        <f>INDEX(ruminants!$D$3:$AH$120,$J25,R$4)</f>
        <v>310</v>
      </c>
      <c r="S25" s="41">
        <f>INDEX(ruminants!$D$3:$AH$120,$J25,S$4)</f>
        <v>50</v>
      </c>
      <c r="T25" s="37">
        <f t="shared" si="7"/>
        <v>6.4</v>
      </c>
      <c r="U25" s="90">
        <f>INDEX(ruminants!$D$3:$AH$120,$J25,U$4)/1000*100</f>
        <v>0.63</v>
      </c>
      <c r="V25" s="91">
        <f>INDEX(ruminants!$D$3:$AH$120,$J25,V$4)/1000*100</f>
        <v>1.9</v>
      </c>
      <c r="W25" s="115"/>
      <c r="Y25" s="67"/>
      <c r="Z25" s="36"/>
      <c r="AA25" s="53"/>
      <c r="AB25" s="107"/>
      <c r="AC25" s="53"/>
      <c r="AD25" s="53"/>
      <c r="AE25" s="36"/>
      <c r="AF25" s="53"/>
      <c r="AG25" s="53"/>
      <c r="AH25" s="54"/>
      <c r="AI25" s="37"/>
      <c r="AJ25" s="90"/>
      <c r="AK25" s="91"/>
      <c r="AL25" s="115"/>
      <c r="AM25" s="111"/>
      <c r="AN25" t="s">
        <v>484</v>
      </c>
      <c r="AO25" s="67"/>
      <c r="AP25" s="58"/>
    </row>
    <row r="26" spans="2:42" x14ac:dyDescent="0.25">
      <c r="B26" t="s">
        <v>44</v>
      </c>
      <c r="C26" s="64">
        <f t="shared" si="24"/>
        <v>87.5</v>
      </c>
      <c r="D26" s="63">
        <f t="shared" si="8"/>
        <v>19.589487999999999</v>
      </c>
      <c r="E26" s="37">
        <f t="shared" si="17"/>
        <v>8.2080000000000002</v>
      </c>
      <c r="F26" s="90">
        <f t="shared" si="18"/>
        <v>0.71499999999999997</v>
      </c>
      <c r="G26" s="91">
        <f t="shared" si="19"/>
        <v>2.3499999999999996</v>
      </c>
      <c r="H26" s="4"/>
      <c r="I26" s="4"/>
      <c r="J26" s="67">
        <f>MATCH($B26,ruminants!$A$3:$A$120,0)</f>
        <v>93</v>
      </c>
      <c r="K26" s="36">
        <f>INDEX(ruminants!$D$3:$AH$120,$J26,K$4)</f>
        <v>87</v>
      </c>
      <c r="L26" s="76">
        <f t="shared" si="10"/>
        <v>19.589487999999999</v>
      </c>
      <c r="M26" s="37">
        <f>INDEX(ruminants!$D$3:$AH$120,$J26,M$4)</f>
        <v>14.6</v>
      </c>
      <c r="N26" s="37">
        <f>INDEX(ruminants!$D$3:$AH$120,$J26,N$4)</f>
        <v>17.8</v>
      </c>
      <c r="O26" s="64">
        <f>INDEX(ruminants!$D$3:$AH$120,$J26,O$4)</f>
        <v>510</v>
      </c>
      <c r="P26" s="38">
        <f>INDEX(ruminants!$D$3:$AH$120,$J26,P$4)</f>
        <v>10</v>
      </c>
      <c r="Q26" s="38">
        <f>INDEX(ruminants!$D$3:$AH$120,$J26,Q$4)</f>
        <v>60</v>
      </c>
      <c r="R26" s="38">
        <f>INDEX(ruminants!$D$3:$AH$120,$J26,R$4)</f>
        <v>350</v>
      </c>
      <c r="S26" s="41">
        <f>INDEX(ruminants!$D$3:$AH$120,$J26,S$4)</f>
        <v>70</v>
      </c>
      <c r="T26" s="37">
        <f t="shared" si="7"/>
        <v>8.16</v>
      </c>
      <c r="U26" s="90">
        <f>INDEX(ruminants!$D$3:$AH$120,$J26,U$4)/1000*100</f>
        <v>0.72</v>
      </c>
      <c r="V26" s="91">
        <f>INDEX(ruminants!$D$3:$AH$120,$J26,V$4)/1000*100</f>
        <v>2.2999999999999998</v>
      </c>
      <c r="W26" s="115"/>
      <c r="Y26" s="67">
        <f>MATCH($B26,pigs!$A$3:$A$60,0)</f>
        <v>43</v>
      </c>
      <c r="Z26" s="36">
        <f>INDEX(pigs!$D$3:$AO$60,$Y26,Z$4)</f>
        <v>88</v>
      </c>
      <c r="AA26" s="76">
        <f t="shared" ref="AA26:AA30" si="25">( 5.7*AE26+9.4*AF26+4.1*(AG26) ) * 0.004184</f>
        <v>19.822118400000001</v>
      </c>
      <c r="AB26" s="104">
        <v>16.8</v>
      </c>
      <c r="AC26" s="53">
        <f>INDEX(pigs!$D$3:$AO$60,$Y26,AC$4)</f>
        <v>9.3000000000000007</v>
      </c>
      <c r="AD26" s="53">
        <f>INDEX(pigs!$D$3:$AO$60,$Y26,AD$4)</f>
        <v>9.9</v>
      </c>
      <c r="AE26" s="36">
        <f>INDEX(pigs!$D$3:$AO$60,$Y26,AE$4)</f>
        <v>516</v>
      </c>
      <c r="AF26" s="53">
        <f>INDEX(pigs!$D$3:$AO$60,$Y26,AF$4)</f>
        <v>21</v>
      </c>
      <c r="AG26" s="40">
        <f t="shared" ref="AG26:AG30" si="26">1000-SUM(AE26:AF26,AH26)</f>
        <v>390</v>
      </c>
      <c r="AH26" s="54">
        <f>INDEX(pigs!$D$3:$AO$60,$Y26,AH$4)</f>
        <v>73</v>
      </c>
      <c r="AI26" s="37">
        <f t="shared" si="13"/>
        <v>8.2560000000000002</v>
      </c>
      <c r="AJ26" s="90">
        <f>INDEX(pigs!$D$3:$AO$60,$Y26,AJ$4)/1000*100</f>
        <v>0.71</v>
      </c>
      <c r="AK26" s="91">
        <f>INDEX(pigs!$D$3:$AO$60,$Y26,AK$4)/1000*100</f>
        <v>2.4</v>
      </c>
      <c r="AL26" s="115"/>
      <c r="AM26" s="111" t="s">
        <v>592</v>
      </c>
      <c r="AN26" t="s">
        <v>484</v>
      </c>
      <c r="AO26" s="67">
        <f>MATCH($B26,poultry!$A$3:$A$41,0)</f>
        <v>33</v>
      </c>
      <c r="AP26" s="58">
        <f>INDEX(poultry!$D$3:$U$41,$AO26,AP$4)</f>
        <v>87</v>
      </c>
    </row>
    <row r="27" spans="2:42" x14ac:dyDescent="0.25">
      <c r="B27" t="s">
        <v>45</v>
      </c>
      <c r="C27" s="64">
        <f t="shared" si="24"/>
        <v>87</v>
      </c>
      <c r="D27" s="63">
        <f>AA27</f>
        <v>20.560594400000003</v>
      </c>
      <c r="E27" s="37">
        <f t="shared" si="17"/>
        <v>9.7439999999999998</v>
      </c>
      <c r="F27" s="90">
        <f t="shared" si="18"/>
        <v>0.86999999999999988</v>
      </c>
      <c r="G27" s="91">
        <f t="shared" si="19"/>
        <v>2.5</v>
      </c>
      <c r="H27" s="4"/>
      <c r="I27" s="4"/>
      <c r="J27" s="67"/>
      <c r="K27" s="36"/>
      <c r="L27" s="53"/>
      <c r="M27" s="37"/>
      <c r="N27" s="37"/>
      <c r="O27" s="64"/>
      <c r="P27" s="38"/>
      <c r="Q27" s="38"/>
      <c r="R27" s="38"/>
      <c r="S27" s="41"/>
      <c r="T27" s="37"/>
      <c r="U27" s="38"/>
      <c r="V27" s="41"/>
      <c r="W27" s="115"/>
      <c r="Y27" s="67">
        <f>MATCH($B27,pigs!$A$3:$A$60,0)</f>
        <v>45</v>
      </c>
      <c r="Z27" s="36">
        <f>INDEX(pigs!$D$3:$AO$60,$Y27,Z$4)</f>
        <v>87</v>
      </c>
      <c r="AA27" s="76">
        <f t="shared" si="25"/>
        <v>20.560594400000003</v>
      </c>
      <c r="AB27" s="104">
        <v>17.3</v>
      </c>
      <c r="AC27" s="53">
        <f>INDEX(pigs!$D$3:$AO$60,$Y27,AC$4)</f>
        <v>9.6999999999999993</v>
      </c>
      <c r="AD27" s="53">
        <f>INDEX(pigs!$D$3:$AO$60,$Y27,AD$4)</f>
        <v>10.3</v>
      </c>
      <c r="AE27" s="36">
        <f>INDEX(pigs!$D$3:$AO$60,$Y27,AE$4)</f>
        <v>609</v>
      </c>
      <c r="AF27" s="53">
        <f>INDEX(pigs!$D$3:$AO$60,$Y27,AF$4)</f>
        <v>27</v>
      </c>
      <c r="AG27" s="40">
        <f t="shared" si="26"/>
        <v>290</v>
      </c>
      <c r="AH27" s="54">
        <f>INDEX(pigs!$D$3:$AO$60,$Y27,AH$4)</f>
        <v>74</v>
      </c>
      <c r="AI27" s="37">
        <f t="shared" si="13"/>
        <v>9.7439999999999998</v>
      </c>
      <c r="AJ27" s="90">
        <f>INDEX(pigs!$D$3:$AO$60,$Y27,AJ$4)/1000*100</f>
        <v>0.86999999999999988</v>
      </c>
      <c r="AK27" s="91">
        <f>INDEX(pigs!$D$3:$AO$60,$Y27,AK$4)/1000*100</f>
        <v>2.5</v>
      </c>
      <c r="AL27" s="115"/>
      <c r="AM27" s="111" t="s">
        <v>593</v>
      </c>
      <c r="AN27" t="s">
        <v>484</v>
      </c>
      <c r="AO27" s="67"/>
      <c r="AP27" s="58"/>
    </row>
    <row r="28" spans="2:42" x14ac:dyDescent="0.25">
      <c r="B28" t="s">
        <v>36</v>
      </c>
      <c r="C28" s="64">
        <f t="shared" si="24"/>
        <v>89.5</v>
      </c>
      <c r="D28" s="63">
        <f t="shared" ref="D28:D34" si="27">L28</f>
        <v>19.4920008</v>
      </c>
      <c r="E28" s="37">
        <f t="shared" si="17"/>
        <v>6.152000000000001</v>
      </c>
      <c r="F28" s="90">
        <f t="shared" si="18"/>
        <v>1.2450000000000001</v>
      </c>
      <c r="G28" s="91">
        <f t="shared" si="19"/>
        <v>1.55</v>
      </c>
      <c r="H28" s="4"/>
      <c r="I28" s="4"/>
      <c r="J28" s="67">
        <f>MATCH($B28,ruminants!$A$3:$A$120,0)</f>
        <v>70</v>
      </c>
      <c r="K28" s="36">
        <f>INDEX(ruminants!$D$3:$AH$120,$J28,K$4)</f>
        <v>90</v>
      </c>
      <c r="L28" s="76">
        <f t="shared" si="10"/>
        <v>19.4920008</v>
      </c>
      <c r="M28" s="37">
        <f>INDEX(ruminants!$D$3:$AH$120,$J28,M$4)</f>
        <v>12.2</v>
      </c>
      <c r="N28" s="37">
        <f>INDEX(ruminants!$D$3:$AH$120,$J28,N$4)</f>
        <v>14.6</v>
      </c>
      <c r="O28" s="64">
        <f>INDEX(ruminants!$D$3:$AH$120,$J28,O$4)</f>
        <v>389</v>
      </c>
      <c r="P28" s="38">
        <f>INDEX(ruminants!$D$3:$AH$120,$J28,P$4)</f>
        <v>46</v>
      </c>
      <c r="Q28" s="38">
        <f>INDEX(ruminants!$D$3:$AH$120,$J28,Q$4)</f>
        <v>140</v>
      </c>
      <c r="R28" s="38">
        <f>INDEX(ruminants!$D$3:$AH$120,$J28,R$4)</f>
        <v>350</v>
      </c>
      <c r="S28" s="41">
        <f>INDEX(ruminants!$D$3:$AH$120,$J28,S$4)</f>
        <v>75</v>
      </c>
      <c r="T28" s="37">
        <f t="shared" si="7"/>
        <v>6.2240000000000002</v>
      </c>
      <c r="U28" s="90">
        <f>INDEX(ruminants!$D$3:$AH$120,$J28,U$4)/1000*100</f>
        <v>1.2</v>
      </c>
      <c r="V28" s="91">
        <f>INDEX(ruminants!$D$3:$AH$120,$J28,V$4)/1000*100</f>
        <v>1.6</v>
      </c>
      <c r="W28" s="115"/>
      <c r="Y28" s="67">
        <f>MATCH($B28,pigs!$A$3:$A$60,0)</f>
        <v>36</v>
      </c>
      <c r="Z28" s="36">
        <f>INDEX(pigs!$D$3:$AO$60,$Y28,Z$4)</f>
        <v>89</v>
      </c>
      <c r="AA28" s="76">
        <f t="shared" si="25"/>
        <v>18.9196296</v>
      </c>
      <c r="AB28" s="104">
        <v>13.3</v>
      </c>
      <c r="AC28" s="53">
        <f>INDEX(pigs!$D$3:$AO$60,$Y28,AC$4)</f>
        <v>7.1</v>
      </c>
      <c r="AD28" s="53">
        <f>INDEX(pigs!$D$3:$AO$60,$Y28,AD$4)</f>
        <v>7.7</v>
      </c>
      <c r="AE28" s="36">
        <f>INDEX(pigs!$D$3:$AO$60,$Y28,AE$4)</f>
        <v>380</v>
      </c>
      <c r="AF28" s="53">
        <f>INDEX(pigs!$D$3:$AO$60,$Y28,AF$4)</f>
        <v>26</v>
      </c>
      <c r="AG28" s="40">
        <f t="shared" si="26"/>
        <v>515</v>
      </c>
      <c r="AH28" s="54">
        <f>INDEX(pigs!$D$3:$AO$60,$Y28,AH$4)</f>
        <v>79</v>
      </c>
      <c r="AI28" s="37">
        <f t="shared" si="13"/>
        <v>6.080000000000001</v>
      </c>
      <c r="AJ28" s="90">
        <f>INDEX(pigs!$D$3:$AO$60,$Y28,AJ$4)/1000*100</f>
        <v>1.29</v>
      </c>
      <c r="AK28" s="91">
        <f>INDEX(pigs!$D$3:$AO$60,$Y28,AK$4)/1000*100</f>
        <v>1.5</v>
      </c>
      <c r="AL28" s="115"/>
      <c r="AM28" s="111" t="s">
        <v>594</v>
      </c>
      <c r="AN28" t="s">
        <v>484</v>
      </c>
      <c r="AO28" s="67">
        <f>MATCH($B28,poultry!$A$3:$A$41,0)</f>
        <v>29</v>
      </c>
      <c r="AP28" s="58">
        <f>INDEX(poultry!$D$3:$U$41,$AO28,AP$4)</f>
        <v>90</v>
      </c>
    </row>
    <row r="29" spans="2:42" x14ac:dyDescent="0.25">
      <c r="B29" t="s">
        <v>46</v>
      </c>
      <c r="C29" s="64">
        <f t="shared" si="24"/>
        <v>91</v>
      </c>
      <c r="D29" s="63">
        <f t="shared" si="27"/>
        <v>19.083224000000001</v>
      </c>
      <c r="E29" s="37">
        <f t="shared" si="17"/>
        <v>6.6640000000000006</v>
      </c>
      <c r="F29" s="90">
        <f t="shared" si="18"/>
        <v>1.3050000000000002</v>
      </c>
      <c r="G29" s="91">
        <f t="shared" si="19"/>
        <v>1.75</v>
      </c>
      <c r="H29" s="4"/>
      <c r="I29" s="4"/>
      <c r="J29" s="67">
        <f>MATCH($B29,ruminants!$A$3:$A$120,0)</f>
        <v>99</v>
      </c>
      <c r="K29" s="36">
        <f>INDEX(ruminants!$D$3:$AH$120,$J29,K$4)</f>
        <v>92</v>
      </c>
      <c r="L29" s="76">
        <f t="shared" si="10"/>
        <v>19.083224000000001</v>
      </c>
      <c r="M29" s="37">
        <f>INDEX(ruminants!$D$3:$AH$120,$J29,M$4)</f>
        <v>11.4</v>
      </c>
      <c r="N29" s="37">
        <f>INDEX(ruminants!$D$3:$AH$120,$J29,N$4)</f>
        <v>14.1</v>
      </c>
      <c r="O29" s="64">
        <f>INDEX(ruminants!$D$3:$AH$120,$J29,O$4)</f>
        <v>460</v>
      </c>
      <c r="P29" s="38">
        <f>INDEX(ruminants!$D$3:$AH$120,$J29,P$4)</f>
        <v>10</v>
      </c>
      <c r="Q29" s="38">
        <f>INDEX(ruminants!$D$3:$AH$120,$J29,Q$4)</f>
        <v>170</v>
      </c>
      <c r="R29" s="38">
        <f>INDEX(ruminants!$D$3:$AH$120,$J29,R$4)</f>
        <v>280</v>
      </c>
      <c r="S29" s="41">
        <f>INDEX(ruminants!$D$3:$AH$120,$J29,S$4)</f>
        <v>80</v>
      </c>
      <c r="T29" s="37">
        <f t="shared" si="7"/>
        <v>7.3600000000000012</v>
      </c>
      <c r="U29" s="90">
        <f>INDEX(ruminants!$D$3:$AH$120,$J29,U$4)/1000*100</f>
        <v>1.35</v>
      </c>
      <c r="V29" s="91">
        <f>INDEX(ruminants!$D$3:$AH$120,$J29,V$4)/1000*100</f>
        <v>1.7999999999999998</v>
      </c>
      <c r="W29" s="115"/>
      <c r="Y29" s="67">
        <f>MATCH($B29,pigs!$A$3:$A$60,0)</f>
        <v>46</v>
      </c>
      <c r="Z29" s="36">
        <f>INDEX(pigs!$D$3:$AO$60,$Y29,Z$4)</f>
        <v>90</v>
      </c>
      <c r="AA29" s="76">
        <f t="shared" si="25"/>
        <v>18.786160000000002</v>
      </c>
      <c r="AB29" s="104">
        <v>10.3</v>
      </c>
      <c r="AC29" s="53">
        <f>INDEX(pigs!$D$3:$AO$60,$Y29,AC$4)</f>
        <v>5.9</v>
      </c>
      <c r="AD29" s="53">
        <f>INDEX(pigs!$D$3:$AO$60,$Y29,AD$4)</f>
        <v>6.5</v>
      </c>
      <c r="AE29" s="36">
        <f>INDEX(pigs!$D$3:$AO$60,$Y29,AE$4)</f>
        <v>373</v>
      </c>
      <c r="AF29" s="53">
        <f>INDEX(pigs!$D$3:$AO$60,$Y29,AF$4)</f>
        <v>19</v>
      </c>
      <c r="AG29" s="40">
        <f t="shared" si="26"/>
        <v>533</v>
      </c>
      <c r="AH29" s="54">
        <f>INDEX(pigs!$D$3:$AO$60,$Y29,AH$4)</f>
        <v>75</v>
      </c>
      <c r="AI29" s="37">
        <f t="shared" si="13"/>
        <v>5.968</v>
      </c>
      <c r="AJ29" s="90">
        <f>INDEX(pigs!$D$3:$AO$60,$Y29,AJ$4)/1000*100</f>
        <v>1.26</v>
      </c>
      <c r="AK29" s="91">
        <f>INDEX(pigs!$D$3:$AO$60,$Y29,AK$4)/1000*100</f>
        <v>1.7000000000000002</v>
      </c>
      <c r="AL29" s="115"/>
      <c r="AM29" s="111" t="s">
        <v>595</v>
      </c>
      <c r="AN29" t="s">
        <v>484</v>
      </c>
      <c r="AO29" s="67"/>
      <c r="AP29" s="58"/>
    </row>
    <row r="30" spans="2:42" x14ac:dyDescent="0.25">
      <c r="B30" t="s">
        <v>47</v>
      </c>
      <c r="C30" s="64">
        <f t="shared" si="24"/>
        <v>91</v>
      </c>
      <c r="D30" s="63">
        <f t="shared" si="27"/>
        <v>19.581538399999999</v>
      </c>
      <c r="E30" s="37">
        <f t="shared" si="17"/>
        <v>2.5360000000000005</v>
      </c>
      <c r="F30" s="90">
        <f t="shared" si="18"/>
        <v>0.64500000000000002</v>
      </c>
      <c r="G30" s="91">
        <f t="shared" si="19"/>
        <v>0.77500000000000002</v>
      </c>
      <c r="H30" s="4"/>
      <c r="I30" s="4"/>
      <c r="J30" s="67">
        <f>MATCH($B30,ruminants!$A$3:$A$120,0)</f>
        <v>60</v>
      </c>
      <c r="K30" s="36">
        <f>INDEX(ruminants!$D$3:$AH$120,$J30,K$4)</f>
        <v>91</v>
      </c>
      <c r="L30" s="76">
        <f t="shared" si="10"/>
        <v>19.581538399999999</v>
      </c>
      <c r="M30" s="37">
        <f>INDEX(ruminants!$D$3:$AH$120,$J30,M$4)</f>
        <v>13.4</v>
      </c>
      <c r="N30" s="37">
        <f>INDEX(ruminants!$D$3:$AH$120,$J30,N$4)</f>
        <v>15</v>
      </c>
      <c r="O30" s="64">
        <f>INDEX(ruminants!$D$3:$AH$120,$J30,O$4)</f>
        <v>154</v>
      </c>
      <c r="P30" s="38">
        <f>INDEX(ruminants!$D$3:$AH$120,$J30,P$4)</f>
        <v>97</v>
      </c>
      <c r="Q30" s="38">
        <f>INDEX(ruminants!$D$3:$AH$120,$J30,Q$4)</f>
        <v>228</v>
      </c>
      <c r="R30" s="38">
        <f>INDEX(ruminants!$D$3:$AH$120,$J30,R$4)</f>
        <v>477</v>
      </c>
      <c r="S30" s="41">
        <f>INDEX(ruminants!$D$3:$AH$120,$J30,S$4)</f>
        <v>44</v>
      </c>
      <c r="T30" s="37">
        <f t="shared" si="7"/>
        <v>2.4640000000000004</v>
      </c>
      <c r="U30" s="90">
        <f>INDEX(ruminants!$D$3:$AH$120,$J30,U$4)/1000*100</f>
        <v>0.65</v>
      </c>
      <c r="V30" s="91">
        <f>INDEX(ruminants!$D$3:$AH$120,$J30,V$4)/1000*100</f>
        <v>0.8</v>
      </c>
      <c r="W30" s="115"/>
      <c r="Y30" s="67">
        <f>MATCH($B30,pigs!$A$3:$A$60,0)</f>
        <v>29</v>
      </c>
      <c r="Z30" s="36">
        <f>INDEX(pigs!$D$3:$AO$60,$Y30,Z$4)</f>
        <v>91</v>
      </c>
      <c r="AA30" s="76">
        <f t="shared" si="25"/>
        <v>19.540953599999998</v>
      </c>
      <c r="AB30" s="104">
        <v>8.4</v>
      </c>
      <c r="AC30" s="53">
        <f>INDEX(pigs!$D$3:$AO$60,$Y30,AC$4)</f>
        <v>5.4</v>
      </c>
      <c r="AD30" s="53">
        <f>INDEX(pigs!$D$3:$AO$60,$Y30,AD$4)</f>
        <v>6.2</v>
      </c>
      <c r="AE30" s="36">
        <f>INDEX(pigs!$D$3:$AO$60,$Y30,AE$4)</f>
        <v>163</v>
      </c>
      <c r="AF30" s="53">
        <f>INDEX(pigs!$D$3:$AO$60,$Y30,AF$4)</f>
        <v>94</v>
      </c>
      <c r="AG30" s="40">
        <f t="shared" si="26"/>
        <v>697</v>
      </c>
      <c r="AH30" s="54">
        <f>INDEX(pigs!$D$3:$AO$60,$Y30,AH$4)</f>
        <v>46</v>
      </c>
      <c r="AI30" s="37">
        <f t="shared" si="13"/>
        <v>2.6080000000000001</v>
      </c>
      <c r="AJ30" s="90">
        <f>INDEX(pigs!$D$3:$AO$60,$Y30,AJ$4)/1000*100</f>
        <v>0.64</v>
      </c>
      <c r="AK30" s="91">
        <f>INDEX(pigs!$D$3:$AO$60,$Y30,AK$4)/1000*100</f>
        <v>0.75</v>
      </c>
      <c r="AL30" s="115"/>
      <c r="AM30" s="111"/>
      <c r="AN30" t="s">
        <v>484</v>
      </c>
      <c r="AO30" s="67"/>
      <c r="AP30" s="58"/>
    </row>
    <row r="31" spans="2:42" x14ac:dyDescent="0.25">
      <c r="B31" t="s">
        <v>314</v>
      </c>
      <c r="C31" s="64">
        <f t="shared" si="24"/>
        <v>90</v>
      </c>
      <c r="D31" s="63">
        <f t="shared" si="27"/>
        <v>16.971140800000001</v>
      </c>
      <c r="E31" s="37">
        <f t="shared" si="17"/>
        <v>2.9279999999999999</v>
      </c>
      <c r="F31" s="90">
        <f t="shared" si="18"/>
        <v>0.27</v>
      </c>
      <c r="G31" s="91">
        <f t="shared" si="19"/>
        <v>2.56</v>
      </c>
      <c r="H31" s="4"/>
      <c r="I31" s="4"/>
      <c r="J31" s="67"/>
      <c r="K31" s="36">
        <v>90</v>
      </c>
      <c r="L31" s="76">
        <f t="shared" si="10"/>
        <v>16.971140800000001</v>
      </c>
      <c r="M31" s="37">
        <v>8.5</v>
      </c>
      <c r="N31" s="37">
        <v>10.7</v>
      </c>
      <c r="O31" s="64">
        <v>183</v>
      </c>
      <c r="P31" s="38">
        <v>27</v>
      </c>
      <c r="Q31" s="38">
        <v>286</v>
      </c>
      <c r="R31" s="40">
        <f>1000-SUM(O31:Q31,S31)</f>
        <v>387</v>
      </c>
      <c r="S31" s="41">
        <v>117</v>
      </c>
      <c r="T31" s="37">
        <f t="shared" si="7"/>
        <v>2.9279999999999999</v>
      </c>
      <c r="U31" s="90">
        <f>2.7/1000*100</f>
        <v>0.27</v>
      </c>
      <c r="V31" s="91">
        <f>25.6/1000*100</f>
        <v>2.56</v>
      </c>
      <c r="W31" s="116" t="s">
        <v>315</v>
      </c>
      <c r="X31" s="11" t="s">
        <v>484</v>
      </c>
      <c r="Y31" s="67"/>
      <c r="Z31" s="36"/>
      <c r="AA31" s="53"/>
      <c r="AB31" s="107"/>
      <c r="AC31" s="53"/>
      <c r="AD31" s="53"/>
      <c r="AE31" s="36"/>
      <c r="AF31" s="53"/>
      <c r="AG31" s="53"/>
      <c r="AH31" s="54"/>
      <c r="AI31" s="37"/>
      <c r="AJ31" s="90"/>
      <c r="AK31" s="91"/>
      <c r="AL31" s="115"/>
      <c r="AM31" s="111"/>
      <c r="AN31" t="s">
        <v>484</v>
      </c>
      <c r="AO31" s="67"/>
      <c r="AP31" s="58"/>
    </row>
    <row r="32" spans="2:42" x14ac:dyDescent="0.25">
      <c r="B32" t="s">
        <v>48</v>
      </c>
      <c r="C32" s="64">
        <f t="shared" si="24"/>
        <v>87</v>
      </c>
      <c r="D32" s="63">
        <f t="shared" si="27"/>
        <v>18.194124000000002</v>
      </c>
      <c r="E32" s="37">
        <f t="shared" si="17"/>
        <v>2.6399999999999997</v>
      </c>
      <c r="F32" s="90">
        <f t="shared" si="18"/>
        <v>1.1950000000000001</v>
      </c>
      <c r="G32" s="91">
        <f t="shared" si="19"/>
        <v>1.35</v>
      </c>
      <c r="H32" s="4"/>
      <c r="I32" s="4"/>
      <c r="J32" s="67">
        <f>MATCH($B32,ruminants!$A$3:$A$120,0)</f>
        <v>111</v>
      </c>
      <c r="K32" s="36">
        <f>INDEX(ruminants!$D$3:$AH$120,$J32,K$4)</f>
        <v>87</v>
      </c>
      <c r="L32" s="76">
        <f t="shared" si="10"/>
        <v>18.194124000000002</v>
      </c>
      <c r="M32" s="37">
        <f>INDEX(ruminants!$D$3:$AH$120,$J32,M$4)</f>
        <v>11</v>
      </c>
      <c r="N32" s="37">
        <f>INDEX(ruminants!$D$3:$AH$120,$J32,N$4)</f>
        <v>12.7</v>
      </c>
      <c r="O32" s="64">
        <f>INDEX(ruminants!$D$3:$AH$120,$J32,O$4)</f>
        <v>160</v>
      </c>
      <c r="P32" s="38">
        <f>INDEX(ruminants!$D$3:$AH$120,$J32,P$4)</f>
        <v>45</v>
      </c>
      <c r="Q32" s="38">
        <f>INDEX(ruminants!$D$3:$AH$120,$J32,Q$4)</f>
        <v>115</v>
      </c>
      <c r="R32" s="38">
        <f>INDEX(ruminants!$D$3:$AH$120,$J32,R$4)</f>
        <v>620</v>
      </c>
      <c r="S32" s="41">
        <f>INDEX(ruminants!$D$3:$AH$120,$J32,S$4)</f>
        <v>60</v>
      </c>
      <c r="T32" s="37">
        <f t="shared" si="7"/>
        <v>2.56</v>
      </c>
      <c r="U32" s="90">
        <f>INDEX(ruminants!$D$3:$AH$120,$J32,U$4)/1000*100</f>
        <v>1.2</v>
      </c>
      <c r="V32" s="91">
        <f>INDEX(ruminants!$D$3:$AH$120,$J32,V$4)/1000*100</f>
        <v>1.2</v>
      </c>
      <c r="W32" s="115"/>
      <c r="Y32" s="67">
        <f>MATCH($B32,pigs!$A$3:$A$60,0)</f>
        <v>55</v>
      </c>
      <c r="Z32" s="36">
        <f>INDEX(pigs!$D$3:$AO$60,$Y32,Z$4)</f>
        <v>87</v>
      </c>
      <c r="AA32" s="76">
        <f t="shared" ref="AA32:AA37" si="28">( 5.7*AE32+9.4*AF32+4.1*(AG32) ) * 0.004184</f>
        <v>18.184500799999999</v>
      </c>
      <c r="AB32" s="104">
        <v>10.8</v>
      </c>
      <c r="AC32" s="53">
        <f>INDEX(pigs!$D$3:$AO$60,$Y32,AC$4)</f>
        <v>7.2</v>
      </c>
      <c r="AD32" s="53">
        <f>INDEX(pigs!$D$3:$AO$60,$Y32,AD$4)</f>
        <v>7.8</v>
      </c>
      <c r="AE32" s="36">
        <f>INDEX(pigs!$D$3:$AO$60,$Y32,AE$4)</f>
        <v>170</v>
      </c>
      <c r="AF32" s="53">
        <f>INDEX(pigs!$D$3:$AO$60,$Y32,AF$4)</f>
        <v>40</v>
      </c>
      <c r="AG32" s="40">
        <f t="shared" ref="AG32:AG36" si="29">1000-SUM(AE32:AF32,AH32)</f>
        <v>732</v>
      </c>
      <c r="AH32" s="54">
        <f>INDEX(pigs!$D$3:$AO$60,$Y32,AH$4)</f>
        <v>58</v>
      </c>
      <c r="AI32" s="37">
        <f t="shared" si="13"/>
        <v>2.7199999999999998</v>
      </c>
      <c r="AJ32" s="90">
        <f>INDEX(pigs!$D$3:$AO$60,$Y32,AJ$4)/1000*100</f>
        <v>1.1900000000000002</v>
      </c>
      <c r="AK32" s="91">
        <f>INDEX(pigs!$D$3:$AO$60,$Y32,AK$4)/1000*100</f>
        <v>1.5</v>
      </c>
      <c r="AL32" s="115"/>
      <c r="AM32" s="111" t="s">
        <v>596</v>
      </c>
      <c r="AN32" t="s">
        <v>484</v>
      </c>
      <c r="AO32" s="67">
        <f>MATCH($B32,poultry!$A$3:$A$41,0)</f>
        <v>38</v>
      </c>
      <c r="AP32" s="58">
        <f>INDEX(poultry!$D$3:$U$41,$AO32,AP$4)</f>
        <v>87</v>
      </c>
    </row>
    <row r="33" spans="2:42" x14ac:dyDescent="0.25">
      <c r="B33" t="s">
        <v>49</v>
      </c>
      <c r="C33" s="64">
        <f t="shared" si="24"/>
        <v>87.8</v>
      </c>
      <c r="D33" s="63">
        <f t="shared" si="27"/>
        <v>18.472360000000002</v>
      </c>
      <c r="E33" s="37">
        <f t="shared" si="17"/>
        <v>2.6160000000000001</v>
      </c>
      <c r="F33" s="90">
        <f t="shared" si="18"/>
        <v>0.81500000000000006</v>
      </c>
      <c r="G33" s="91">
        <f t="shared" si="19"/>
        <v>0.96</v>
      </c>
      <c r="H33" s="4"/>
      <c r="I33" s="4"/>
      <c r="J33" s="67"/>
      <c r="K33" s="64">
        <v>87.6</v>
      </c>
      <c r="L33" s="76">
        <f t="shared" si="10"/>
        <v>18.472360000000002</v>
      </c>
      <c r="M33" s="37">
        <v>13.3</v>
      </c>
      <c r="N33" s="37">
        <f>L33*0.846</f>
        <v>15.627616560000002</v>
      </c>
      <c r="O33" s="64">
        <v>151</v>
      </c>
      <c r="P33" s="38">
        <v>27</v>
      </c>
      <c r="Q33" s="38">
        <v>11</v>
      </c>
      <c r="R33" s="40">
        <f>1000-SUM(O33:Q33,S33)</f>
        <v>794</v>
      </c>
      <c r="S33" s="44">
        <v>17</v>
      </c>
      <c r="T33" s="37">
        <f t="shared" si="7"/>
        <v>2.4159999999999999</v>
      </c>
      <c r="U33" s="90">
        <f>4.4/1000*100</f>
        <v>0.44</v>
      </c>
      <c r="V33" s="91">
        <f>6.2/1000*100</f>
        <v>0.62</v>
      </c>
      <c r="W33" s="116" t="s">
        <v>504</v>
      </c>
      <c r="X33" s="11" t="s">
        <v>484</v>
      </c>
      <c r="Y33" s="67">
        <f>MATCH($B33,pigs!$A$3:$A$60,0)</f>
        <v>54</v>
      </c>
      <c r="Z33" s="36">
        <f>INDEX(pigs!$D$3:$AO$60,$Y33,Z$4)</f>
        <v>88</v>
      </c>
      <c r="AA33" s="76">
        <f t="shared" si="28"/>
        <v>18.379056800000001</v>
      </c>
      <c r="AB33" s="104">
        <v>17.5</v>
      </c>
      <c r="AC33" s="53">
        <f>INDEX(pigs!$D$3:$AO$60,$Y33,AC$4)</f>
        <v>8.6999999999999993</v>
      </c>
      <c r="AD33" s="53">
        <f>INDEX(pigs!$D$3:$AO$60,$Y33,AD$4)</f>
        <v>9.1999999999999993</v>
      </c>
      <c r="AE33" s="36">
        <f>INDEX(pigs!$D$3:$AO$60,$Y33,AE$4)</f>
        <v>176</v>
      </c>
      <c r="AF33" s="53">
        <f>INDEX(pigs!$D$3:$AO$60,$Y33,AF$4)</f>
        <v>40</v>
      </c>
      <c r="AG33" s="40">
        <f t="shared" si="29"/>
        <v>735</v>
      </c>
      <c r="AH33" s="54">
        <f>INDEX(pigs!$D$3:$AO$60,$Y33,AH$4)</f>
        <v>49</v>
      </c>
      <c r="AI33" s="37">
        <f t="shared" si="13"/>
        <v>2.8160000000000003</v>
      </c>
      <c r="AJ33" s="90">
        <f>INDEX(pigs!$D$3:$AO$60,$Y33,AJ$4)/1000*100</f>
        <v>1.1900000000000002</v>
      </c>
      <c r="AK33" s="91">
        <f>INDEX(pigs!$D$3:$AO$60,$Y33,AK$4)/1000*100</f>
        <v>1.3</v>
      </c>
      <c r="AL33" s="115"/>
      <c r="AM33" s="111" t="s">
        <v>504</v>
      </c>
      <c r="AN33" t="s">
        <v>484</v>
      </c>
      <c r="AO33" s="67">
        <f>MATCH($B33,poultry!$A$3:$A$41,0)</f>
        <v>36</v>
      </c>
      <c r="AP33" s="58">
        <f>INDEX(poultry!$D$3:$U$41,$AO33,AP$4)</f>
        <v>87</v>
      </c>
    </row>
    <row r="34" spans="2:42" x14ac:dyDescent="0.25">
      <c r="B34" t="s">
        <v>50</v>
      </c>
      <c r="C34" s="64">
        <f t="shared" si="24"/>
        <v>90</v>
      </c>
      <c r="D34" s="63">
        <f t="shared" si="27"/>
        <v>19.659779199999999</v>
      </c>
      <c r="E34" s="37">
        <f t="shared" si="17"/>
        <v>5.2799999999999994</v>
      </c>
      <c r="F34" s="90">
        <f t="shared" si="18"/>
        <v>0.88</v>
      </c>
      <c r="G34" s="91">
        <f t="shared" si="19"/>
        <v>1.165</v>
      </c>
      <c r="H34" s="4"/>
      <c r="I34" s="4"/>
      <c r="J34" s="67">
        <f>MATCH($B34,ruminants!$A$3:$A$120,0)</f>
        <v>109</v>
      </c>
      <c r="K34" s="36">
        <f>INDEX(ruminants!$D$3:$AH$120,$J34,K$4)</f>
        <v>90</v>
      </c>
      <c r="L34" s="76">
        <f t="shared" si="10"/>
        <v>19.659779199999999</v>
      </c>
      <c r="M34" s="37">
        <f>INDEX(ruminants!$D$3:$AH$120,$J34,M$4)</f>
        <v>13.3</v>
      </c>
      <c r="N34" s="37">
        <f>INDEX(ruminants!$D$3:$AH$120,$J34,N$4)</f>
        <v>15.7</v>
      </c>
      <c r="O34" s="64">
        <f>INDEX(ruminants!$D$3:$AH$120,$J34,O$4)</f>
        <v>320</v>
      </c>
      <c r="P34" s="38">
        <f>INDEX(ruminants!$D$3:$AH$120,$J34,P$4)</f>
        <v>45</v>
      </c>
      <c r="Q34" s="38">
        <f>INDEX(ruminants!$D$3:$AH$120,$J34,Q$4)</f>
        <v>106</v>
      </c>
      <c r="R34" s="38">
        <f>INDEX(ruminants!$D$3:$AH$120,$J34,R$4)</f>
        <v>492</v>
      </c>
      <c r="S34" s="41">
        <f>INDEX(ruminants!$D$3:$AH$120,$J34,S$4)</f>
        <v>37</v>
      </c>
      <c r="T34" s="37">
        <f t="shared" si="7"/>
        <v>5.12</v>
      </c>
      <c r="U34" s="90">
        <f>INDEX(ruminants!$D$3:$AH$120,$J34,U$4)/1000*100</f>
        <v>1.03</v>
      </c>
      <c r="V34" s="91">
        <f>INDEX(ruminants!$D$3:$AH$120,$J34,V$4)/1000*100</f>
        <v>1.3699999999999999</v>
      </c>
      <c r="W34" s="115"/>
      <c r="Y34" s="67">
        <f>MATCH($B34,pigs!$A$3:$A$60,0)</f>
        <v>3</v>
      </c>
      <c r="Z34" s="36">
        <f>INDEX(pigs!$D$3:$AO$60,$Y34,Z$4)</f>
        <v>90</v>
      </c>
      <c r="AA34" s="76">
        <f t="shared" si="28"/>
        <v>20.139265599999998</v>
      </c>
      <c r="AB34" s="104">
        <v>13.9</v>
      </c>
      <c r="AC34" s="53">
        <f>INDEX(pigs!$D$3:$AO$60,$Y34,AC$4)</f>
        <v>8.1</v>
      </c>
      <c r="AD34" s="53">
        <f>INDEX(pigs!$D$3:$AO$60,$Y34,AD$4)</f>
        <v>8.6999999999999993</v>
      </c>
      <c r="AE34" s="36">
        <f>INDEX(pigs!$D$3:$AO$60,$Y34,AE$4)</f>
        <v>340</v>
      </c>
      <c r="AF34" s="53">
        <f>INDEX(pigs!$D$3:$AO$60,$Y34,AF$4)</f>
        <v>66</v>
      </c>
      <c r="AG34" s="40">
        <f t="shared" si="29"/>
        <v>550</v>
      </c>
      <c r="AH34" s="54">
        <f>INDEX(pigs!$D$3:$AO$60,$Y34,AH$4)</f>
        <v>44</v>
      </c>
      <c r="AI34" s="37">
        <f t="shared" si="13"/>
        <v>5.4399999999999995</v>
      </c>
      <c r="AJ34" s="90">
        <f>INDEX(pigs!$D$3:$AO$60,$Y34,AJ$4)/1000*100</f>
        <v>0.73</v>
      </c>
      <c r="AK34" s="91">
        <f>INDEX(pigs!$D$3:$AO$60,$Y34,AK$4)/1000*100</f>
        <v>0.96</v>
      </c>
      <c r="AL34" s="115"/>
      <c r="AM34" s="111" t="s">
        <v>597</v>
      </c>
      <c r="AN34" t="s">
        <v>484</v>
      </c>
      <c r="AO34" s="67"/>
      <c r="AP34" s="58"/>
    </row>
    <row r="35" spans="2:42" x14ac:dyDescent="0.25">
      <c r="B35" t="s">
        <v>51</v>
      </c>
      <c r="C35" s="64">
        <f t="shared" si="24"/>
        <v>11</v>
      </c>
      <c r="D35" s="63">
        <f>AA35</f>
        <v>18.8602168</v>
      </c>
      <c r="E35" s="37">
        <f t="shared" si="17"/>
        <v>4.4800000000000004</v>
      </c>
      <c r="F35" s="90">
        <f t="shared" si="18"/>
        <v>1.0900000000000001</v>
      </c>
      <c r="G35" s="91">
        <f t="shared" si="19"/>
        <v>0</v>
      </c>
      <c r="H35" s="4"/>
      <c r="I35" s="4"/>
      <c r="J35" s="67"/>
      <c r="K35" s="36"/>
      <c r="L35" s="53"/>
      <c r="M35" s="37"/>
      <c r="N35" s="37"/>
      <c r="O35" s="64"/>
      <c r="P35" s="38"/>
      <c r="Q35" s="38"/>
      <c r="R35" s="38"/>
      <c r="S35" s="41"/>
      <c r="T35" s="37"/>
      <c r="U35" s="38"/>
      <c r="V35" s="41"/>
      <c r="W35" s="115"/>
      <c r="Y35" s="67">
        <f>MATCH($B35,pigs!$A$3:$A$60,0)</f>
        <v>1</v>
      </c>
      <c r="Z35" s="36">
        <f>INDEX(pigs!$D$3:$AO$60,$Y35,Z$4)</f>
        <v>11</v>
      </c>
      <c r="AA35" s="76">
        <f t="shared" si="28"/>
        <v>18.8602168</v>
      </c>
      <c r="AB35" s="113">
        <f>(AB34/AA34)*AA35</f>
        <v>13.017208210412599</v>
      </c>
      <c r="AC35" s="53">
        <f>INDEX(pigs!$D$3:$AO$60,$Y35,AC$4)</f>
        <v>8.1999999999999993</v>
      </c>
      <c r="AD35" s="53">
        <f>INDEX(pigs!$D$3:$AO$60,$Y35,AD$4)</f>
        <v>8.9</v>
      </c>
      <c r="AE35" s="36">
        <f>INDEX(pigs!$D$3:$AO$60,$Y35,AE$4)</f>
        <v>280</v>
      </c>
      <c r="AF35" s="53">
        <f>INDEX(pigs!$D$3:$AO$60,$Y35,AF$4)</f>
        <v>45</v>
      </c>
      <c r="AG35" s="40">
        <f t="shared" si="29"/>
        <v>607</v>
      </c>
      <c r="AH35" s="54">
        <f>INDEX(pigs!$D$3:$AO$60,$Y35,AH$4)</f>
        <v>68</v>
      </c>
      <c r="AI35" s="37">
        <f t="shared" si="13"/>
        <v>4.4800000000000004</v>
      </c>
      <c r="AJ35" s="90">
        <f>INDEX(pigs!$D$3:$AO$60,$Y35,AJ$4)/1000*100</f>
        <v>1.0900000000000001</v>
      </c>
      <c r="AK35" s="91">
        <f>INDEX(pigs!$D$3:$AO$60,$Y35,AK$4)/1000*100</f>
        <v>0</v>
      </c>
      <c r="AL35" s="115"/>
      <c r="AM35" s="111"/>
      <c r="AN35" t="s">
        <v>484</v>
      </c>
      <c r="AO35" s="67"/>
      <c r="AP35" s="58"/>
    </row>
    <row r="36" spans="2:42" x14ac:dyDescent="0.25">
      <c r="B36" t="s">
        <v>309</v>
      </c>
      <c r="C36" s="64">
        <f t="shared" si="24"/>
        <v>90</v>
      </c>
      <c r="D36" s="63">
        <f>L36</f>
        <v>19.848896</v>
      </c>
      <c r="E36" s="37">
        <f t="shared" si="17"/>
        <v>3.984</v>
      </c>
      <c r="F36" s="90">
        <f t="shared" si="18"/>
        <v>0.56000000000000005</v>
      </c>
      <c r="G36" s="91">
        <f t="shared" si="19"/>
        <v>0.19500000000000001</v>
      </c>
      <c r="H36" s="4"/>
      <c r="I36" s="4"/>
      <c r="J36" s="67">
        <f>MATCH($B36,ruminants!$A$3:$A$120,0)</f>
        <v>38</v>
      </c>
      <c r="K36" s="36">
        <f>INDEX(ruminants!$D$3:$AH$120,$J36,K$4)</f>
        <v>90</v>
      </c>
      <c r="L36" s="76">
        <f t="shared" si="10"/>
        <v>19.848896</v>
      </c>
      <c r="M36" s="37">
        <f>INDEX(ruminants!$D$3:$AH$120,$J36,M$4)</f>
        <v>11.6</v>
      </c>
      <c r="N36" s="37">
        <f>INDEX(ruminants!$D$3:$AH$120,$J36,N$4)</f>
        <v>13.6</v>
      </c>
      <c r="O36" s="64">
        <f>INDEX(ruminants!$D$3:$AH$120,$J36,O$4)</f>
        <v>240</v>
      </c>
      <c r="P36" s="38">
        <f>INDEX(ruminants!$D$3:$AH$120,$J36,P$4)</f>
        <v>80</v>
      </c>
      <c r="Q36" s="38">
        <f>INDEX(ruminants!$D$3:$AH$120,$J36,Q$4)</f>
        <v>170</v>
      </c>
      <c r="R36" s="38">
        <f>INDEX(ruminants!$D$3:$AH$120,$J36,R$4)</f>
        <v>470</v>
      </c>
      <c r="S36" s="41">
        <f>INDEX(ruminants!$D$3:$AH$120,$J36,S$4)</f>
        <v>40</v>
      </c>
      <c r="T36" s="37">
        <f t="shared" si="7"/>
        <v>3.84</v>
      </c>
      <c r="U36" s="90">
        <f>INDEX(ruminants!$D$3:$AH$120,$J36,U$4)/1000*100</f>
        <v>0.54999999999999993</v>
      </c>
      <c r="V36" s="91">
        <f>INDEX(ruminants!$D$3:$AH$120,$J36,V$4)/1000*100</f>
        <v>0.1</v>
      </c>
      <c r="W36" s="115"/>
      <c r="Y36" s="67"/>
      <c r="Z36" s="36">
        <v>90</v>
      </c>
      <c r="AA36" s="76">
        <f t="shared" si="28"/>
        <v>19.578191199999999</v>
      </c>
      <c r="AB36" s="104">
        <v>10.6</v>
      </c>
      <c r="AC36" s="73">
        <v>6.6</v>
      </c>
      <c r="AD36" s="82">
        <f>AD34/AC34*AC36</f>
        <v>7.0888888888888877</v>
      </c>
      <c r="AE36" s="87">
        <v>258</v>
      </c>
      <c r="AF36" s="73">
        <v>67</v>
      </c>
      <c r="AG36" s="40">
        <f t="shared" si="29"/>
        <v>629</v>
      </c>
      <c r="AH36" s="44">
        <v>46</v>
      </c>
      <c r="AI36" s="37">
        <f t="shared" si="13"/>
        <v>4.1280000000000001</v>
      </c>
      <c r="AJ36" s="90">
        <f>5.7/1000*100</f>
        <v>0.57000000000000006</v>
      </c>
      <c r="AK36" s="91">
        <f>2.9/1000*100</f>
        <v>0.28999999999999998</v>
      </c>
      <c r="AL36" s="116" t="s">
        <v>599</v>
      </c>
      <c r="AM36" s="111" t="s">
        <v>598</v>
      </c>
      <c r="AN36" t="s">
        <v>484</v>
      </c>
      <c r="AO36" s="67"/>
      <c r="AP36" s="58"/>
    </row>
    <row r="37" spans="2:42" x14ac:dyDescent="0.25">
      <c r="B37" t="s">
        <v>380</v>
      </c>
      <c r="C37" s="64">
        <f>AVERAGE(Z37,K37,AP37)</f>
        <v>88.5</v>
      </c>
      <c r="D37" s="63">
        <f>AA37</f>
        <v>22.900705599999998</v>
      </c>
      <c r="E37" s="37">
        <f t="shared" si="17"/>
        <v>10.832000000000001</v>
      </c>
      <c r="F37" s="90">
        <f t="shared" si="18"/>
        <v>0.64</v>
      </c>
      <c r="G37" s="91">
        <f t="shared" si="19"/>
        <v>0.54999999999999993</v>
      </c>
      <c r="H37" s="4"/>
      <c r="I37" s="4"/>
      <c r="J37" s="67"/>
      <c r="K37" s="36"/>
      <c r="L37" s="53"/>
      <c r="M37" s="37"/>
      <c r="N37" s="37"/>
      <c r="O37" s="64"/>
      <c r="P37" s="38"/>
      <c r="Q37" s="38"/>
      <c r="R37" s="38"/>
      <c r="S37" s="41"/>
      <c r="T37" s="37"/>
      <c r="U37" s="38"/>
      <c r="V37" s="41"/>
      <c r="W37" s="115"/>
      <c r="Y37" s="67">
        <f>MATCH($B37,pigs!$A$3:$A$60,0)</f>
        <v>22</v>
      </c>
      <c r="Z37" s="36">
        <f>INDEX(pigs!$D$3:$AO$60,$Y37,Z$4)</f>
        <v>90</v>
      </c>
      <c r="AA37" s="76">
        <f t="shared" si="28"/>
        <v>22.900705599999998</v>
      </c>
      <c r="AB37" s="104">
        <v>21.4</v>
      </c>
      <c r="AC37" s="53">
        <f>INDEX(pigs!$D$3:$AO$60,$Y37,AC$4)</f>
        <v>12.9</v>
      </c>
      <c r="AD37" s="53">
        <f>INDEX(pigs!$D$3:$AO$60,$Y37,AD$4)</f>
        <v>13.3</v>
      </c>
      <c r="AE37" s="36">
        <f>INDEX(pigs!$D$3:$AO$60,$Y37,AE$4)</f>
        <v>677</v>
      </c>
      <c r="AF37" s="53">
        <f>INDEX(pigs!$D$3:$AO$60,$Y37,AF$4)</f>
        <v>71</v>
      </c>
      <c r="AG37" s="40">
        <f t="shared" ref="AG37" si="30">1000-SUM(AE37:AF37,AH37)</f>
        <v>231</v>
      </c>
      <c r="AH37" s="54">
        <f>INDEX(pigs!$D$3:$AO$60,$Y37,AH$4)</f>
        <v>21</v>
      </c>
      <c r="AI37" s="37">
        <f t="shared" si="13"/>
        <v>10.832000000000001</v>
      </c>
      <c r="AJ37" s="90">
        <f>INDEX(pigs!$D$3:$AO$60,$Y37,AJ$4)/1000*100</f>
        <v>0.64</v>
      </c>
      <c r="AK37" s="91">
        <f>INDEX(pigs!$D$3:$AO$60,$Y37,AK$4)/1000*100</f>
        <v>0.54999999999999993</v>
      </c>
      <c r="AL37" s="116"/>
      <c r="AM37" s="111" t="s">
        <v>600</v>
      </c>
      <c r="AN37" t="s">
        <v>484</v>
      </c>
      <c r="AO37" s="67">
        <f>MATCH($B37,poultry!$A$3:$A$41,0)</f>
        <v>25</v>
      </c>
      <c r="AP37" s="58">
        <f>INDEX(poultry!$D$3:$U$41,$AO37,AP$4)</f>
        <v>87</v>
      </c>
    </row>
    <row r="38" spans="2:42" x14ac:dyDescent="0.25">
      <c r="B38" t="s">
        <v>52</v>
      </c>
      <c r="C38" s="64">
        <f t="shared" ref="C38:C43" si="31">AVERAGE(Z38,K38)</f>
        <v>75.5</v>
      </c>
      <c r="D38" s="63">
        <f>L38</f>
        <v>16.1615368</v>
      </c>
      <c r="E38" s="37">
        <f t="shared" si="17"/>
        <v>2.2080000000000002</v>
      </c>
      <c r="F38" s="90">
        <f t="shared" si="18"/>
        <v>0.03</v>
      </c>
      <c r="G38" s="91">
        <f t="shared" si="19"/>
        <v>3.6500000000000004</v>
      </c>
      <c r="H38" s="4"/>
      <c r="I38" s="4"/>
      <c r="J38" s="67">
        <f>MATCH($B38,ruminants!$A$3:$A$120,0)</f>
        <v>88</v>
      </c>
      <c r="K38" s="36">
        <f>INDEX(ruminants!$D$3:$AH$120,$J38,K$4)</f>
        <v>75</v>
      </c>
      <c r="L38" s="76">
        <f t="shared" si="10"/>
        <v>16.1615368</v>
      </c>
      <c r="M38" s="37">
        <f>INDEX(ruminants!$D$3:$AH$120,$J38,M$4)</f>
        <v>12.4</v>
      </c>
      <c r="N38" s="37">
        <f>INDEX(ruminants!$D$3:$AH$120,$J38,N$4)</f>
        <v>14.1</v>
      </c>
      <c r="O38" s="64">
        <f>INDEX(ruminants!$D$3:$AH$120,$J38,O$4)</f>
        <v>131</v>
      </c>
      <c r="P38" s="38">
        <f>INDEX(ruminants!$D$3:$AH$120,$J38,P$4)</f>
        <v>0</v>
      </c>
      <c r="Q38" s="38">
        <f>INDEX(ruminants!$D$3:$AH$120,$J38,Q$4)</f>
        <v>0</v>
      </c>
      <c r="R38" s="38">
        <f>INDEX(ruminants!$D$3:$AH$120,$J38,R$4)</f>
        <v>760</v>
      </c>
      <c r="S38" s="41">
        <f>INDEX(ruminants!$D$3:$AH$120,$J38,S$4)</f>
        <v>109</v>
      </c>
      <c r="T38" s="37">
        <f t="shared" si="7"/>
        <v>2.0960000000000001</v>
      </c>
      <c r="U38" s="90">
        <f>INDEX(ruminants!$D$3:$AH$120,$J38,U$4)/1000*100</f>
        <v>0.02</v>
      </c>
      <c r="V38" s="91">
        <f>INDEX(ruminants!$D$3:$AH$120,$J38,V$4)/1000*100</f>
        <v>4.5</v>
      </c>
      <c r="W38" s="115"/>
      <c r="Y38" s="67">
        <f>MATCH($B38,pigs!$A$3:$A$60,0)</f>
        <v>23</v>
      </c>
      <c r="Z38" s="36">
        <f>INDEX(pigs!$D$3:$AO$60,$Y38,Z$4)</f>
        <v>76</v>
      </c>
      <c r="AA38" s="76">
        <f t="shared" ref="AA38:AA43" si="32">( 5.7*AE38+9.4*AF38+4.1*(AG38) ) * 0.004184</f>
        <v>15.9565208</v>
      </c>
      <c r="AB38" s="104">
        <v>13.1</v>
      </c>
      <c r="AC38" s="53">
        <f>INDEX(pigs!$D$3:$AO$60,$Y38,AC$4)</f>
        <v>8.6999999999999993</v>
      </c>
      <c r="AD38" s="53">
        <f>INDEX(pigs!$D$3:$AO$60,$Y38,AD$4)</f>
        <v>9</v>
      </c>
      <c r="AE38" s="36">
        <f>INDEX(pigs!$D$3:$AO$60,$Y38,AE$4)</f>
        <v>145</v>
      </c>
      <c r="AF38" s="53">
        <f>INDEX(pigs!$D$3:$AO$60,$Y38,AF$4)</f>
        <v>2</v>
      </c>
      <c r="AG38" s="40">
        <f t="shared" ref="AG38:AG43" si="33">1000-SUM(AE38:AF38,AH38)</f>
        <v>724</v>
      </c>
      <c r="AH38" s="54">
        <f>INDEX(pigs!$D$3:$AO$60,$Y38,AH$4)</f>
        <v>129</v>
      </c>
      <c r="AI38" s="37">
        <f t="shared" si="13"/>
        <v>2.3199999999999998</v>
      </c>
      <c r="AJ38" s="90">
        <f>INDEX(pigs!$D$3:$AO$60,$Y38,AJ$4)/1000*100</f>
        <v>0.04</v>
      </c>
      <c r="AK38" s="91">
        <f>INDEX(pigs!$D$3:$AO$60,$Y38,AK$4)/1000*100</f>
        <v>2.8000000000000003</v>
      </c>
      <c r="AL38" s="115"/>
      <c r="AM38" s="111" t="s">
        <v>601</v>
      </c>
      <c r="AN38" t="s">
        <v>484</v>
      </c>
      <c r="AO38" s="67"/>
      <c r="AP38" s="58"/>
    </row>
    <row r="39" spans="2:42" x14ac:dyDescent="0.25">
      <c r="B39" t="s">
        <v>53</v>
      </c>
      <c r="C39" s="64">
        <f t="shared" si="31"/>
        <v>89.5</v>
      </c>
      <c r="D39" s="63">
        <f>L39</f>
        <v>17.334312000000001</v>
      </c>
      <c r="E39" s="37">
        <f t="shared" si="17"/>
        <v>1.448</v>
      </c>
      <c r="F39" s="90">
        <f t="shared" si="18"/>
        <v>0.1</v>
      </c>
      <c r="G39" s="91">
        <f t="shared" si="19"/>
        <v>0.48499999999999999</v>
      </c>
      <c r="H39" s="4"/>
      <c r="I39" s="4"/>
      <c r="J39" s="67">
        <f>MATCH($B39,ruminants!$A$3:$A$120,0)</f>
        <v>91</v>
      </c>
      <c r="K39" s="36">
        <f>INDEX(ruminants!$D$3:$AH$120,$J39,K$4)</f>
        <v>90</v>
      </c>
      <c r="L39" s="76">
        <f t="shared" si="10"/>
        <v>17.334312000000001</v>
      </c>
      <c r="M39" s="37">
        <f>INDEX(ruminants!$D$3:$AH$120,$J39,M$4)</f>
        <v>12.3</v>
      </c>
      <c r="N39" s="37">
        <f>INDEX(ruminants!$D$3:$AH$120,$J39,N$4)</f>
        <v>14.7</v>
      </c>
      <c r="O39" s="64">
        <f>INDEX(ruminants!$D$3:$AH$120,$J39,O$4)</f>
        <v>90</v>
      </c>
      <c r="P39" s="38">
        <f>INDEX(ruminants!$D$3:$AH$120,$J39,P$4)</f>
        <v>32</v>
      </c>
      <c r="Q39" s="38">
        <f>INDEX(ruminants!$D$3:$AH$120,$J39,Q$4)</f>
        <v>187</v>
      </c>
      <c r="R39" s="38">
        <f>INDEX(ruminants!$D$3:$AH$120,$J39,R$4)</f>
        <v>625</v>
      </c>
      <c r="S39" s="41">
        <f>INDEX(ruminants!$D$3:$AH$120,$J39,S$4)</f>
        <v>66</v>
      </c>
      <c r="T39" s="37">
        <f t="shared" si="7"/>
        <v>1.44</v>
      </c>
      <c r="U39" s="90">
        <f>INDEX(ruminants!$D$3:$AH$120,$J39,U$4)/1000*100</f>
        <v>0.1</v>
      </c>
      <c r="V39" s="91">
        <f>INDEX(ruminants!$D$3:$AH$120,$J39,V$4)/1000*100</f>
        <v>0.6</v>
      </c>
      <c r="W39" s="115"/>
      <c r="Y39" s="67">
        <f>MATCH($B39,pigs!$A$3:$A$60,0)</f>
        <v>4</v>
      </c>
      <c r="Z39" s="36">
        <f>INDEX(pigs!$D$3:$AO$60,$Y39,Z$4)</f>
        <v>89</v>
      </c>
      <c r="AA39" s="76">
        <f t="shared" si="32"/>
        <v>16.664453599999998</v>
      </c>
      <c r="AB39" s="104">
        <v>12.2</v>
      </c>
      <c r="AC39" s="53">
        <f>INDEX(pigs!$D$3:$AO$60,$Y39,AC$4)</f>
        <v>6.9</v>
      </c>
      <c r="AD39" s="53">
        <f>INDEX(pigs!$D$3:$AO$60,$Y39,AD$4)</f>
        <v>8</v>
      </c>
      <c r="AE39" s="36">
        <f>INDEX(pigs!$D$3:$AO$60,$Y39,AE$4)</f>
        <v>91</v>
      </c>
      <c r="AF39" s="53">
        <f>INDEX(pigs!$D$3:$AO$60,$Y39,AF$4)</f>
        <v>10</v>
      </c>
      <c r="AG39" s="40">
        <f t="shared" si="33"/>
        <v>822</v>
      </c>
      <c r="AH39" s="54">
        <f>INDEX(pigs!$D$3:$AO$60,$Y39,AH$4)</f>
        <v>77</v>
      </c>
      <c r="AI39" s="37">
        <f t="shared" si="13"/>
        <v>1.456</v>
      </c>
      <c r="AJ39" s="90">
        <f>INDEX(pigs!$D$3:$AO$60,$Y39,AJ$4)/1000*100</f>
        <v>0.1</v>
      </c>
      <c r="AK39" s="91">
        <f>INDEX(pigs!$D$3:$AO$60,$Y39,AK$4)/1000*100</f>
        <v>0.37</v>
      </c>
      <c r="AL39" s="115"/>
      <c r="AM39" s="111" t="s">
        <v>602</v>
      </c>
      <c r="AN39" t="s">
        <v>484</v>
      </c>
      <c r="AO39" s="67"/>
      <c r="AP39" s="58"/>
    </row>
    <row r="40" spans="2:42" x14ac:dyDescent="0.25">
      <c r="B40" t="s">
        <v>54</v>
      </c>
      <c r="C40" s="64">
        <f t="shared" si="31"/>
        <v>6.25</v>
      </c>
      <c r="D40" s="63">
        <f>L40</f>
        <v>16.464040000000001</v>
      </c>
      <c r="E40" s="37">
        <f t="shared" si="17"/>
        <v>1.8800000000000001</v>
      </c>
      <c r="F40" s="90">
        <f t="shared" si="18"/>
        <v>0.76</v>
      </c>
      <c r="G40" s="91">
        <f t="shared" si="19"/>
        <v>2.355</v>
      </c>
      <c r="H40" s="4"/>
      <c r="I40" s="4"/>
      <c r="J40" s="67">
        <f>MATCH($B40,ruminants!$A$3:$A$120,0)</f>
        <v>57</v>
      </c>
      <c r="K40" s="36">
        <f>INDEX(ruminants!$D$3:$AH$120,$J40,K$4)</f>
        <v>7</v>
      </c>
      <c r="L40" s="76">
        <f t="shared" si="10"/>
        <v>16.464040000000001</v>
      </c>
      <c r="M40" s="37">
        <f>INDEX(ruminants!$D$3:$AH$120,$J40,M$4)</f>
        <v>13.6</v>
      </c>
      <c r="N40" s="37">
        <f>INDEX(ruminants!$D$3:$AH$120,$J40,N$4)</f>
        <v>15.1</v>
      </c>
      <c r="O40" s="64">
        <f>INDEX(ruminants!$D$3:$AH$120,$J40,O$4)</f>
        <v>120</v>
      </c>
      <c r="P40" s="38">
        <f>INDEX(ruminants!$D$3:$AH$120,$J40,P$4)</f>
        <v>10</v>
      </c>
      <c r="Q40" s="38">
        <f>INDEX(ruminants!$D$3:$AH$120,$J40,Q$4)</f>
        <v>0</v>
      </c>
      <c r="R40" s="38">
        <f>INDEX(ruminants!$D$3:$AH$120,$J40,R$4)</f>
        <v>770</v>
      </c>
      <c r="S40" s="41">
        <f>INDEX(ruminants!$D$3:$AH$120,$J40,S$4)</f>
        <v>100</v>
      </c>
      <c r="T40" s="37">
        <f t="shared" si="7"/>
        <v>1.92</v>
      </c>
      <c r="U40" s="90">
        <f>INDEX(ruminants!$D$3:$AH$120,$J40,U$4)/1000*100</f>
        <v>0.79</v>
      </c>
      <c r="V40" s="91">
        <f>INDEX(ruminants!$D$3:$AH$120,$J40,V$4)/1000*100</f>
        <v>2.4</v>
      </c>
      <c r="W40" s="115"/>
      <c r="Y40" s="67">
        <f>MATCH($B40,pigs!$A$3:$A$60,0)</f>
        <v>50</v>
      </c>
      <c r="Z40" s="36">
        <f>INDEX(pigs!$D$3:$AO$60,$Y40,Z$4)</f>
        <v>5.5</v>
      </c>
      <c r="AA40" s="76">
        <f t="shared" si="32"/>
        <v>16.870306399999997</v>
      </c>
      <c r="AB40" s="113">
        <f>(AB41/AA41)*AA40</f>
        <v>15.205346051464064</v>
      </c>
      <c r="AC40" s="53">
        <f>INDEX(pigs!$D$3:$AO$60,$Y40,AC$4)</f>
        <v>12.4</v>
      </c>
      <c r="AD40" s="53">
        <f>INDEX(pigs!$D$3:$AO$60,$Y40,AD$4)</f>
        <v>12.2</v>
      </c>
      <c r="AE40" s="36">
        <f>INDEX(pigs!$D$3:$AO$60,$Y40,AE$4)</f>
        <v>115</v>
      </c>
      <c r="AF40" s="53">
        <f>INDEX(pigs!$D$3:$AO$60,$Y40,AF$4)</f>
        <v>19</v>
      </c>
      <c r="AG40" s="40">
        <f t="shared" si="33"/>
        <v>780</v>
      </c>
      <c r="AH40" s="54">
        <f>INDEX(pigs!$D$3:$AO$60,$Y40,AH$4)</f>
        <v>86</v>
      </c>
      <c r="AI40" s="37">
        <f t="shared" si="13"/>
        <v>1.8400000000000003</v>
      </c>
      <c r="AJ40" s="90">
        <f>INDEX(pigs!$D$3:$AO$60,$Y40,AJ$4)/1000*100</f>
        <v>0.73</v>
      </c>
      <c r="AK40" s="91">
        <f>INDEX(pigs!$D$3:$AO$60,$Y40,AK$4)/1000*100</f>
        <v>2.31</v>
      </c>
      <c r="AL40" s="115"/>
      <c r="AM40" s="111"/>
      <c r="AN40" t="s">
        <v>484</v>
      </c>
      <c r="AO40" s="67"/>
      <c r="AP40" s="58"/>
    </row>
    <row r="41" spans="2:42" x14ac:dyDescent="0.25">
      <c r="B41" t="s">
        <v>55</v>
      </c>
      <c r="C41" s="64">
        <f t="shared" si="31"/>
        <v>97</v>
      </c>
      <c r="D41" s="63">
        <f>AA41</f>
        <v>16.975324799999999</v>
      </c>
      <c r="E41" s="37">
        <f t="shared" si="17"/>
        <v>2.0960000000000001</v>
      </c>
      <c r="F41" s="90">
        <f t="shared" si="18"/>
        <v>0.72</v>
      </c>
      <c r="G41" s="91">
        <f t="shared" si="19"/>
        <v>2.1</v>
      </c>
      <c r="H41" s="4"/>
      <c r="I41" s="4"/>
      <c r="J41" s="67"/>
      <c r="K41" s="36"/>
      <c r="L41" s="53"/>
      <c r="M41" s="37"/>
      <c r="N41" s="37"/>
      <c r="O41" s="64"/>
      <c r="P41" s="38"/>
      <c r="Q41" s="38"/>
      <c r="R41" s="38"/>
      <c r="S41" s="41"/>
      <c r="T41" s="37"/>
      <c r="U41" s="38"/>
      <c r="V41" s="41"/>
      <c r="W41" s="115"/>
      <c r="Y41" s="67">
        <f>MATCH($B41,pigs!$A$3:$A$60,0)</f>
        <v>52</v>
      </c>
      <c r="Z41" s="36">
        <f>INDEX(pigs!$D$3:$AO$60,$Y41,Z$4)</f>
        <v>97</v>
      </c>
      <c r="AA41" s="76">
        <f t="shared" si="32"/>
        <v>16.975324799999999</v>
      </c>
      <c r="AB41" s="104">
        <v>15.3</v>
      </c>
      <c r="AC41" s="53">
        <f>INDEX(pigs!$D$3:$AO$60,$Y41,AC$4)</f>
        <v>12.4</v>
      </c>
      <c r="AD41" s="53">
        <f>INDEX(pigs!$D$3:$AO$60,$Y41,AD$4)</f>
        <v>12.2</v>
      </c>
      <c r="AE41" s="36">
        <f>INDEX(pigs!$D$3:$AO$60,$Y41,AE$4)</f>
        <v>131</v>
      </c>
      <c r="AF41" s="53">
        <f>INDEX(pigs!$D$3:$AO$60,$Y41,AF$4)</f>
        <v>22</v>
      </c>
      <c r="AG41" s="40">
        <f t="shared" si="33"/>
        <v>757</v>
      </c>
      <c r="AH41" s="54">
        <f>INDEX(pigs!$D$3:$AO$60,$Y41,AH$4)</f>
        <v>90</v>
      </c>
      <c r="AI41" s="37">
        <f t="shared" si="13"/>
        <v>2.0960000000000001</v>
      </c>
      <c r="AJ41" s="90">
        <f>INDEX(pigs!$D$3:$AO$60,$Y41,AJ$4)/1000*100</f>
        <v>0.72</v>
      </c>
      <c r="AK41" s="91">
        <f>INDEX(pigs!$D$3:$AO$60,$Y41,AK$4)/1000*100</f>
        <v>2.1</v>
      </c>
      <c r="AL41" s="115"/>
      <c r="AM41" s="111" t="s">
        <v>603</v>
      </c>
      <c r="AN41" t="s">
        <v>484</v>
      </c>
      <c r="AO41" s="67"/>
      <c r="AP41" s="58"/>
    </row>
    <row r="42" spans="2:42" x14ac:dyDescent="0.25">
      <c r="B42" t="s">
        <v>56</v>
      </c>
      <c r="C42" s="64">
        <f t="shared" si="31"/>
        <v>91</v>
      </c>
      <c r="D42" s="63">
        <f>L42</f>
        <v>23.055932000000002</v>
      </c>
      <c r="E42" s="37">
        <f t="shared" si="17"/>
        <v>13.48</v>
      </c>
      <c r="F42" s="90">
        <f t="shared" si="18"/>
        <v>0.435</v>
      </c>
      <c r="G42" s="91">
        <f t="shared" si="19"/>
        <v>0.81499999999999995</v>
      </c>
      <c r="H42" s="4"/>
      <c r="I42" s="4"/>
      <c r="J42" s="67">
        <f>MATCH($B42,ruminants!$A$3:$A$120,0)</f>
        <v>65</v>
      </c>
      <c r="K42" s="36">
        <f>INDEX(ruminants!$D$3:$AH$120,$J42,K$4)</f>
        <v>90</v>
      </c>
      <c r="L42" s="76">
        <f t="shared" si="10"/>
        <v>23.055932000000002</v>
      </c>
      <c r="M42" s="37">
        <f>INDEX(ruminants!$D$3:$AH$120,$J42,M$4)</f>
        <v>15.5</v>
      </c>
      <c r="N42" s="37">
        <f>INDEX(ruminants!$D$3:$AH$120,$J42,N$4)</f>
        <v>19.7</v>
      </c>
      <c r="O42" s="64">
        <f>INDEX(ruminants!$D$3:$AH$120,$J42,O$4)</f>
        <v>844</v>
      </c>
      <c r="P42" s="38">
        <f>INDEX(ruminants!$D$3:$AH$120,$J42,P$4)</f>
        <v>33</v>
      </c>
      <c r="Q42" s="38">
        <f>INDEX(ruminants!$D$3:$AH$120,$J42,Q$4)</f>
        <v>4</v>
      </c>
      <c r="R42" s="38">
        <f>INDEX(ruminants!$D$3:$AH$120,$J42,R$4)</f>
        <v>91</v>
      </c>
      <c r="S42" s="41">
        <f>INDEX(ruminants!$D$3:$AH$120,$J42,S$4)</f>
        <v>28</v>
      </c>
      <c r="T42" s="37">
        <f t="shared" si="7"/>
        <v>13.504</v>
      </c>
      <c r="U42" s="90">
        <f>INDEX(ruminants!$D$3:$AH$120,$J42,U$4)/1000*100</f>
        <v>0.44</v>
      </c>
      <c r="V42" s="91">
        <f>INDEX(ruminants!$D$3:$AH$120,$J42,V$4)/1000*100</f>
        <v>0.89</v>
      </c>
      <c r="W42" s="115"/>
      <c r="Y42" s="67">
        <f>MATCH($B42,pigs!$A$3:$A$60,0)</f>
        <v>31</v>
      </c>
      <c r="Z42" s="36">
        <f>INDEX(pigs!$D$3:$AO$60,$Y42,Z$4)</f>
        <v>92</v>
      </c>
      <c r="AA42" s="76">
        <f t="shared" si="32"/>
        <v>22.525819200000001</v>
      </c>
      <c r="AB42" s="104">
        <v>20.8</v>
      </c>
      <c r="AC42" s="53">
        <f>INDEX(pigs!$D$3:$AO$60,$Y42,AC$4)</f>
        <v>11.1</v>
      </c>
      <c r="AD42" s="53">
        <f>INDEX(pigs!$D$3:$AO$60,$Y42,AD$4)</f>
        <v>11.3</v>
      </c>
      <c r="AE42" s="36">
        <f>INDEX(pigs!$D$3:$AO$60,$Y42,AE$4)</f>
        <v>841</v>
      </c>
      <c r="AF42" s="53">
        <f>INDEX(pigs!$D$3:$AO$60,$Y42,AF$4)</f>
        <v>10</v>
      </c>
      <c r="AG42" s="40">
        <f t="shared" si="33"/>
        <v>121</v>
      </c>
      <c r="AH42" s="54">
        <f>INDEX(pigs!$D$3:$AO$60,$Y42,AH$4)</f>
        <v>28</v>
      </c>
      <c r="AI42" s="37">
        <f t="shared" si="13"/>
        <v>13.456000000000001</v>
      </c>
      <c r="AJ42" s="90">
        <f>INDEX(pigs!$D$3:$AO$60,$Y42,AJ$4)/1000*100</f>
        <v>0.43</v>
      </c>
      <c r="AK42" s="91">
        <f>INDEX(pigs!$D$3:$AO$60,$Y42,AK$4)/1000*100</f>
        <v>0.74</v>
      </c>
      <c r="AL42" s="115"/>
      <c r="AM42" s="111" t="s">
        <v>604</v>
      </c>
      <c r="AN42" t="s">
        <v>484</v>
      </c>
      <c r="AO42" s="67">
        <f>MATCH($B42,poultry!$A$3:$A$41,0)</f>
        <v>28</v>
      </c>
      <c r="AP42" s="58">
        <f>INDEX(poultry!$D$3:$U$41,$AO42,AP$4)</f>
        <v>90</v>
      </c>
    </row>
    <row r="43" spans="2:42" x14ac:dyDescent="0.25">
      <c r="B43" t="s">
        <v>57</v>
      </c>
      <c r="C43" s="65">
        <f t="shared" si="31"/>
        <v>92</v>
      </c>
      <c r="D43" s="66">
        <f>AA43</f>
        <v>22.254696000000003</v>
      </c>
      <c r="E43" s="94">
        <f t="shared" si="17"/>
        <v>12.160000000000002</v>
      </c>
      <c r="F43" s="92">
        <f t="shared" si="18"/>
        <v>2.4699999999999998</v>
      </c>
      <c r="G43" s="93">
        <f t="shared" si="19"/>
        <v>1.2</v>
      </c>
      <c r="H43" s="4"/>
      <c r="I43" s="4"/>
      <c r="J43" s="67"/>
      <c r="K43" s="49"/>
      <c r="L43" s="50"/>
      <c r="M43" s="50"/>
      <c r="N43" s="50"/>
      <c r="O43" s="65"/>
      <c r="P43" s="51"/>
      <c r="Q43" s="51"/>
      <c r="R43" s="51"/>
      <c r="S43" s="52"/>
      <c r="T43" s="51"/>
      <c r="U43" s="51"/>
      <c r="V43" s="52"/>
      <c r="W43" s="115"/>
      <c r="Y43" s="67">
        <f>MATCH($B43,pigs!$A$3:$A$60,0)</f>
        <v>7</v>
      </c>
      <c r="Z43" s="49">
        <f>INDEX(pigs!$D$3:$AO$60,$Y43,Z$4)</f>
        <v>92</v>
      </c>
      <c r="AA43" s="77">
        <f t="shared" si="32"/>
        <v>22.254696000000003</v>
      </c>
      <c r="AB43" s="108">
        <f>19.5</f>
        <v>19.5</v>
      </c>
      <c r="AC43" s="50">
        <f>INDEX(pigs!$D$3:$AO$60,$Y43,AC$4)</f>
        <v>10.8</v>
      </c>
      <c r="AD43" s="50">
        <f>INDEX(pigs!$D$3:$AO$60,$Y43,AD$4)</f>
        <v>10.8</v>
      </c>
      <c r="AE43" s="49">
        <f>INDEX(pigs!$D$3:$AO$60,$Y43,AE$4)</f>
        <v>760</v>
      </c>
      <c r="AF43" s="50">
        <f>INDEX(pigs!$D$3:$AO$60,$Y43,AF$4)</f>
        <v>105</v>
      </c>
      <c r="AG43" s="75">
        <f t="shared" si="33"/>
        <v>0</v>
      </c>
      <c r="AH43" s="57">
        <f>INDEX(pigs!$D$3:$AO$60,$Y43,AH$4)</f>
        <v>135</v>
      </c>
      <c r="AI43" s="89">
        <f t="shared" si="13"/>
        <v>12.160000000000002</v>
      </c>
      <c r="AJ43" s="92">
        <f>INDEX(pigs!$D$3:$AO$60,$Y43,AJ$4)/1000*100</f>
        <v>2.4699999999999998</v>
      </c>
      <c r="AK43" s="93">
        <f>INDEX(pigs!$D$3:$AO$60,$Y43,AK$4)/1000*100</f>
        <v>1.2</v>
      </c>
      <c r="AL43" s="115"/>
      <c r="AM43" s="111" t="s">
        <v>605</v>
      </c>
      <c r="AN43" t="s">
        <v>484</v>
      </c>
      <c r="AO43" s="67">
        <f>MATCH($B43,poultry!$A$3:$A$41,0)</f>
        <v>6</v>
      </c>
      <c r="AP43" s="59">
        <f>INDEX(poultry!$D$3:$U$41,$AO43,AP$4)</f>
        <v>92</v>
      </c>
    </row>
    <row r="45" spans="2:42" x14ac:dyDescent="0.25">
      <c r="D45" s="99" t="s">
        <v>518</v>
      </c>
      <c r="E45" s="100"/>
      <c r="F45" s="100"/>
      <c r="G45" s="100"/>
      <c r="H45" s="100"/>
      <c r="I45" s="100"/>
      <c r="J45" s="101"/>
    </row>
    <row r="46" spans="2:42" x14ac:dyDescent="0.25">
      <c r="D46" s="36" t="s">
        <v>517</v>
      </c>
      <c r="E46" s="53"/>
      <c r="F46" s="53"/>
      <c r="G46" s="53"/>
      <c r="H46" s="53"/>
      <c r="I46" s="53"/>
      <c r="J46" s="54"/>
    </row>
    <row r="47" spans="2:42" x14ac:dyDescent="0.25">
      <c r="D47" s="102" t="s">
        <v>516</v>
      </c>
      <c r="E47" s="53"/>
      <c r="F47" s="53"/>
      <c r="G47" s="53"/>
      <c r="H47" s="53"/>
      <c r="I47" s="53"/>
      <c r="J47" s="54"/>
    </row>
    <row r="48" spans="2:42" x14ac:dyDescent="0.25">
      <c r="D48" s="103" t="s">
        <v>403</v>
      </c>
      <c r="E48" s="50"/>
      <c r="F48" s="50"/>
      <c r="G48" s="50"/>
      <c r="H48" s="50"/>
      <c r="I48" s="50"/>
      <c r="J48" s="57"/>
    </row>
  </sheetData>
  <hyperlinks>
    <hyperlink ref="C1" r:id="rId1"/>
    <hyperlink ref="AL36" r:id="rId2"/>
    <hyperlink ref="W31" r:id="rId3"/>
    <hyperlink ref="W33" r:id="rId4"/>
    <hyperlink ref="W10" r:id="rId5"/>
    <hyperlink ref="W20" r:id="rId6"/>
    <hyperlink ref="W23" r:id="rId7"/>
    <hyperlink ref="D47" r:id="rId8"/>
    <hyperlink ref="AM20" r:id="rId9"/>
    <hyperlink ref="AM19" r:id="rId10"/>
    <hyperlink ref="AM18" r:id="rId11"/>
    <hyperlink ref="AM16" r:id="rId12"/>
    <hyperlink ref="AM15" r:id="rId13"/>
    <hyperlink ref="AM14" r:id="rId14"/>
    <hyperlink ref="AM13" r:id="rId15"/>
    <hyperlink ref="AM21" r:id="rId16"/>
    <hyperlink ref="AM22" r:id="rId17"/>
    <hyperlink ref="AM23" r:id="rId18"/>
    <hyperlink ref="AM26" r:id="rId19"/>
    <hyperlink ref="AM27" r:id="rId20"/>
    <hyperlink ref="AM28" r:id="rId21"/>
    <hyperlink ref="AM29" r:id="rId22"/>
    <hyperlink ref="AM33" r:id="rId23"/>
    <hyperlink ref="AM32" r:id="rId24"/>
    <hyperlink ref="AM34" r:id="rId25"/>
    <hyperlink ref="AM37" r:id="rId26"/>
    <hyperlink ref="AM38" r:id="rId27"/>
    <hyperlink ref="AM39" r:id="rId28"/>
    <hyperlink ref="AM41" r:id="rId29"/>
    <hyperlink ref="AM42" r:id="rId30"/>
    <hyperlink ref="AM43" r:id="rId31"/>
  </hyperlinks>
  <pageMargins left="0.7" right="0.7" top="0.75" bottom="0.75" header="0.3" footer="0.3"/>
  <pageSetup paperSize="9" orientation="portrait"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A47" sqref="A47:C4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380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312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workbookViewId="0">
      <selection activeCell="E73" sqref="A73:E7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312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313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330</v>
      </c>
      <c r="E2" s="19" t="s">
        <v>277</v>
      </c>
      <c r="F2" s="19" t="s">
        <v>278</v>
      </c>
      <c r="G2" s="19" t="s">
        <v>407</v>
      </c>
      <c r="H2" s="19" t="s">
        <v>408</v>
      </c>
      <c r="I2" s="19" t="s">
        <v>409</v>
      </c>
      <c r="J2" s="19" t="s">
        <v>410</v>
      </c>
      <c r="K2" s="19" t="s">
        <v>411</v>
      </c>
      <c r="L2" s="19" t="s">
        <v>412</v>
      </c>
      <c r="M2" s="19" t="s">
        <v>413</v>
      </c>
      <c r="N2" s="19" t="s">
        <v>414</v>
      </c>
      <c r="O2" s="19" t="s">
        <v>415</v>
      </c>
      <c r="P2" s="19" t="s">
        <v>416</v>
      </c>
      <c r="Q2" s="19" t="s">
        <v>417</v>
      </c>
      <c r="R2" s="19" t="s">
        <v>418</v>
      </c>
      <c r="S2" s="19" t="s">
        <v>419</v>
      </c>
      <c r="T2" s="19" t="s">
        <v>420</v>
      </c>
      <c r="U2" s="19" t="s">
        <v>123</v>
      </c>
      <c r="V2" s="19" t="s">
        <v>421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2" t="s">
        <v>422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3" t="s">
        <v>423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2" t="s">
        <v>424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3" t="s">
        <v>425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2" t="s">
        <v>426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3" t="s">
        <v>427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2" t="s">
        <v>428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4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3" t="s">
        <v>429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5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2" t="s">
        <v>430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4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3" t="s">
        <v>431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5">
        <f>AVERAGE(K$3:K$8)</f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2" t="s">
        <v>432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4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3" t="s">
        <v>433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5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2" t="s">
        <v>434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3" t="s">
        <v>435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2" t="s">
        <v>436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3" t="s">
        <v>437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2" t="s">
        <v>438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3" t="s">
        <v>439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2" t="s">
        <v>440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3" t="s">
        <v>441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2" t="s">
        <v>442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3" t="s">
        <v>443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2" t="s">
        <v>444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3" t="s">
        <v>445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2" t="s">
        <v>446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3" t="s">
        <v>447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2" t="s">
        <v>448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3" t="s">
        <v>449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2" t="s">
        <v>450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3" t="s">
        <v>451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2" t="s">
        <v>452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3" t="s">
        <v>453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2" t="s">
        <v>454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3" t="s">
        <v>455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2" t="s">
        <v>456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3" t="s">
        <v>457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2" t="s">
        <v>458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3" t="s">
        <v>459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2" t="s">
        <v>460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3" t="s">
        <v>461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2" t="s">
        <v>462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3" t="s">
        <v>463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2" t="s">
        <v>464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3" t="s">
        <v>465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2" t="s">
        <v>466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3" t="s">
        <v>467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2" t="s">
        <v>468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3" t="s">
        <v>469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2" t="s">
        <v>470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3" t="s">
        <v>471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2" t="s">
        <v>472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3" t="s">
        <v>473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2" t="s">
        <v>474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3" t="s">
        <v>475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2" t="s">
        <v>476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3" t="s">
        <v>477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2" t="s">
        <v>478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3" t="s">
        <v>479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2" t="s">
        <v>480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58</v>
      </c>
      <c r="B2" s="19" t="s">
        <v>122</v>
      </c>
      <c r="C2" s="19" t="s">
        <v>544</v>
      </c>
      <c r="D2" s="19" t="s">
        <v>329</v>
      </c>
      <c r="E2" s="19" t="s">
        <v>519</v>
      </c>
      <c r="F2" s="19" t="s">
        <v>520</v>
      </c>
      <c r="G2" s="19" t="s">
        <v>521</v>
      </c>
      <c r="H2" s="19" t="s">
        <v>522</v>
      </c>
      <c r="I2" s="19" t="s">
        <v>523</v>
      </c>
      <c r="J2" s="19" t="s">
        <v>524</v>
      </c>
      <c r="K2" s="19" t="s">
        <v>525</v>
      </c>
      <c r="L2" s="19" t="s">
        <v>526</v>
      </c>
      <c r="M2" s="19" t="s">
        <v>527</v>
      </c>
      <c r="N2" s="19" t="s">
        <v>528</v>
      </c>
    </row>
    <row r="3" spans="1:14" x14ac:dyDescent="0.25">
      <c r="B3" s="12">
        <v>1</v>
      </c>
      <c r="C3" s="14" t="s">
        <v>529</v>
      </c>
      <c r="D3" s="14">
        <v>50</v>
      </c>
      <c r="E3" s="14">
        <v>3</v>
      </c>
      <c r="F3" s="14">
        <v>13</v>
      </c>
      <c r="G3" s="14">
        <v>6</v>
      </c>
      <c r="H3" s="14">
        <v>0.3</v>
      </c>
      <c r="I3" s="14"/>
      <c r="J3" s="14">
        <v>6</v>
      </c>
      <c r="K3" s="14">
        <v>26</v>
      </c>
      <c r="L3" s="14">
        <v>12</v>
      </c>
      <c r="M3" s="14">
        <v>0.6</v>
      </c>
      <c r="N3" s="14">
        <v>0</v>
      </c>
    </row>
    <row r="4" spans="1:14" x14ac:dyDescent="0.25">
      <c r="B4" s="15">
        <v>2</v>
      </c>
      <c r="C4" s="17" t="s">
        <v>530</v>
      </c>
      <c r="D4" s="17">
        <v>85</v>
      </c>
      <c r="E4" s="17">
        <v>6</v>
      </c>
      <c r="F4" s="17">
        <v>94</v>
      </c>
      <c r="G4" s="17">
        <v>12</v>
      </c>
      <c r="H4" s="17">
        <v>1</v>
      </c>
      <c r="I4" s="17"/>
      <c r="J4" s="17">
        <v>7.1</v>
      </c>
      <c r="K4" s="17">
        <v>111</v>
      </c>
      <c r="L4" s="17">
        <v>14.1</v>
      </c>
      <c r="M4" s="17">
        <v>1.2</v>
      </c>
      <c r="N4" s="17">
        <v>0</v>
      </c>
    </row>
    <row r="5" spans="1:14" x14ac:dyDescent="0.25">
      <c r="B5" s="12">
        <v>3</v>
      </c>
      <c r="C5" s="14" t="s">
        <v>531</v>
      </c>
      <c r="D5" s="14">
        <v>90</v>
      </c>
      <c r="E5" s="14">
        <v>7.1</v>
      </c>
      <c r="F5" s="14">
        <v>47</v>
      </c>
      <c r="G5" s="14">
        <v>13</v>
      </c>
      <c r="H5" s="14">
        <v>2.4</v>
      </c>
      <c r="I5" s="14">
        <v>3.9</v>
      </c>
      <c r="J5" s="14">
        <v>7.1</v>
      </c>
      <c r="K5" s="14">
        <v>47</v>
      </c>
      <c r="L5" s="14">
        <v>13</v>
      </c>
      <c r="M5" s="14">
        <v>2.4</v>
      </c>
      <c r="N5" s="14">
        <v>3.9</v>
      </c>
    </row>
    <row r="6" spans="1:14" x14ac:dyDescent="0.25">
      <c r="B6" s="15">
        <v>4</v>
      </c>
      <c r="C6" s="17" t="s">
        <v>532</v>
      </c>
      <c r="D6" s="17">
        <v>90</v>
      </c>
      <c r="E6" s="17">
        <v>12.2</v>
      </c>
      <c r="F6" s="17">
        <v>394</v>
      </c>
      <c r="G6" s="17">
        <v>2</v>
      </c>
      <c r="H6" s="17">
        <v>14</v>
      </c>
      <c r="I6" s="17">
        <v>2.2999999999999998</v>
      </c>
      <c r="J6" s="17">
        <v>13.6</v>
      </c>
      <c r="K6" s="17">
        <v>438</v>
      </c>
      <c r="L6" s="17">
        <v>2.2000000000000002</v>
      </c>
      <c r="M6" s="17">
        <v>15.6</v>
      </c>
      <c r="N6" s="17">
        <v>2.6</v>
      </c>
    </row>
    <row r="7" spans="1:14" x14ac:dyDescent="0.25">
      <c r="B7" s="12">
        <v>5</v>
      </c>
      <c r="C7" s="14" t="s">
        <v>171</v>
      </c>
      <c r="D7" s="14">
        <v>90</v>
      </c>
      <c r="E7" s="14">
        <v>10.9</v>
      </c>
      <c r="F7" s="14">
        <v>31</v>
      </c>
      <c r="G7" s="14">
        <v>14</v>
      </c>
      <c r="H7" s="14">
        <v>1.2</v>
      </c>
      <c r="I7" s="14">
        <v>1.6</v>
      </c>
      <c r="J7" s="14">
        <v>12.1</v>
      </c>
      <c r="K7" s="14">
        <v>34</v>
      </c>
      <c r="L7" s="14">
        <v>15.6</v>
      </c>
      <c r="M7" s="14">
        <v>1.3</v>
      </c>
      <c r="N7" s="14">
        <v>1.8</v>
      </c>
    </row>
    <row r="8" spans="1:14" x14ac:dyDescent="0.25">
      <c r="B8" s="15">
        <v>6</v>
      </c>
      <c r="C8" s="17" t="s">
        <v>545</v>
      </c>
      <c r="D8" s="17">
        <v>90</v>
      </c>
      <c r="E8" s="17">
        <v>9.6</v>
      </c>
      <c r="F8" s="17">
        <v>202</v>
      </c>
      <c r="G8" s="17">
        <v>0.9</v>
      </c>
      <c r="H8" s="17">
        <v>6.6</v>
      </c>
      <c r="I8" s="17">
        <v>2.2999999999999998</v>
      </c>
      <c r="J8" s="17">
        <v>10.7</v>
      </c>
      <c r="K8" s="17">
        <v>224</v>
      </c>
      <c r="L8" s="17">
        <v>1</v>
      </c>
      <c r="M8" s="17">
        <v>7.3</v>
      </c>
      <c r="N8" s="17">
        <v>2.6</v>
      </c>
    </row>
    <row r="9" spans="1:14" x14ac:dyDescent="0.25">
      <c r="B9" s="12">
        <v>7</v>
      </c>
      <c r="C9" s="14" t="s">
        <v>546</v>
      </c>
      <c r="D9" s="14">
        <v>8</v>
      </c>
      <c r="E9" s="14">
        <v>0.9</v>
      </c>
      <c r="F9" s="14">
        <v>20</v>
      </c>
      <c r="G9" s="14">
        <v>0.2</v>
      </c>
      <c r="H9" s="14">
        <v>0.7</v>
      </c>
      <c r="I9" s="14">
        <v>0.2</v>
      </c>
      <c r="J9" s="14">
        <v>11.3</v>
      </c>
      <c r="K9" s="14">
        <v>250</v>
      </c>
      <c r="L9" s="14">
        <v>2.5</v>
      </c>
      <c r="M9" s="14">
        <v>8.8000000000000007</v>
      </c>
      <c r="N9" s="14">
        <v>2.5</v>
      </c>
    </row>
    <row r="10" spans="1:14" x14ac:dyDescent="0.25">
      <c r="B10" s="15">
        <v>8</v>
      </c>
      <c r="C10" s="17" t="s">
        <v>547</v>
      </c>
      <c r="D10" s="17">
        <v>91</v>
      </c>
      <c r="E10" s="17">
        <v>11</v>
      </c>
      <c r="F10" s="17">
        <v>621</v>
      </c>
      <c r="G10" s="17">
        <v>54</v>
      </c>
      <c r="H10" s="17">
        <v>35</v>
      </c>
      <c r="I10" s="17">
        <v>1.9</v>
      </c>
      <c r="J10" s="17">
        <v>12.1</v>
      </c>
      <c r="K10" s="17">
        <v>682</v>
      </c>
      <c r="L10" s="17">
        <v>59.3</v>
      </c>
      <c r="M10" s="17">
        <v>38.5</v>
      </c>
      <c r="N10" s="17">
        <v>2.1</v>
      </c>
    </row>
    <row r="11" spans="1:14" x14ac:dyDescent="0.25">
      <c r="B11" s="12">
        <v>9</v>
      </c>
      <c r="C11" s="14" t="s">
        <v>548</v>
      </c>
      <c r="D11" s="14">
        <v>94</v>
      </c>
      <c r="E11" s="14">
        <v>12.2</v>
      </c>
      <c r="F11" s="14">
        <v>712</v>
      </c>
      <c r="G11" s="14">
        <v>30</v>
      </c>
      <c r="H11" s="14">
        <v>21</v>
      </c>
      <c r="I11" s="14">
        <v>1.9</v>
      </c>
      <c r="J11" s="14">
        <v>13</v>
      </c>
      <c r="K11" s="14">
        <v>757</v>
      </c>
      <c r="L11" s="14">
        <v>31.9</v>
      </c>
      <c r="M11" s="14">
        <v>22.3</v>
      </c>
      <c r="N11" s="14">
        <v>2</v>
      </c>
    </row>
    <row r="12" spans="1:14" x14ac:dyDescent="0.25">
      <c r="B12" s="15">
        <v>10</v>
      </c>
      <c r="C12" s="17" t="s">
        <v>533</v>
      </c>
      <c r="D12" s="17">
        <v>91</v>
      </c>
      <c r="E12" s="17">
        <v>12.8</v>
      </c>
      <c r="F12" s="17">
        <v>612</v>
      </c>
      <c r="G12" s="17">
        <v>32</v>
      </c>
      <c r="H12" s="17">
        <v>22</v>
      </c>
      <c r="I12" s="17">
        <v>2</v>
      </c>
      <c r="J12" s="17">
        <v>14.1</v>
      </c>
      <c r="K12" s="17">
        <v>673</v>
      </c>
      <c r="L12" s="17">
        <v>35.200000000000003</v>
      </c>
      <c r="M12" s="17">
        <v>24.2</v>
      </c>
      <c r="N12" s="17">
        <v>2.2000000000000002</v>
      </c>
    </row>
    <row r="13" spans="1:14" x14ac:dyDescent="0.25">
      <c r="B13" s="12">
        <v>11</v>
      </c>
      <c r="C13" s="14" t="s">
        <v>534</v>
      </c>
      <c r="D13" s="14">
        <v>90</v>
      </c>
      <c r="E13" s="14">
        <v>6.6</v>
      </c>
      <c r="F13" s="14">
        <v>29</v>
      </c>
      <c r="G13" s="14">
        <v>3.3</v>
      </c>
      <c r="H13" s="14">
        <v>1.4</v>
      </c>
      <c r="I13" s="14">
        <v>1.4</v>
      </c>
      <c r="J13" s="14">
        <v>6.6</v>
      </c>
      <c r="K13" s="14">
        <v>29</v>
      </c>
      <c r="L13" s="14">
        <v>3.3</v>
      </c>
      <c r="M13" s="14">
        <v>1.4</v>
      </c>
      <c r="N13" s="14">
        <v>1.4</v>
      </c>
    </row>
    <row r="14" spans="1:14" x14ac:dyDescent="0.25">
      <c r="B14" s="15">
        <v>12</v>
      </c>
      <c r="C14" s="17" t="s">
        <v>549</v>
      </c>
      <c r="D14" s="17">
        <v>87</v>
      </c>
      <c r="E14" s="17">
        <v>5.0999999999999996</v>
      </c>
      <c r="F14" s="17">
        <v>24</v>
      </c>
      <c r="G14" s="17">
        <v>1.7</v>
      </c>
      <c r="H14" s="17">
        <v>6.7</v>
      </c>
      <c r="I14" s="17"/>
      <c r="J14" s="17">
        <v>5.9</v>
      </c>
      <c r="K14" s="17">
        <v>28</v>
      </c>
      <c r="L14" s="17">
        <v>2</v>
      </c>
      <c r="M14" s="17">
        <v>7.7</v>
      </c>
      <c r="N14" s="17">
        <v>0</v>
      </c>
    </row>
    <row r="15" spans="1:14" x14ac:dyDescent="0.25">
      <c r="B15" s="12">
        <v>13</v>
      </c>
      <c r="C15" s="14" t="s">
        <v>550</v>
      </c>
      <c r="D15" s="14">
        <v>87</v>
      </c>
      <c r="E15" s="14">
        <v>9.6999999999999993</v>
      </c>
      <c r="F15" s="14">
        <v>75</v>
      </c>
      <c r="G15" s="14">
        <v>0.7</v>
      </c>
      <c r="H15" s="14">
        <v>3.3</v>
      </c>
      <c r="I15" s="14">
        <v>1.1000000000000001</v>
      </c>
      <c r="J15" s="14">
        <v>11.1</v>
      </c>
      <c r="K15" s="14">
        <v>86</v>
      </c>
      <c r="L15" s="14">
        <v>0.8</v>
      </c>
      <c r="M15" s="14">
        <v>3.8</v>
      </c>
      <c r="N15" s="14">
        <v>1.3</v>
      </c>
    </row>
    <row r="16" spans="1:14" x14ac:dyDescent="0.25">
      <c r="B16" s="15">
        <v>14</v>
      </c>
      <c r="C16" s="17" t="s">
        <v>551</v>
      </c>
      <c r="D16" s="17">
        <v>87</v>
      </c>
      <c r="E16" s="17">
        <v>10.4</v>
      </c>
      <c r="F16" s="17">
        <v>104</v>
      </c>
      <c r="G16" s="17">
        <v>0.7</v>
      </c>
      <c r="H16" s="17">
        <v>4</v>
      </c>
      <c r="I16" s="17">
        <v>1.1000000000000001</v>
      </c>
      <c r="J16" s="17">
        <v>12</v>
      </c>
      <c r="K16" s="17">
        <v>120</v>
      </c>
      <c r="L16" s="17">
        <v>0.8</v>
      </c>
      <c r="M16" s="17">
        <v>4.5999999999999996</v>
      </c>
      <c r="N16" s="17">
        <v>1.3</v>
      </c>
    </row>
    <row r="17" spans="2:14" x14ac:dyDescent="0.25">
      <c r="B17" s="12">
        <v>15</v>
      </c>
      <c r="C17" s="14" t="s">
        <v>189</v>
      </c>
      <c r="D17" s="14">
        <v>82</v>
      </c>
      <c r="E17" s="14">
        <v>8.3000000000000007</v>
      </c>
      <c r="F17" s="14">
        <v>7</v>
      </c>
      <c r="G17" s="14">
        <v>3.7</v>
      </c>
      <c r="H17" s="14">
        <v>0.8</v>
      </c>
      <c r="I17" s="14"/>
      <c r="J17" s="14">
        <v>10.1</v>
      </c>
      <c r="K17" s="14">
        <v>9</v>
      </c>
      <c r="L17" s="14">
        <v>4.5</v>
      </c>
      <c r="M17" s="14">
        <v>1</v>
      </c>
      <c r="N17" s="14">
        <v>0</v>
      </c>
    </row>
    <row r="18" spans="2:14" x14ac:dyDescent="0.25">
      <c r="B18" s="15">
        <v>16</v>
      </c>
      <c r="C18" s="17" t="s">
        <v>552</v>
      </c>
      <c r="D18" s="17">
        <v>87</v>
      </c>
      <c r="E18" s="17">
        <v>7.7</v>
      </c>
      <c r="F18" s="17">
        <v>87</v>
      </c>
      <c r="G18" s="17"/>
      <c r="H18" s="17"/>
      <c r="I18" s="17"/>
      <c r="J18" s="17">
        <v>8.9</v>
      </c>
      <c r="K18" s="17">
        <v>100</v>
      </c>
      <c r="L18" s="17">
        <v>0</v>
      </c>
      <c r="M18" s="17">
        <v>0</v>
      </c>
      <c r="N18" s="17">
        <v>0</v>
      </c>
    </row>
    <row r="19" spans="2:14" x14ac:dyDescent="0.25">
      <c r="B19" s="12">
        <v>17</v>
      </c>
      <c r="C19" s="14" t="s">
        <v>553</v>
      </c>
      <c r="D19" s="14">
        <v>87</v>
      </c>
      <c r="E19" s="14">
        <v>11</v>
      </c>
      <c r="F19" s="14">
        <v>73</v>
      </c>
      <c r="G19" s="14">
        <v>0.4</v>
      </c>
      <c r="H19" s="14">
        <v>3.5</v>
      </c>
      <c r="I19" s="14">
        <v>1.1000000000000001</v>
      </c>
      <c r="J19" s="14">
        <v>12.6</v>
      </c>
      <c r="K19" s="14">
        <v>84</v>
      </c>
      <c r="L19" s="14">
        <v>0.5</v>
      </c>
      <c r="M19" s="14">
        <v>4</v>
      </c>
      <c r="N19" s="14">
        <v>1.3</v>
      </c>
    </row>
    <row r="20" spans="2:14" x14ac:dyDescent="0.25">
      <c r="B20" s="15">
        <v>18</v>
      </c>
      <c r="C20" s="17" t="s">
        <v>554</v>
      </c>
      <c r="D20" s="17">
        <v>93</v>
      </c>
      <c r="E20" s="17">
        <v>15.6</v>
      </c>
      <c r="F20" s="17">
        <v>180</v>
      </c>
      <c r="G20" s="17">
        <v>2.6</v>
      </c>
      <c r="H20" s="17">
        <v>5.3</v>
      </c>
      <c r="I20" s="17">
        <v>3.6</v>
      </c>
      <c r="J20" s="17">
        <v>16.8</v>
      </c>
      <c r="K20" s="17">
        <v>194</v>
      </c>
      <c r="L20" s="17">
        <v>2.8</v>
      </c>
      <c r="M20" s="17">
        <v>5.7</v>
      </c>
      <c r="N20" s="17">
        <v>3.9</v>
      </c>
    </row>
    <row r="21" spans="2:14" x14ac:dyDescent="0.25">
      <c r="B21" s="12">
        <v>19</v>
      </c>
      <c r="C21" s="14" t="s">
        <v>555</v>
      </c>
      <c r="D21" s="14">
        <v>90</v>
      </c>
      <c r="E21" s="14">
        <v>12.9</v>
      </c>
      <c r="F21" s="14">
        <v>223</v>
      </c>
      <c r="G21" s="14">
        <v>3.3</v>
      </c>
      <c r="H21" s="14">
        <v>7.7</v>
      </c>
      <c r="I21" s="14">
        <v>4.7</v>
      </c>
      <c r="J21" s="14">
        <v>14.3</v>
      </c>
      <c r="K21" s="14">
        <v>248</v>
      </c>
      <c r="L21" s="14">
        <v>3.7</v>
      </c>
      <c r="M21" s="14">
        <v>8.6</v>
      </c>
      <c r="N21" s="14">
        <v>5.2</v>
      </c>
    </row>
    <row r="22" spans="2:14" x14ac:dyDescent="0.25">
      <c r="B22" s="15">
        <v>20</v>
      </c>
      <c r="C22" s="17" t="s">
        <v>535</v>
      </c>
      <c r="D22" s="17">
        <v>87</v>
      </c>
      <c r="E22" s="17">
        <v>10.8</v>
      </c>
      <c r="F22" s="17">
        <v>343</v>
      </c>
      <c r="G22" s="17">
        <v>3.1</v>
      </c>
      <c r="H22" s="17">
        <v>6.5</v>
      </c>
      <c r="I22" s="17">
        <v>2.7</v>
      </c>
      <c r="J22" s="17">
        <v>12.4</v>
      </c>
      <c r="K22" s="17">
        <v>394</v>
      </c>
      <c r="L22" s="17">
        <v>3.6</v>
      </c>
      <c r="M22" s="17">
        <v>7.5</v>
      </c>
      <c r="N22" s="17">
        <v>3.1</v>
      </c>
    </row>
    <row r="23" spans="2:14" x14ac:dyDescent="0.25">
      <c r="B23" s="12">
        <v>21</v>
      </c>
      <c r="C23" s="14" t="s">
        <v>556</v>
      </c>
      <c r="D23" s="14">
        <v>87</v>
      </c>
      <c r="E23" s="14">
        <v>12.1</v>
      </c>
      <c r="F23" s="14">
        <v>55</v>
      </c>
      <c r="G23" s="14">
        <v>0.3</v>
      </c>
      <c r="H23" s="14">
        <v>2.7</v>
      </c>
      <c r="I23" s="14">
        <v>1.1000000000000001</v>
      </c>
      <c r="J23" s="14">
        <v>13.9</v>
      </c>
      <c r="K23" s="14">
        <v>63</v>
      </c>
      <c r="L23" s="14">
        <v>0.3</v>
      </c>
      <c r="M23" s="14">
        <v>3.1</v>
      </c>
      <c r="N23" s="14">
        <v>1.3</v>
      </c>
    </row>
    <row r="24" spans="2:14" x14ac:dyDescent="0.25">
      <c r="B24" s="15">
        <v>22</v>
      </c>
      <c r="C24" s="17" t="s">
        <v>536</v>
      </c>
      <c r="D24" s="17">
        <v>92</v>
      </c>
      <c r="E24" s="17">
        <v>13</v>
      </c>
      <c r="F24" s="17">
        <v>552</v>
      </c>
      <c r="G24" s="17">
        <v>0.4</v>
      </c>
      <c r="H24" s="17">
        <v>3</v>
      </c>
      <c r="I24" s="17">
        <v>1.1000000000000001</v>
      </c>
      <c r="J24" s="17">
        <v>14.1</v>
      </c>
      <c r="K24" s="17">
        <v>600</v>
      </c>
      <c r="L24" s="17">
        <v>0.4</v>
      </c>
      <c r="M24" s="17">
        <v>3.3</v>
      </c>
      <c r="N24" s="17">
        <v>1.2</v>
      </c>
    </row>
    <row r="25" spans="2:14" x14ac:dyDescent="0.25">
      <c r="B25" s="12">
        <v>23</v>
      </c>
      <c r="C25" s="14" t="s">
        <v>557</v>
      </c>
      <c r="D25" s="14">
        <v>9</v>
      </c>
      <c r="E25" s="14">
        <v>1.2</v>
      </c>
      <c r="F25" s="14">
        <v>28</v>
      </c>
      <c r="G25" s="14">
        <v>1.3</v>
      </c>
      <c r="H25" s="14">
        <v>0.9</v>
      </c>
      <c r="I25" s="14">
        <v>0.1</v>
      </c>
      <c r="J25" s="14">
        <v>13.3</v>
      </c>
      <c r="K25" s="14">
        <v>311</v>
      </c>
      <c r="L25" s="14">
        <v>14.4</v>
      </c>
      <c r="M25" s="14">
        <v>10</v>
      </c>
      <c r="N25" s="14">
        <v>1.1000000000000001</v>
      </c>
    </row>
    <row r="26" spans="2:14" x14ac:dyDescent="0.25">
      <c r="B26" s="15">
        <v>24</v>
      </c>
      <c r="C26" s="17" t="s">
        <v>537</v>
      </c>
      <c r="D26" s="17">
        <v>12</v>
      </c>
      <c r="E26" s="17">
        <v>1.4</v>
      </c>
      <c r="F26" s="17">
        <v>8</v>
      </c>
      <c r="G26" s="17">
        <v>0.4</v>
      </c>
      <c r="H26" s="17">
        <v>0.3</v>
      </c>
      <c r="I26" s="17">
        <v>0.2</v>
      </c>
      <c r="J26" s="17">
        <v>11.7</v>
      </c>
      <c r="K26" s="17">
        <v>67</v>
      </c>
      <c r="L26" s="17">
        <v>3.3</v>
      </c>
      <c r="M26" s="17">
        <v>2.5</v>
      </c>
      <c r="N26" s="17">
        <v>1.7</v>
      </c>
    </row>
    <row r="27" spans="2:14" x14ac:dyDescent="0.25">
      <c r="B27" s="12">
        <v>25</v>
      </c>
      <c r="C27" s="14" t="s">
        <v>558</v>
      </c>
      <c r="D27" s="14">
        <v>91</v>
      </c>
      <c r="E27" s="14">
        <v>11.3</v>
      </c>
      <c r="F27" s="14">
        <v>103</v>
      </c>
      <c r="G27" s="14">
        <v>1.9</v>
      </c>
      <c r="H27" s="14">
        <v>5.9</v>
      </c>
      <c r="I27" s="14">
        <v>2.8</v>
      </c>
      <c r="J27" s="14">
        <v>12.4</v>
      </c>
      <c r="K27" s="14">
        <v>113</v>
      </c>
      <c r="L27" s="14">
        <v>2.1</v>
      </c>
      <c r="M27" s="14">
        <v>6.5</v>
      </c>
      <c r="N27" s="14">
        <v>3.1</v>
      </c>
    </row>
    <row r="28" spans="2:14" x14ac:dyDescent="0.25">
      <c r="B28" s="15">
        <v>26</v>
      </c>
      <c r="C28" s="17" t="s">
        <v>222</v>
      </c>
      <c r="D28" s="17">
        <v>90</v>
      </c>
      <c r="E28" s="17">
        <v>13.1</v>
      </c>
      <c r="F28" s="17">
        <v>685</v>
      </c>
      <c r="G28" s="17">
        <v>1</v>
      </c>
      <c r="H28" s="17">
        <v>4</v>
      </c>
      <c r="I28" s="17">
        <v>1</v>
      </c>
      <c r="J28" s="17">
        <v>14.6</v>
      </c>
      <c r="K28" s="17">
        <v>761</v>
      </c>
      <c r="L28" s="17">
        <v>1.1000000000000001</v>
      </c>
      <c r="M28" s="17">
        <v>4.4000000000000004</v>
      </c>
      <c r="N28" s="17">
        <v>1.1000000000000001</v>
      </c>
    </row>
    <row r="29" spans="2:14" x14ac:dyDescent="0.25">
      <c r="B29" s="12">
        <v>27</v>
      </c>
      <c r="C29" s="14" t="s">
        <v>559</v>
      </c>
      <c r="D29" s="14">
        <v>94</v>
      </c>
      <c r="E29" s="14">
        <v>12.1</v>
      </c>
      <c r="F29" s="14">
        <v>248</v>
      </c>
      <c r="G29" s="14">
        <v>7.5</v>
      </c>
      <c r="H29" s="14">
        <v>10.3</v>
      </c>
      <c r="I29" s="14">
        <v>4.7</v>
      </c>
      <c r="J29" s="14">
        <v>12.9</v>
      </c>
      <c r="K29" s="14">
        <v>264</v>
      </c>
      <c r="L29" s="14">
        <v>8</v>
      </c>
      <c r="M29" s="14">
        <v>11</v>
      </c>
      <c r="N29" s="14">
        <v>5</v>
      </c>
    </row>
    <row r="30" spans="2:14" x14ac:dyDescent="0.25">
      <c r="B30" s="15">
        <v>28</v>
      </c>
      <c r="C30" s="17" t="s">
        <v>560</v>
      </c>
      <c r="D30" s="17">
        <v>94</v>
      </c>
      <c r="E30" s="17">
        <v>12.1</v>
      </c>
      <c r="F30" s="17">
        <v>268</v>
      </c>
      <c r="G30" s="17">
        <v>7.1</v>
      </c>
      <c r="H30" s="17">
        <v>11.7</v>
      </c>
      <c r="I30" s="17">
        <v>3.9</v>
      </c>
      <c r="J30" s="17">
        <v>12.9</v>
      </c>
      <c r="K30" s="17">
        <v>285</v>
      </c>
      <c r="L30" s="17">
        <v>7.6</v>
      </c>
      <c r="M30" s="17">
        <v>12.4</v>
      </c>
      <c r="N30" s="17">
        <v>4.0999999999999996</v>
      </c>
    </row>
    <row r="31" spans="2:14" x14ac:dyDescent="0.25">
      <c r="B31" s="12">
        <v>29</v>
      </c>
      <c r="C31" s="14" t="s">
        <v>561</v>
      </c>
      <c r="D31" s="14">
        <v>93</v>
      </c>
      <c r="E31" s="14">
        <v>16.5</v>
      </c>
      <c r="F31" s="14">
        <v>154</v>
      </c>
      <c r="G31" s="14">
        <v>4</v>
      </c>
      <c r="H31" s="14">
        <v>8</v>
      </c>
      <c r="I31" s="14">
        <v>2.2000000000000002</v>
      </c>
      <c r="J31" s="14">
        <v>17.7</v>
      </c>
      <c r="K31" s="14">
        <v>166</v>
      </c>
      <c r="L31" s="14">
        <v>4.3</v>
      </c>
      <c r="M31" s="14">
        <v>8.6</v>
      </c>
      <c r="N31" s="14">
        <v>2.4</v>
      </c>
    </row>
    <row r="32" spans="2:14" x14ac:dyDescent="0.25">
      <c r="B32" s="15">
        <v>30</v>
      </c>
      <c r="C32" s="17" t="s">
        <v>562</v>
      </c>
      <c r="D32" s="17">
        <v>87</v>
      </c>
      <c r="E32" s="17">
        <v>10.9</v>
      </c>
      <c r="F32" s="17">
        <v>41</v>
      </c>
      <c r="G32" s="17">
        <v>0.6</v>
      </c>
      <c r="H32" s="17">
        <v>2.6</v>
      </c>
      <c r="I32" s="17">
        <v>1.3</v>
      </c>
      <c r="J32" s="17">
        <v>12.5</v>
      </c>
      <c r="K32" s="17">
        <v>47</v>
      </c>
      <c r="L32" s="17">
        <v>0.7</v>
      </c>
      <c r="M32" s="17">
        <v>3</v>
      </c>
      <c r="N32" s="17">
        <v>1.5</v>
      </c>
    </row>
    <row r="33" spans="2:14" x14ac:dyDescent="0.25">
      <c r="B33" s="12">
        <v>31</v>
      </c>
      <c r="C33" s="14" t="s">
        <v>563</v>
      </c>
      <c r="D33" s="14">
        <v>89</v>
      </c>
      <c r="E33" s="14">
        <v>11.9</v>
      </c>
      <c r="F33" s="14">
        <v>39</v>
      </c>
      <c r="G33" s="14">
        <v>0.3</v>
      </c>
      <c r="H33" s="14">
        <v>1</v>
      </c>
      <c r="I33" s="14">
        <v>1</v>
      </c>
      <c r="J33" s="14">
        <v>13.4</v>
      </c>
      <c r="K33" s="14">
        <v>44</v>
      </c>
      <c r="L33" s="14">
        <v>0.3</v>
      </c>
      <c r="M33" s="14">
        <v>1.1000000000000001</v>
      </c>
      <c r="N33" s="14">
        <v>1.1000000000000001</v>
      </c>
    </row>
    <row r="34" spans="2:14" x14ac:dyDescent="0.25">
      <c r="B34" s="15">
        <v>32</v>
      </c>
      <c r="C34" s="17" t="s">
        <v>564</v>
      </c>
      <c r="D34" s="17">
        <v>87</v>
      </c>
      <c r="E34" s="17">
        <v>9</v>
      </c>
      <c r="F34" s="17">
        <v>104</v>
      </c>
      <c r="G34" s="17">
        <v>1</v>
      </c>
      <c r="H34" s="17">
        <v>9.6999999999999993</v>
      </c>
      <c r="I34" s="17">
        <v>3</v>
      </c>
      <c r="J34" s="17">
        <v>10.3</v>
      </c>
      <c r="K34" s="17">
        <v>120</v>
      </c>
      <c r="L34" s="17">
        <v>1.1000000000000001</v>
      </c>
      <c r="M34" s="17">
        <v>11.1</v>
      </c>
      <c r="N34" s="17">
        <v>3.4</v>
      </c>
    </row>
    <row r="35" spans="2:14" x14ac:dyDescent="0.25">
      <c r="B35" s="12">
        <v>33</v>
      </c>
      <c r="C35" s="14" t="s">
        <v>565</v>
      </c>
      <c r="D35" s="14">
        <v>87</v>
      </c>
      <c r="E35" s="14">
        <v>11.6</v>
      </c>
      <c r="F35" s="14">
        <v>55</v>
      </c>
      <c r="G35" s="14">
        <v>0.4</v>
      </c>
      <c r="H35" s="14">
        <v>3.1</v>
      </c>
      <c r="I35" s="14">
        <v>1</v>
      </c>
      <c r="J35" s="14">
        <v>13.3</v>
      </c>
      <c r="K35" s="14">
        <v>63</v>
      </c>
      <c r="L35" s="14">
        <v>0.5</v>
      </c>
      <c r="M35" s="14">
        <v>3.6</v>
      </c>
      <c r="N35" s="14">
        <v>1.1000000000000001</v>
      </c>
    </row>
    <row r="36" spans="2:14" x14ac:dyDescent="0.25">
      <c r="B36" s="15">
        <v>34</v>
      </c>
      <c r="C36" s="17" t="s">
        <v>566</v>
      </c>
      <c r="D36" s="17">
        <v>87</v>
      </c>
      <c r="E36" s="17">
        <v>11.7</v>
      </c>
      <c r="F36" s="17">
        <v>77</v>
      </c>
      <c r="G36" s="17">
        <v>0.3</v>
      </c>
      <c r="H36" s="17">
        <v>3.5</v>
      </c>
      <c r="I36" s="17">
        <v>1.3</v>
      </c>
      <c r="J36" s="17">
        <v>13.4</v>
      </c>
      <c r="K36" s="17">
        <v>89</v>
      </c>
      <c r="L36" s="17">
        <v>0.3</v>
      </c>
      <c r="M36" s="17">
        <v>4</v>
      </c>
      <c r="N36" s="17">
        <v>1.5</v>
      </c>
    </row>
    <row r="37" spans="2:14" x14ac:dyDescent="0.25">
      <c r="B37" s="12">
        <v>35</v>
      </c>
      <c r="C37" s="14" t="s">
        <v>538</v>
      </c>
      <c r="D37" s="14">
        <v>78</v>
      </c>
      <c r="E37" s="14">
        <v>8.6999999999999993</v>
      </c>
      <c r="F37" s="14">
        <v>0</v>
      </c>
      <c r="G37" s="14">
        <v>6.2</v>
      </c>
      <c r="H37" s="14">
        <v>0.6</v>
      </c>
      <c r="I37" s="14">
        <v>3.4</v>
      </c>
      <c r="J37" s="14">
        <v>11.2</v>
      </c>
      <c r="K37" s="14">
        <v>0</v>
      </c>
      <c r="L37" s="14">
        <v>7.9</v>
      </c>
      <c r="M37" s="14">
        <v>0.8</v>
      </c>
      <c r="N37" s="14">
        <v>4.4000000000000004</v>
      </c>
    </row>
    <row r="38" spans="2:14" x14ac:dyDescent="0.25">
      <c r="B38" s="15">
        <v>36</v>
      </c>
      <c r="C38" s="17" t="s">
        <v>567</v>
      </c>
      <c r="D38" s="17">
        <v>75</v>
      </c>
      <c r="E38" s="17">
        <v>8.9</v>
      </c>
      <c r="F38" s="17">
        <v>69</v>
      </c>
      <c r="G38" s="17">
        <v>1.5</v>
      </c>
      <c r="H38" s="17">
        <v>0.1</v>
      </c>
      <c r="I38" s="17">
        <v>0.1</v>
      </c>
      <c r="J38" s="17">
        <v>11.9</v>
      </c>
      <c r="K38" s="17">
        <v>92</v>
      </c>
      <c r="L38" s="17">
        <v>2</v>
      </c>
      <c r="M38" s="17">
        <v>0.1</v>
      </c>
      <c r="N38" s="17">
        <v>0.1</v>
      </c>
    </row>
    <row r="39" spans="2:14" x14ac:dyDescent="0.25">
      <c r="B39" s="12">
        <v>37</v>
      </c>
      <c r="C39" s="14" t="s">
        <v>568</v>
      </c>
      <c r="D39" s="14">
        <v>91</v>
      </c>
      <c r="E39" s="14">
        <v>11.3</v>
      </c>
      <c r="F39" s="14">
        <v>66</v>
      </c>
      <c r="G39" s="14">
        <v>7</v>
      </c>
      <c r="H39" s="14">
        <v>1.1000000000000001</v>
      </c>
      <c r="I39" s="14">
        <v>1.1000000000000001</v>
      </c>
      <c r="J39" s="14">
        <v>12.4</v>
      </c>
      <c r="K39" s="14">
        <v>73</v>
      </c>
      <c r="L39" s="14">
        <v>7.7</v>
      </c>
      <c r="M39" s="14">
        <v>1.2</v>
      </c>
      <c r="N39" s="14">
        <v>1.2</v>
      </c>
    </row>
    <row r="40" spans="2:14" x14ac:dyDescent="0.25">
      <c r="B40" s="15">
        <v>38</v>
      </c>
      <c r="C40" s="17" t="s">
        <v>569</v>
      </c>
      <c r="D40" s="17">
        <v>90</v>
      </c>
      <c r="E40" s="17">
        <v>11.5</v>
      </c>
      <c r="F40" s="17">
        <v>49</v>
      </c>
      <c r="G40" s="17">
        <v>6.3</v>
      </c>
      <c r="H40" s="17">
        <v>0.9</v>
      </c>
      <c r="I40" s="17">
        <v>1.3</v>
      </c>
      <c r="J40" s="17">
        <v>12.8</v>
      </c>
      <c r="K40" s="17">
        <v>54</v>
      </c>
      <c r="L40" s="17">
        <v>7</v>
      </c>
      <c r="M40" s="17">
        <v>1</v>
      </c>
      <c r="N40" s="17">
        <v>1.4</v>
      </c>
    </row>
    <row r="41" spans="2:14" x14ac:dyDescent="0.25">
      <c r="B41" s="12">
        <v>39</v>
      </c>
      <c r="C41" s="14" t="s">
        <v>539</v>
      </c>
      <c r="D41" s="14">
        <v>87</v>
      </c>
      <c r="E41" s="14">
        <v>12.1</v>
      </c>
      <c r="F41" s="14">
        <v>299</v>
      </c>
      <c r="G41" s="14">
        <v>2.2999999999999998</v>
      </c>
      <c r="H41" s="14">
        <v>5.5</v>
      </c>
      <c r="I41" s="14">
        <v>2.5</v>
      </c>
      <c r="J41" s="14">
        <v>13.9</v>
      </c>
      <c r="K41" s="14">
        <v>344</v>
      </c>
      <c r="L41" s="14">
        <v>2.6</v>
      </c>
      <c r="M41" s="14">
        <v>6.3</v>
      </c>
      <c r="N41" s="14">
        <v>2.9</v>
      </c>
    </row>
    <row r="42" spans="2:14" x14ac:dyDescent="0.25">
      <c r="B42" s="15">
        <v>40</v>
      </c>
      <c r="C42" s="17" t="s">
        <v>540</v>
      </c>
      <c r="D42" s="17">
        <v>87</v>
      </c>
      <c r="E42" s="17">
        <v>11.7</v>
      </c>
      <c r="F42" s="17">
        <v>390</v>
      </c>
      <c r="G42" s="17">
        <v>2.8</v>
      </c>
      <c r="H42" s="17">
        <v>6.3</v>
      </c>
      <c r="I42" s="17">
        <v>2.2999999999999998</v>
      </c>
      <c r="J42" s="17">
        <v>13.4</v>
      </c>
      <c r="K42" s="17">
        <v>448</v>
      </c>
      <c r="L42" s="17">
        <v>3.2</v>
      </c>
      <c r="M42" s="17">
        <v>7.2</v>
      </c>
      <c r="N42" s="17">
        <v>2.6</v>
      </c>
    </row>
    <row r="43" spans="2:14" x14ac:dyDescent="0.25">
      <c r="B43" s="12">
        <v>41</v>
      </c>
      <c r="C43" s="14" t="s">
        <v>570</v>
      </c>
      <c r="D43" s="14">
        <v>92</v>
      </c>
      <c r="E43" s="14">
        <v>8.6</v>
      </c>
      <c r="F43" s="14">
        <v>247</v>
      </c>
      <c r="G43" s="14">
        <v>3.2</v>
      </c>
      <c r="H43" s="14">
        <v>9.8000000000000007</v>
      </c>
      <c r="I43" s="14">
        <v>5.2</v>
      </c>
      <c r="J43" s="14">
        <v>9.3000000000000007</v>
      </c>
      <c r="K43" s="14">
        <v>268</v>
      </c>
      <c r="L43" s="14">
        <v>3.5</v>
      </c>
      <c r="M43" s="14">
        <v>10.7</v>
      </c>
      <c r="N43" s="14">
        <v>5.7</v>
      </c>
    </row>
    <row r="44" spans="2:14" x14ac:dyDescent="0.25">
      <c r="B44" s="15">
        <v>42</v>
      </c>
      <c r="C44" s="17" t="s">
        <v>571</v>
      </c>
      <c r="D44" s="17">
        <v>92</v>
      </c>
      <c r="E44" s="17">
        <v>9.8000000000000007</v>
      </c>
      <c r="F44" s="17">
        <v>326</v>
      </c>
      <c r="G44" s="17">
        <v>2.9</v>
      </c>
      <c r="H44" s="17">
        <v>9.8000000000000007</v>
      </c>
      <c r="I44" s="17">
        <v>5.2</v>
      </c>
      <c r="J44" s="17">
        <v>10.7</v>
      </c>
      <c r="K44" s="17">
        <v>354</v>
      </c>
      <c r="L44" s="17">
        <v>3.2</v>
      </c>
      <c r="M44" s="17">
        <v>10.7</v>
      </c>
      <c r="N44" s="17">
        <v>5.7</v>
      </c>
    </row>
    <row r="45" spans="2:14" x14ac:dyDescent="0.25">
      <c r="B45" s="12">
        <v>43</v>
      </c>
      <c r="C45" s="14" t="s">
        <v>541</v>
      </c>
      <c r="D45" s="14">
        <v>87</v>
      </c>
      <c r="E45" s="14">
        <v>11.7</v>
      </c>
      <c r="F45" s="14">
        <v>71</v>
      </c>
      <c r="G45" s="14">
        <v>0.4</v>
      </c>
      <c r="H45" s="14">
        <v>2.7</v>
      </c>
      <c r="I45" s="14">
        <v>1.2</v>
      </c>
      <c r="J45" s="14">
        <v>13.4</v>
      </c>
      <c r="K45" s="14">
        <v>82</v>
      </c>
      <c r="L45" s="14">
        <v>0.5</v>
      </c>
      <c r="M45" s="14">
        <v>3.1</v>
      </c>
      <c r="N45" s="14">
        <v>1.4</v>
      </c>
    </row>
    <row r="46" spans="2:14" x14ac:dyDescent="0.25">
      <c r="B46" s="15">
        <v>44</v>
      </c>
      <c r="C46" s="17" t="s">
        <v>572</v>
      </c>
      <c r="D46" s="17">
        <v>90</v>
      </c>
      <c r="E46" s="17">
        <v>6.3</v>
      </c>
      <c r="F46" s="17">
        <v>0</v>
      </c>
      <c r="G46" s="17">
        <v>3.3</v>
      </c>
      <c r="H46" s="17">
        <v>1.1000000000000001</v>
      </c>
      <c r="I46" s="17">
        <v>1.3</v>
      </c>
      <c r="J46" s="17">
        <v>6.3</v>
      </c>
      <c r="K46" s="17">
        <v>0</v>
      </c>
      <c r="L46" s="17">
        <v>3.3</v>
      </c>
      <c r="M46" s="17">
        <v>1.1000000000000001</v>
      </c>
      <c r="N46" s="17">
        <v>1.3</v>
      </c>
    </row>
    <row r="47" spans="2:14" x14ac:dyDescent="0.25">
      <c r="B47" s="12">
        <v>45</v>
      </c>
      <c r="C47" s="14" t="s">
        <v>573</v>
      </c>
      <c r="D47" s="14">
        <v>90</v>
      </c>
      <c r="E47" s="14">
        <v>8.1999999999999993</v>
      </c>
      <c r="F47" s="14">
        <v>50</v>
      </c>
      <c r="G47" s="14">
        <v>3.3</v>
      </c>
      <c r="H47" s="14">
        <v>1.1000000000000001</v>
      </c>
      <c r="I47" s="14">
        <v>1.3</v>
      </c>
      <c r="J47" s="14">
        <v>8.1999999999999993</v>
      </c>
      <c r="K47" s="14">
        <v>50</v>
      </c>
      <c r="L47" s="14">
        <v>3.3</v>
      </c>
      <c r="M47" s="14">
        <v>1.1000000000000001</v>
      </c>
      <c r="N47" s="14">
        <v>1.3</v>
      </c>
    </row>
    <row r="48" spans="2:14" x14ac:dyDescent="0.25">
      <c r="B48" s="15">
        <v>46</v>
      </c>
      <c r="C48" s="17" t="s">
        <v>574</v>
      </c>
      <c r="D48" s="17">
        <v>88</v>
      </c>
      <c r="E48" s="17">
        <v>10.6</v>
      </c>
      <c r="F48" s="17">
        <v>0</v>
      </c>
      <c r="G48" s="17">
        <v>2.1</v>
      </c>
      <c r="H48" s="17">
        <v>1</v>
      </c>
      <c r="I48" s="17">
        <v>1.1000000000000001</v>
      </c>
      <c r="J48" s="17">
        <v>12</v>
      </c>
      <c r="K48" s="17">
        <v>0</v>
      </c>
      <c r="L48" s="17">
        <v>2.4</v>
      </c>
      <c r="M48" s="17">
        <v>1.1000000000000001</v>
      </c>
      <c r="N48" s="17">
        <v>1.3</v>
      </c>
    </row>
    <row r="49" spans="2:14" x14ac:dyDescent="0.25">
      <c r="B49" s="12">
        <v>47</v>
      </c>
      <c r="C49" s="14" t="s">
        <v>542</v>
      </c>
      <c r="D49" s="14">
        <v>89</v>
      </c>
      <c r="E49" s="14">
        <v>4.3</v>
      </c>
      <c r="F49" s="14">
        <v>22</v>
      </c>
      <c r="G49" s="14">
        <v>8.5</v>
      </c>
      <c r="H49" s="14">
        <v>1.4</v>
      </c>
      <c r="I49" s="14"/>
      <c r="J49" s="14">
        <v>4.8</v>
      </c>
      <c r="K49" s="14">
        <v>25</v>
      </c>
      <c r="L49" s="14">
        <v>9.6</v>
      </c>
      <c r="M49" s="14">
        <v>1.6</v>
      </c>
      <c r="N49" s="14">
        <v>0</v>
      </c>
    </row>
    <row r="50" spans="2:14" x14ac:dyDescent="0.25">
      <c r="B50" s="15">
        <v>48</v>
      </c>
      <c r="C50" s="17" t="s">
        <v>543</v>
      </c>
      <c r="D50" s="17">
        <v>100</v>
      </c>
      <c r="E50" s="17">
        <v>31.3</v>
      </c>
      <c r="F50" s="17">
        <v>0</v>
      </c>
      <c r="G50" s="17">
        <v>0</v>
      </c>
      <c r="H50" s="17">
        <v>0</v>
      </c>
      <c r="I50" s="17">
        <v>0</v>
      </c>
      <c r="J50" s="17">
        <v>31.3</v>
      </c>
      <c r="K50" s="17">
        <v>0</v>
      </c>
      <c r="L50" s="17">
        <v>0</v>
      </c>
      <c r="M50" s="17">
        <v>0</v>
      </c>
      <c r="N50" s="17">
        <v>0</v>
      </c>
    </row>
    <row r="51" spans="2:14" x14ac:dyDescent="0.25">
      <c r="B51" s="12">
        <v>49</v>
      </c>
      <c r="C51" s="14" t="s">
        <v>575</v>
      </c>
      <c r="D51" s="14">
        <v>87</v>
      </c>
      <c r="E51" s="14">
        <v>12.7</v>
      </c>
      <c r="F51" s="14">
        <v>218</v>
      </c>
      <c r="G51" s="14">
        <v>1.1000000000000001</v>
      </c>
      <c r="H51" s="14">
        <v>9.6999999999999993</v>
      </c>
      <c r="I51" s="14">
        <v>2.7</v>
      </c>
      <c r="J51" s="14">
        <v>14.6</v>
      </c>
      <c r="K51" s="14">
        <v>251</v>
      </c>
      <c r="L51" s="14">
        <v>1.3</v>
      </c>
      <c r="M51" s="14">
        <v>11.1</v>
      </c>
      <c r="N51" s="14">
        <v>3.1</v>
      </c>
    </row>
    <row r="52" spans="2:14" x14ac:dyDescent="0.25">
      <c r="B52" s="15">
        <v>50</v>
      </c>
      <c r="C52" s="17" t="s">
        <v>576</v>
      </c>
      <c r="D52" s="17">
        <v>87</v>
      </c>
      <c r="E52" s="17">
        <v>8.5</v>
      </c>
      <c r="F52" s="17">
        <v>104</v>
      </c>
      <c r="G52" s="17">
        <v>1.5</v>
      </c>
      <c r="H52" s="17">
        <v>10.4</v>
      </c>
      <c r="I52" s="17">
        <v>4.5999999999999996</v>
      </c>
      <c r="J52" s="17">
        <v>9.8000000000000007</v>
      </c>
      <c r="K52" s="17">
        <v>120</v>
      </c>
      <c r="L52" s="17">
        <v>1.7</v>
      </c>
      <c r="M52" s="17">
        <v>12</v>
      </c>
      <c r="N52" s="17">
        <v>5.3</v>
      </c>
    </row>
    <row r="53" spans="2:14" x14ac:dyDescent="0.25">
      <c r="B53" s="12">
        <v>51</v>
      </c>
      <c r="C53" s="14" t="s">
        <v>577</v>
      </c>
      <c r="D53" s="14">
        <v>87</v>
      </c>
      <c r="E53" s="14">
        <v>11.4</v>
      </c>
      <c r="F53" s="14">
        <v>88</v>
      </c>
      <c r="G53" s="14">
        <v>0.3</v>
      </c>
      <c r="H53" s="14">
        <v>3.2</v>
      </c>
      <c r="I53" s="14">
        <v>1.3</v>
      </c>
      <c r="J53" s="14">
        <v>13.1</v>
      </c>
      <c r="K53" s="14">
        <v>101</v>
      </c>
      <c r="L53" s="14">
        <v>0.3</v>
      </c>
      <c r="M53" s="14">
        <v>3.7</v>
      </c>
      <c r="N53" s="14">
        <v>1.5</v>
      </c>
    </row>
    <row r="54" spans="2:14" x14ac:dyDescent="0.25">
      <c r="B54" s="15">
        <v>52</v>
      </c>
      <c r="C54" s="17" t="s">
        <v>578</v>
      </c>
      <c r="D54" s="17">
        <v>87</v>
      </c>
      <c r="E54" s="17">
        <v>11.4</v>
      </c>
      <c r="F54" s="17">
        <v>218</v>
      </c>
      <c r="G54" s="17">
        <v>1.3</v>
      </c>
      <c r="H54" s="17">
        <v>4.5</v>
      </c>
      <c r="I54" s="17"/>
      <c r="J54" s="17">
        <v>13.1</v>
      </c>
      <c r="K54" s="17">
        <v>251</v>
      </c>
      <c r="L54" s="17">
        <v>1.5</v>
      </c>
      <c r="M54" s="17">
        <v>5.2</v>
      </c>
      <c r="N54" s="17">
        <v>0</v>
      </c>
    </row>
    <row r="55" spans="2:14" x14ac:dyDescent="0.25">
      <c r="B55" s="12">
        <v>53</v>
      </c>
      <c r="C55" s="14" t="s">
        <v>579</v>
      </c>
      <c r="D55" s="14">
        <v>87</v>
      </c>
      <c r="E55" s="14">
        <v>11.1</v>
      </c>
      <c r="F55" s="14">
        <v>218</v>
      </c>
      <c r="G55" s="14">
        <v>3</v>
      </c>
      <c r="H55" s="14">
        <v>3.6</v>
      </c>
      <c r="I55" s="14">
        <v>1.1000000000000001</v>
      </c>
      <c r="J55" s="14">
        <v>12.8</v>
      </c>
      <c r="K55" s="14">
        <v>251</v>
      </c>
      <c r="L55" s="14">
        <v>3.4</v>
      </c>
      <c r="M55" s="14">
        <v>4.0999999999999996</v>
      </c>
      <c r="N55" s="14">
        <v>1.3</v>
      </c>
    </row>
    <row r="56" spans="2:14" x14ac:dyDescent="0.25">
      <c r="B56" s="15">
        <v>54</v>
      </c>
      <c r="C56" s="17" t="s">
        <v>580</v>
      </c>
      <c r="D56" s="17">
        <v>87</v>
      </c>
      <c r="E56" s="17">
        <v>11.1</v>
      </c>
      <c r="F56" s="17">
        <v>176</v>
      </c>
      <c r="G56" s="17">
        <v>0.8</v>
      </c>
      <c r="H56" s="17">
        <v>3.7</v>
      </c>
      <c r="I56" s="17">
        <v>1.1000000000000001</v>
      </c>
      <c r="J56" s="17">
        <v>12.8</v>
      </c>
      <c r="K56" s="17">
        <v>202</v>
      </c>
      <c r="L56" s="17">
        <v>0.9</v>
      </c>
      <c r="M56" s="17">
        <v>4.3</v>
      </c>
      <c r="N56" s="17">
        <v>1.3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2" sqref="E2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329</v>
      </c>
      <c r="E2" s="19" t="s">
        <v>330</v>
      </c>
      <c r="F2" s="19" t="s">
        <v>331</v>
      </c>
      <c r="G2" s="19" t="s">
        <v>332</v>
      </c>
      <c r="H2" s="19" t="s">
        <v>333</v>
      </c>
      <c r="I2" s="19" t="s">
        <v>334</v>
      </c>
      <c r="J2" s="19" t="s">
        <v>335</v>
      </c>
      <c r="K2" s="19" t="s">
        <v>336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337</v>
      </c>
      <c r="Q2" s="19" t="s">
        <v>338</v>
      </c>
      <c r="R2" s="19" t="s">
        <v>151</v>
      </c>
      <c r="S2" s="19" t="s">
        <v>152</v>
      </c>
      <c r="T2" s="19" t="s">
        <v>339</v>
      </c>
      <c r="U2" s="19" t="s">
        <v>340</v>
      </c>
    </row>
    <row r="3" spans="1:21" x14ac:dyDescent="0.25">
      <c r="A3" t="s">
        <v>310</v>
      </c>
      <c r="B3" s="12">
        <v>1</v>
      </c>
      <c r="C3" s="14" t="s">
        <v>341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342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343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344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345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346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347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348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349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350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351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352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353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354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355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356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357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358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359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360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361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362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363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364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380</v>
      </c>
      <c r="B27" s="12">
        <v>25</v>
      </c>
      <c r="C27" s="14" t="s">
        <v>365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366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367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368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369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312</v>
      </c>
      <c r="B32" s="15">
        <v>30</v>
      </c>
      <c r="C32" s="17" t="s">
        <v>370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371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372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373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374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375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376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377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378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379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default</vt:lpstr>
      <vt:lpstr>feed pars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2023-10-05T14:06:21Z</dcterms:modified>
</cp:coreProperties>
</file>