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relations" sheetId="2" r:id="rId1"/>
    <sheet name="default" sheetId="1" r:id="rId2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46" i="1" l="1"/>
  <c r="K45" i="1"/>
  <c r="K44" i="1"/>
  <c r="K3" i="1" l="1"/>
</calcChain>
</file>

<file path=xl/sharedStrings.xml><?xml version="1.0" encoding="utf-8"?>
<sst xmlns="http://schemas.openxmlformats.org/spreadsheetml/2006/main" count="169" uniqueCount="76">
  <si>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</si>
  <si>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</si>
  <si>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</si>
  <si>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</si>
  <si>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</si>
  <si>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</si>
  <si>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</si>
  <si>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</si>
  <si>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</si>
  <si>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</si>
  <si>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</si>
  <si>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</si>
  <si>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</si>
  <si>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</si>
  <si>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</si>
  <si>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</si>
  <si>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</si>
  <si>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</si>
  <si>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</si>
  <si>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</si>
  <si>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</si>
  <si>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</si>
  <si>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</si>
  <si>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</si>
  <si>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</si>
  <si>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</si>
  <si>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</si>
  <si>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</si>
  <si>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</si>
  <si>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</si>
  <si>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</si>
  <si>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</si>
  <si>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</si>
  <si>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</si>
  <si>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</si>
  <si>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</si>
  <si>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</si>
  <si>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</si>
  <si>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</si>
  <si>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</si>
  <si>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</si>
  <si>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</si>
  <si>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</si>
  <si>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</si>
  <si>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wheat bran</t>
  </si>
  <si>
    <t>wheat germ</t>
  </si>
  <si>
    <t>Rice and products</t>
  </si>
  <si>
    <t>organic</t>
  </si>
  <si>
    <t>Fallback</t>
  </si>
  <si>
    <t>conventional</t>
  </si>
  <si>
    <t>-</t>
  </si>
  <si>
    <t>f_origin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</si>
  <si>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</si>
  <si>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Share conventional is calculated as what remains</t>
  </si>
  <si>
    <t>need to check overlap with food_to_prod</t>
  </si>
  <si>
    <t>Barley and products</t>
  </si>
  <si>
    <t>barley</t>
  </si>
  <si>
    <t>barley bran</t>
  </si>
  <si>
    <t>barley hulls</t>
  </si>
  <si>
    <t>food</t>
  </si>
  <si>
    <t>food_group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</si>
  <si>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</si>
  <si>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</si>
  <si>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</si>
  <si>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</si>
  <si>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</si>
  <si>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</si>
  <si>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</si>
  <si>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</si>
  <si>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</si>
  <si>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t>offals</t>
  </si>
  <si>
    <t>fat</t>
  </si>
  <si>
    <t>skins</t>
  </si>
  <si>
    <t>butcher fat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</si>
  <si>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</si>
  <si>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conv_factor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</si>
</sst>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1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171" fontId="0" fillId="0" borderId="0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B6" sqref="B6"/>
    </sheetView>
  </sheetViews>
  <sheetFormatPr defaultRowHeight="15" x14ac:dyDescent="0.25"/>
  <cols>
    <col min="1" max="1" width="19" bestFit="1" customWidth="1"/>
    <col min="2" max="2" width="11.28515625" bestFit="1" customWidth="1"/>
  </cols>
  <sheetData>
    <row r="1" spans="1:2" x14ac:dyDescent="0.25">
      <c r="A1" t="s">
        <v>59</v>
      </c>
      <c r="B1" t="s">
        <v>60</v>
      </c>
    </row>
    <row r="2" spans="1:2" x14ac:dyDescent="0.25">
      <c r="A2" t="s">
        <v>35</v>
      </c>
      <c r="B2" t="s">
        <v>26</v>
      </c>
    </row>
    <row r="3" spans="1:2" x14ac:dyDescent="0.25">
      <c r="A3" t="s">
        <v>46</v>
      </c>
      <c r="B3" t="s">
        <v>26</v>
      </c>
    </row>
    <row r="4" spans="1:2" x14ac:dyDescent="0.25">
      <c r="A4" t="s">
        <v>55</v>
      </c>
      <c r="B4" t="s">
        <v>26</v>
      </c>
    </row>
    <row r="5" spans="1:2" x14ac:dyDescent="0.25">
      <c r="A5" t="s">
        <v>66</v>
      </c>
      <c r="B5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0"/>
  <sheetViews>
    <sheetView tabSelected="1" workbookViewId="0">
      <pane ySplit="1" topLeftCell="A30" activePane="bottomLeft" state="frozen"/>
      <selection pane="bottomLeft" activeCell="J52" sqref="J52"/>
    </sheetView>
  </sheetViews>
  <sheetFormatPr defaultRowHeight="15" x14ac:dyDescent="0.25"/>
  <cols>
    <col min="1" max="1" width="37.28515625" customWidth="1"/>
    <col min="2" max="2" width="19" customWidth="1"/>
    <col min="3" max="5" width="15.42578125" customWidth="1"/>
    <col min="6" max="9" width="14.28515625" customWidth="1"/>
    <col min="10" max="10" width="21.42578125" bestFit="1" customWidth="1"/>
    <col min="13" max="13" width="48.85546875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68</v>
      </c>
      <c r="E1" s="2" t="s">
        <v>36</v>
      </c>
      <c r="F1" s="2" t="s">
        <v>28</v>
      </c>
      <c r="G1" s="2" t="s">
        <v>51</v>
      </c>
      <c r="H1" s="2" t="s">
        <v>43</v>
      </c>
      <c r="I1" s="2" t="s">
        <v>61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1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35</v>
      </c>
      <c r="J7" t="s">
        <v>18</v>
      </c>
      <c r="K7">
        <v>93.1</v>
      </c>
      <c r="L7" t="s">
        <v>19</v>
      </c>
    </row>
    <row r="8" spans="1:14" x14ac:dyDescent="0.25">
      <c r="A8" t="s">
        <v>46</v>
      </c>
      <c r="J8" t="s">
        <v>18</v>
      </c>
      <c r="K8">
        <v>14.1</v>
      </c>
      <c r="L8" t="s">
        <v>19</v>
      </c>
    </row>
    <row r="9" spans="1:14" x14ac:dyDescent="0.25">
      <c r="A9" t="s">
        <v>55</v>
      </c>
      <c r="J9" t="s">
        <v>18</v>
      </c>
      <c r="K9">
        <v>3.5</v>
      </c>
      <c r="L9" t="s">
        <v>19</v>
      </c>
    </row>
    <row r="10" spans="1:14" x14ac:dyDescent="0.25">
      <c r="A10" s="5" t="s">
        <v>11</v>
      </c>
      <c r="B10" s="5"/>
      <c r="C10" s="5"/>
      <c r="D10" s="5"/>
      <c r="E10" s="5"/>
      <c r="F10" s="5"/>
      <c r="G10" s="5"/>
      <c r="H10" s="5"/>
      <c r="I10" s="5"/>
      <c r="J10" s="6"/>
      <c r="K10" s="6"/>
      <c r="L10" s="6"/>
      <c r="M10" s="6"/>
      <c r="N10" s="6"/>
    </row>
    <row r="11" spans="1:14" x14ac:dyDescent="0.25">
      <c r="A11" s="5" t="s">
        <v>12</v>
      </c>
      <c r="B11" s="5"/>
      <c r="C11" s="5"/>
      <c r="D11" s="5"/>
      <c r="E11" s="5"/>
      <c r="F11" s="5"/>
      <c r="G11" s="5"/>
      <c r="H11" s="5"/>
      <c r="I11" s="5"/>
      <c r="J11" s="6"/>
      <c r="K11" s="6"/>
      <c r="L11" s="6"/>
      <c r="M11" s="6"/>
      <c r="N11" s="6"/>
    </row>
    <row r="12" spans="1:14" x14ac:dyDescent="0.25">
      <c r="A12" s="5" t="s">
        <v>13</v>
      </c>
      <c r="B12" s="5"/>
      <c r="C12" s="5"/>
      <c r="D12" s="5"/>
      <c r="E12" s="5"/>
      <c r="F12" s="5"/>
      <c r="G12" s="5"/>
      <c r="H12" s="5"/>
      <c r="I12" s="5"/>
      <c r="J12" s="6"/>
      <c r="K12" s="6"/>
      <c r="L12" s="6"/>
      <c r="M12" s="6"/>
      <c r="N12" s="6"/>
    </row>
    <row r="13" spans="1:14" x14ac:dyDescent="0.25">
      <c r="A13" s="5" t="s">
        <v>14</v>
      </c>
      <c r="B13" s="5"/>
      <c r="C13" s="5"/>
      <c r="D13" s="5"/>
      <c r="E13" s="5"/>
      <c r="F13" s="5"/>
      <c r="G13" s="5"/>
      <c r="H13" s="5"/>
      <c r="I13" s="5"/>
      <c r="J13" s="6"/>
      <c r="K13" s="6"/>
      <c r="L13" s="6"/>
      <c r="M13" s="6"/>
      <c r="N13" s="6"/>
    </row>
    <row r="14" spans="1:14" x14ac:dyDescent="0.25">
      <c r="A14" s="5" t="s">
        <v>23</v>
      </c>
      <c r="B14" s="5"/>
      <c r="C14" s="5"/>
      <c r="D14" s="5"/>
      <c r="E14" s="5"/>
      <c r="F14" s="5"/>
      <c r="G14" s="5"/>
      <c r="H14" s="5"/>
      <c r="I14" s="5"/>
      <c r="J14" s="6"/>
      <c r="K14" s="6"/>
      <c r="L14" s="6"/>
      <c r="M14" s="6"/>
      <c r="N14" s="6"/>
    </row>
    <row r="15" spans="1:14" x14ac:dyDescent="0.25">
      <c r="A15" t="s">
        <v>66</v>
      </c>
      <c r="J15" t="s">
        <v>18</v>
      </c>
      <c r="K15">
        <v>60.6</v>
      </c>
      <c r="L15" t="s">
        <v>19</v>
      </c>
    </row>
    <row r="16" spans="1:14" x14ac:dyDescent="0.25">
      <c r="A16" s="5" t="s">
        <v>15</v>
      </c>
      <c r="B16" s="5"/>
      <c r="C16" s="5"/>
      <c r="D16" s="5"/>
      <c r="E16" s="5"/>
      <c r="F16" s="5"/>
      <c r="G16" s="5"/>
      <c r="H16" s="5"/>
      <c r="I16" s="5"/>
      <c r="J16" s="6"/>
      <c r="K16" s="6"/>
      <c r="L16" s="6"/>
      <c r="M16" s="6"/>
      <c r="N16" s="6"/>
    </row>
    <row r="17" spans="1:14" x14ac:dyDescent="0.25">
      <c r="A17" s="5" t="s">
        <v>16</v>
      </c>
      <c r="B17" s="5"/>
      <c r="C17" s="5"/>
      <c r="D17" s="5"/>
      <c r="E17" s="5"/>
      <c r="F17" s="5"/>
      <c r="G17" s="5"/>
      <c r="H17" s="5"/>
      <c r="I17" s="5"/>
      <c r="J17" s="6"/>
      <c r="K17" s="6"/>
      <c r="L17" s="6"/>
      <c r="M17" s="6"/>
      <c r="N17" s="6"/>
    </row>
    <row r="18" spans="1:14" x14ac:dyDescent="0.25">
      <c r="A18" s="5" t="s">
        <v>20</v>
      </c>
      <c r="B18" s="5"/>
      <c r="C18" s="5"/>
      <c r="D18" s="5"/>
      <c r="E18" s="5"/>
      <c r="F18" s="5"/>
      <c r="G18" s="5"/>
      <c r="H18" s="5"/>
      <c r="I18" s="5"/>
      <c r="J18" s="6"/>
      <c r="K18" s="6"/>
      <c r="L18" s="6"/>
      <c r="M18" s="6"/>
      <c r="N18" s="6"/>
    </row>
    <row r="19" spans="1:14" x14ac:dyDescent="0.25">
      <c r="A19" s="5" t="s">
        <v>21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5" t="s">
        <v>22</v>
      </c>
      <c r="B20" s="5"/>
      <c r="C20" s="5"/>
      <c r="D20" s="5"/>
      <c r="E20" s="5"/>
      <c r="F20" s="5"/>
      <c r="G20" s="5"/>
      <c r="H20" s="5"/>
      <c r="I20" s="5"/>
      <c r="J20" s="6"/>
      <c r="K20" s="6"/>
      <c r="L20" s="6"/>
      <c r="M20" s="6"/>
      <c r="N20" s="6"/>
    </row>
    <row r="21" spans="1:14" x14ac:dyDescent="0.25">
      <c r="A21" s="5" t="s">
        <v>24</v>
      </c>
      <c r="B21" s="5"/>
      <c r="C21" s="5"/>
      <c r="D21" s="5"/>
      <c r="E21" s="5"/>
      <c r="F21" s="5"/>
      <c r="G21" s="5"/>
      <c r="H21" s="5"/>
      <c r="I21" s="5"/>
      <c r="J21" s="6"/>
      <c r="K21" s="6"/>
      <c r="L21" s="6"/>
      <c r="M21" s="6"/>
      <c r="N21" s="6"/>
    </row>
    <row r="22" spans="1:14" x14ac:dyDescent="0.25">
      <c r="A22" s="5" t="s">
        <v>29</v>
      </c>
      <c r="B22" s="5"/>
      <c r="C22" s="5"/>
      <c r="D22" s="5"/>
      <c r="E22" s="5"/>
      <c r="F22" s="5"/>
      <c r="G22" s="5"/>
      <c r="H22" s="5"/>
      <c r="I22" s="5"/>
      <c r="J22" s="6"/>
      <c r="K22" s="6"/>
      <c r="L22" s="6"/>
      <c r="M22" s="6"/>
      <c r="N22" s="6"/>
    </row>
    <row r="23" spans="1:14" x14ac:dyDescent="0.25">
      <c r="A23" s="5" t="s">
        <v>30</v>
      </c>
      <c r="B23" s="5"/>
      <c r="C23" s="5"/>
      <c r="D23" s="5"/>
      <c r="E23" s="5"/>
      <c r="F23" s="5"/>
      <c r="G23" s="5"/>
      <c r="H23" s="5"/>
      <c r="I23" s="5"/>
      <c r="J23" s="6"/>
      <c r="K23" s="6"/>
      <c r="L23" s="6"/>
      <c r="M23" s="6"/>
      <c r="N23" s="6"/>
    </row>
    <row r="24" spans="1:14" x14ac:dyDescent="0.25">
      <c r="A24" s="5" t="s">
        <v>31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5" t="s">
        <v>32</v>
      </c>
      <c r="B25" s="5"/>
      <c r="C25" s="5"/>
      <c r="D25" s="5"/>
      <c r="E25" s="5"/>
      <c r="F25" s="5"/>
      <c r="G25" s="5"/>
      <c r="H25" s="5"/>
      <c r="I25" s="5"/>
      <c r="J25" s="6"/>
      <c r="K25" s="6"/>
      <c r="L25" s="6"/>
      <c r="M25" s="6"/>
      <c r="N25" s="6"/>
    </row>
    <row r="26" spans="1:14" x14ac:dyDescent="0.25">
      <c r="A26" s="5" t="s">
        <v>33</v>
      </c>
      <c r="B26" s="5"/>
      <c r="C26" s="5"/>
      <c r="D26" s="5"/>
      <c r="E26" s="5"/>
      <c r="F26" s="5"/>
      <c r="G26" s="5"/>
      <c r="H26" s="5"/>
      <c r="I26" s="5"/>
      <c r="J26" s="6"/>
      <c r="K26" s="6"/>
      <c r="L26" s="6"/>
      <c r="M26" s="6"/>
      <c r="N26" s="6"/>
    </row>
    <row r="28" spans="1:14" x14ac:dyDescent="0.25">
      <c r="A28" s="3" t="s">
        <v>34</v>
      </c>
      <c r="B28" s="3"/>
      <c r="C28" s="3"/>
      <c r="D28" s="3"/>
      <c r="E28" s="3"/>
      <c r="F28" s="3"/>
      <c r="G28" s="3"/>
      <c r="H28" s="3"/>
      <c r="I28" s="3"/>
      <c r="J28" s="4"/>
      <c r="K28" s="4"/>
      <c r="L28" s="4"/>
      <c r="M28" s="4"/>
      <c r="N28" s="4"/>
    </row>
    <row r="29" spans="1:14" x14ac:dyDescent="0.25">
      <c r="B29" t="s">
        <v>26</v>
      </c>
      <c r="I29" t="s">
        <v>62</v>
      </c>
      <c r="J29" t="s">
        <v>65</v>
      </c>
      <c r="K29">
        <v>25</v>
      </c>
      <c r="L29" t="s">
        <v>39</v>
      </c>
    </row>
    <row r="30" spans="1:14" x14ac:dyDescent="0.25">
      <c r="B30" t="s">
        <v>26</v>
      </c>
      <c r="I30" t="s">
        <v>63</v>
      </c>
      <c r="J30" t="s">
        <v>65</v>
      </c>
      <c r="K30">
        <v>2</v>
      </c>
      <c r="L30" t="s">
        <v>39</v>
      </c>
    </row>
    <row r="31" spans="1:14" x14ac:dyDescent="0.25">
      <c r="B31" t="s">
        <v>26</v>
      </c>
      <c r="I31" t="s">
        <v>64</v>
      </c>
      <c r="J31" t="s">
        <v>65</v>
      </c>
      <c r="K31" s="7">
        <v>10.5</v>
      </c>
      <c r="L31" t="s">
        <v>39</v>
      </c>
      <c r="M31" s="7" t="s">
        <v>54</v>
      </c>
    </row>
    <row r="32" spans="1:14" x14ac:dyDescent="0.25">
      <c r="B32" t="s">
        <v>67</v>
      </c>
      <c r="I32" t="s">
        <v>62</v>
      </c>
      <c r="J32" t="s">
        <v>65</v>
      </c>
      <c r="K32">
        <v>11</v>
      </c>
      <c r="L32" t="s">
        <v>39</v>
      </c>
    </row>
    <row r="33" spans="1:14" x14ac:dyDescent="0.25">
      <c r="B33" t="s">
        <v>67</v>
      </c>
      <c r="I33" t="s">
        <v>63</v>
      </c>
      <c r="J33" t="s">
        <v>65</v>
      </c>
      <c r="K33">
        <v>4</v>
      </c>
      <c r="L33" t="s">
        <v>39</v>
      </c>
    </row>
    <row r="34" spans="1:14" x14ac:dyDescent="0.25">
      <c r="B34" t="s">
        <v>67</v>
      </c>
      <c r="I34" t="s">
        <v>64</v>
      </c>
      <c r="J34" t="s">
        <v>65</v>
      </c>
      <c r="K34" s="7">
        <v>5</v>
      </c>
      <c r="L34" t="s">
        <v>39</v>
      </c>
      <c r="M34" s="7" t="s">
        <v>54</v>
      </c>
    </row>
    <row r="36" spans="1:14" x14ac:dyDescent="0.25">
      <c r="A36" s="3" t="s">
        <v>74</v>
      </c>
      <c r="B36" s="3"/>
      <c r="C36" s="3"/>
      <c r="D36" s="3"/>
      <c r="E36" s="3"/>
      <c r="F36" s="3"/>
      <c r="G36" s="3"/>
      <c r="H36" s="3"/>
      <c r="I36" s="3"/>
      <c r="J36" s="4"/>
      <c r="K36" s="4"/>
      <c r="L36" s="4"/>
      <c r="M36" s="4"/>
      <c r="N36" s="4"/>
    </row>
    <row r="37" spans="1:14" x14ac:dyDescent="0.25">
      <c r="A37" t="s">
        <v>35</v>
      </c>
      <c r="C37" t="s">
        <v>38</v>
      </c>
      <c r="J37" t="s">
        <v>75</v>
      </c>
      <c r="K37">
        <v>79</v>
      </c>
      <c r="L37" t="s">
        <v>39</v>
      </c>
    </row>
    <row r="38" spans="1:14" x14ac:dyDescent="0.25">
      <c r="A38" t="s">
        <v>35</v>
      </c>
      <c r="F38" t="s">
        <v>44</v>
      </c>
      <c r="J38" t="s">
        <v>75</v>
      </c>
      <c r="K38">
        <v>19</v>
      </c>
      <c r="L38" t="s">
        <v>39</v>
      </c>
    </row>
    <row r="39" spans="1:14" x14ac:dyDescent="0.25">
      <c r="A39" t="s">
        <v>35</v>
      </c>
      <c r="F39" t="s">
        <v>45</v>
      </c>
      <c r="J39" t="s">
        <v>75</v>
      </c>
      <c r="K39">
        <v>2</v>
      </c>
      <c r="L39" t="s">
        <v>39</v>
      </c>
    </row>
    <row r="40" spans="1:14" x14ac:dyDescent="0.25">
      <c r="A40" s="9" t="s">
        <v>55</v>
      </c>
      <c r="B40" s="9"/>
      <c r="C40" s="9" t="s">
        <v>56</v>
      </c>
      <c r="D40" s="9"/>
      <c r="E40" s="9"/>
      <c r="F40" s="9"/>
      <c r="G40" s="9"/>
      <c r="H40" s="9"/>
      <c r="I40" s="9"/>
      <c r="J40" t="s">
        <v>75</v>
      </c>
      <c r="K40" s="9">
        <v>91</v>
      </c>
      <c r="L40" s="9" t="s">
        <v>39</v>
      </c>
      <c r="M40" s="9"/>
      <c r="N40" s="9"/>
    </row>
    <row r="41" spans="1:14" x14ac:dyDescent="0.25">
      <c r="A41" s="9" t="s">
        <v>55</v>
      </c>
      <c r="B41" s="9"/>
      <c r="C41" s="9"/>
      <c r="D41" s="9"/>
      <c r="E41" s="9"/>
      <c r="F41" s="9" t="s">
        <v>57</v>
      </c>
      <c r="G41" s="9"/>
      <c r="H41" s="9"/>
      <c r="I41" s="9"/>
      <c r="J41" t="s">
        <v>75</v>
      </c>
      <c r="K41" s="9">
        <v>0</v>
      </c>
      <c r="L41" s="9" t="s">
        <v>39</v>
      </c>
      <c r="M41" s="9"/>
      <c r="N41" s="9"/>
    </row>
    <row r="42" spans="1:14" x14ac:dyDescent="0.25">
      <c r="A42" s="9" t="s">
        <v>55</v>
      </c>
      <c r="B42" s="9"/>
      <c r="C42" s="9"/>
      <c r="D42" s="9"/>
      <c r="E42" s="9"/>
      <c r="F42" s="9" t="s">
        <v>58</v>
      </c>
      <c r="G42" s="9"/>
      <c r="H42" s="9"/>
      <c r="I42" s="9"/>
      <c r="J42" t="s">
        <v>75</v>
      </c>
      <c r="K42" s="9">
        <v>9</v>
      </c>
      <c r="L42" s="9" t="s">
        <v>39</v>
      </c>
      <c r="M42" s="9"/>
      <c r="N42" s="9"/>
    </row>
    <row r="43" spans="1:14" x14ac:dyDescent="0.25">
      <c r="A43" s="9" t="s">
        <v>66</v>
      </c>
      <c r="B43" s="9"/>
      <c r="C43" s="9"/>
      <c r="D43" s="9" t="s">
        <v>69</v>
      </c>
      <c r="E43" s="9" t="s">
        <v>67</v>
      </c>
      <c r="F43" s="9"/>
      <c r="G43" s="9"/>
      <c r="H43" s="9"/>
      <c r="I43" s="9"/>
      <c r="J43" t="s">
        <v>75</v>
      </c>
      <c r="K43" s="10">
        <v>73</v>
      </c>
      <c r="L43" s="9" t="s">
        <v>39</v>
      </c>
      <c r="M43" s="9"/>
      <c r="N43" s="9"/>
    </row>
    <row r="44" spans="1:14" x14ac:dyDescent="0.25">
      <c r="A44" s="9" t="s">
        <v>66</v>
      </c>
      <c r="B44" s="9"/>
      <c r="C44" s="9"/>
      <c r="D44" s="9" t="s">
        <v>69</v>
      </c>
      <c r="E44" s="9"/>
      <c r="F44" s="9" t="s">
        <v>70</v>
      </c>
      <c r="G44" s="9"/>
      <c r="H44" s="9"/>
      <c r="I44" s="9"/>
      <c r="J44" t="s">
        <v>75</v>
      </c>
      <c r="K44" s="11">
        <f>(1/0.76)*4</f>
        <v>5.2631578947368425</v>
      </c>
      <c r="L44" s="9" t="s">
        <v>39</v>
      </c>
      <c r="M44" s="9"/>
      <c r="N44" s="9"/>
    </row>
    <row r="45" spans="1:14" x14ac:dyDescent="0.25">
      <c r="A45" s="9" t="s">
        <v>66</v>
      </c>
      <c r="B45" s="9"/>
      <c r="C45" s="9"/>
      <c r="D45" s="9" t="s">
        <v>69</v>
      </c>
      <c r="E45" s="9"/>
      <c r="F45" s="9" t="s">
        <v>71</v>
      </c>
      <c r="G45" s="9"/>
      <c r="H45" s="9"/>
      <c r="I45" s="9"/>
      <c r="J45" t="s">
        <v>75</v>
      </c>
      <c r="K45" s="11">
        <f>(1/0.76)*6</f>
        <v>7.8947368421052637</v>
      </c>
      <c r="L45" s="9" t="s">
        <v>39</v>
      </c>
      <c r="M45" s="9"/>
      <c r="N45" s="9"/>
    </row>
    <row r="46" spans="1:14" x14ac:dyDescent="0.25">
      <c r="A46" s="9" t="s">
        <v>66</v>
      </c>
      <c r="B46" s="9"/>
      <c r="C46" s="9"/>
      <c r="D46" s="9" t="s">
        <v>69</v>
      </c>
      <c r="E46" s="9"/>
      <c r="F46" s="9" t="s">
        <v>72</v>
      </c>
      <c r="G46" s="9"/>
      <c r="H46" s="9"/>
      <c r="I46" s="9"/>
      <c r="J46" t="s">
        <v>75</v>
      </c>
      <c r="K46" s="11">
        <f>(1/0.76)*5</f>
        <v>6.5789473684210531</v>
      </c>
      <c r="L46" s="9" t="s">
        <v>39</v>
      </c>
      <c r="M46" s="9"/>
      <c r="N46" s="9"/>
    </row>
    <row r="47" spans="1:14" x14ac:dyDescent="0.25">
      <c r="A47" s="9" t="s">
        <v>66</v>
      </c>
      <c r="B47" s="9"/>
      <c r="C47" s="9"/>
      <c r="D47" s="9" t="s">
        <v>69</v>
      </c>
      <c r="E47" s="9"/>
      <c r="F47" s="9" t="s">
        <v>73</v>
      </c>
      <c r="G47" s="9"/>
      <c r="H47" s="9"/>
      <c r="I47" s="9"/>
      <c r="J47" t="s">
        <v>75</v>
      </c>
      <c r="K47" s="10">
        <v>18</v>
      </c>
      <c r="L47" s="9" t="s">
        <v>39</v>
      </c>
      <c r="M47" s="9"/>
      <c r="N47" s="9"/>
    </row>
    <row r="48" spans="1:14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spans="1:14" x14ac:dyDescent="0.25">
      <c r="A49" s="3" t="s">
        <v>40</v>
      </c>
      <c r="B49" s="3"/>
      <c r="C49" s="3"/>
      <c r="D49" s="3"/>
      <c r="E49" s="3"/>
      <c r="F49" s="3"/>
      <c r="G49" s="3"/>
      <c r="H49" s="3"/>
      <c r="I49" s="3"/>
      <c r="J49" s="4"/>
      <c r="K49" s="4"/>
      <c r="L49" s="4"/>
      <c r="M49" s="4"/>
      <c r="N49" s="4"/>
    </row>
    <row r="50" spans="1:14" x14ac:dyDescent="0.25">
      <c r="J50" s="8" t="s">
        <v>41</v>
      </c>
      <c r="K50" s="8">
        <v>100</v>
      </c>
      <c r="L50" s="8" t="s">
        <v>39</v>
      </c>
      <c r="M50" s="8" t="s">
        <v>48</v>
      </c>
    </row>
    <row r="51" spans="1:14" x14ac:dyDescent="0.25">
      <c r="A51" t="s">
        <v>35</v>
      </c>
      <c r="J51" t="s">
        <v>41</v>
      </c>
      <c r="K51">
        <v>22</v>
      </c>
      <c r="L51" t="s">
        <v>39</v>
      </c>
    </row>
    <row r="52" spans="1:14" x14ac:dyDescent="0.25">
      <c r="A52" t="s">
        <v>46</v>
      </c>
      <c r="J52" t="s">
        <v>41</v>
      </c>
      <c r="K52">
        <v>100</v>
      </c>
      <c r="L52" t="s">
        <v>39</v>
      </c>
    </row>
    <row r="53" spans="1:14" x14ac:dyDescent="0.25">
      <c r="A53" t="s">
        <v>55</v>
      </c>
      <c r="J53" t="s">
        <v>41</v>
      </c>
      <c r="K53">
        <v>4</v>
      </c>
      <c r="L53" t="s">
        <v>39</v>
      </c>
    </row>
    <row r="54" spans="1:14" x14ac:dyDescent="0.25">
      <c r="A54" t="s">
        <v>66</v>
      </c>
      <c r="J54" t="s">
        <v>41</v>
      </c>
      <c r="K54">
        <v>36</v>
      </c>
      <c r="L54" t="s">
        <v>39</v>
      </c>
    </row>
    <row r="56" spans="1:14" x14ac:dyDescent="0.25">
      <c r="A56" s="3" t="s">
        <v>52</v>
      </c>
      <c r="B56" s="3"/>
      <c r="C56" s="3"/>
      <c r="D56" s="3"/>
      <c r="E56" s="3"/>
      <c r="F56" s="3"/>
      <c r="G56" s="3"/>
      <c r="H56" s="3"/>
      <c r="I56" s="3"/>
      <c r="J56" s="4"/>
      <c r="K56" s="4"/>
      <c r="L56" s="4"/>
      <c r="M56" s="4"/>
      <c r="N56" s="4"/>
    </row>
    <row r="57" spans="1:14" x14ac:dyDescent="0.25">
      <c r="G57" s="8"/>
      <c r="H57" s="8" t="s">
        <v>49</v>
      </c>
      <c r="I57" s="8"/>
      <c r="J57" s="8" t="s">
        <v>42</v>
      </c>
      <c r="K57" s="8">
        <v>-100</v>
      </c>
      <c r="L57" s="8" t="s">
        <v>50</v>
      </c>
      <c r="M57" s="8" t="s">
        <v>53</v>
      </c>
    </row>
    <row r="58" spans="1:14" x14ac:dyDescent="0.25">
      <c r="G58" s="8"/>
      <c r="H58" s="8" t="s">
        <v>47</v>
      </c>
      <c r="I58" s="8"/>
      <c r="J58" s="8" t="s">
        <v>42</v>
      </c>
      <c r="K58" s="8">
        <v>0</v>
      </c>
      <c r="L58" s="8" t="s">
        <v>39</v>
      </c>
      <c r="M58" s="8" t="s">
        <v>48</v>
      </c>
    </row>
    <row r="59" spans="1:14" x14ac:dyDescent="0.25">
      <c r="A59" t="s">
        <v>35</v>
      </c>
      <c r="H59" t="s">
        <v>47</v>
      </c>
      <c r="J59" t="s">
        <v>42</v>
      </c>
      <c r="K59" s="7">
        <v>5</v>
      </c>
      <c r="L59" t="s">
        <v>39</v>
      </c>
    </row>
    <row r="60" spans="1:14" x14ac:dyDescent="0.25">
      <c r="A60" t="s">
        <v>55</v>
      </c>
      <c r="H60" t="s">
        <v>47</v>
      </c>
      <c r="J60" t="s">
        <v>42</v>
      </c>
      <c r="K60" s="7">
        <v>10</v>
      </c>
      <c r="L60" t="s">
        <v>39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relations</vt:lpstr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2023-04-25T06:39:18Z</dcterms:modified>
</cp:coreProperties>
</file>