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4370" windowHeight="10650"/>
  </bookViews>
  <sheets>
    <sheet name="default" sheetId="1" r:id="rId1"/>
    <sheet name="energy stables" sheetId="3" r:id="rId2"/>
    <sheet name="Sheet1" sheetId="4" r:id="rId3"/>
    <sheet name="Sheet2" sheetId="5" r:id="rId4"/>
    <sheet name="references" sheetId="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43" i="1" l="1"/>
  <c r="N234" i="1" l="1"/>
  <c r="N233" i="1"/>
  <c r="N228" i="1"/>
  <c r="N227" i="1"/>
  <c r="D65" i="3"/>
  <c r="D67" i="3"/>
  <c r="D53" i="3"/>
  <c r="N231" i="1"/>
  <c r="N177" i="1" l="1"/>
  <c r="N162" i="1" l="1"/>
  <c r="N225" i="1" l="1"/>
  <c r="N224" i="1"/>
  <c r="N223" i="1"/>
  <c r="N222" i="1"/>
  <c r="N221" i="1"/>
  <c r="N220" i="1"/>
  <c r="Q43" i="3" l="1"/>
  <c r="G54" i="3"/>
  <c r="G50" i="3"/>
  <c r="F54" i="3"/>
  <c r="F50" i="3"/>
  <c r="D55" i="3"/>
  <c r="H54" i="3" s="1"/>
  <c r="D54" i="3"/>
  <c r="D51" i="3"/>
  <c r="H50" i="3" s="1"/>
  <c r="D50" i="3"/>
  <c r="D49" i="3"/>
  <c r="O43" i="3"/>
  <c r="N43" i="3"/>
  <c r="M43" i="3"/>
  <c r="D44" i="3"/>
  <c r="P51" i="3"/>
  <c r="O51" i="3"/>
  <c r="N51" i="3"/>
  <c r="M51" i="3"/>
  <c r="N218" i="1" l="1"/>
  <c r="N217" i="1"/>
  <c r="N216" i="1"/>
  <c r="I12" i="3" l="1"/>
  <c r="H12" i="3"/>
  <c r="F12" i="3"/>
  <c r="E12" i="3"/>
  <c r="I10" i="3"/>
  <c r="D29" i="3" s="1"/>
  <c r="N213" i="1" s="1"/>
  <c r="H10" i="3"/>
  <c r="F10" i="3"/>
  <c r="E10" i="3"/>
  <c r="E24" i="3" l="1"/>
  <c r="N209" i="1" s="1"/>
  <c r="H14" i="3"/>
  <c r="I17" i="3"/>
  <c r="E14" i="3"/>
  <c r="E27" i="3" s="1"/>
  <c r="N211" i="1" s="1"/>
  <c r="G17" i="3"/>
  <c r="G19" i="3" s="1"/>
  <c r="D17" i="3"/>
  <c r="D19" i="3" s="1"/>
  <c r="E17" i="3" l="1"/>
  <c r="I15" i="3"/>
  <c r="I11" i="3"/>
  <c r="I13" i="3"/>
  <c r="E13" i="3"/>
  <c r="E15" i="3"/>
  <c r="E11" i="3"/>
  <c r="F17" i="3"/>
  <c r="H17" i="3"/>
  <c r="N57" i="1"/>
  <c r="N60" i="1" s="1"/>
  <c r="N56" i="1"/>
  <c r="N59" i="1" s="1"/>
  <c r="N55" i="1"/>
  <c r="I18" i="3" l="1"/>
  <c r="I19" i="3" s="1"/>
  <c r="F13" i="3"/>
  <c r="F15" i="3"/>
  <c r="F11" i="3"/>
  <c r="E18" i="3"/>
  <c r="E19" i="3" s="1"/>
  <c r="H15" i="3"/>
  <c r="H13" i="3"/>
  <c r="H11" i="3"/>
  <c r="H18" i="3" s="1"/>
  <c r="H19" i="3" s="1"/>
  <c r="N4" i="1"/>
  <c r="N5" i="1" s="1"/>
  <c r="D31" i="3" l="1"/>
  <c r="N214" i="1" s="1"/>
  <c r="F18" i="3"/>
  <c r="F19" i="3" s="1"/>
  <c r="D26" i="3"/>
  <c r="N210" i="1" s="1"/>
</calcChain>
</file>

<file path=xl/comments1.xml><?xml version="1.0" encoding="utf-8"?>
<comments xmlns="http://schemas.openxmlformats.org/spreadsheetml/2006/main">
  <authors>
    <author>Author</author>
  </authors>
  <commentList>
    <comment ref="M4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FTS avd 36W/box, Sin o betäckning 25W/djurplats</t>
        </r>
      </text>
    </comment>
    <comment ref="N4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Grisn. avd. 36 W/box, Betäckn. avd 17 W/djurplats, Sinavdelning 10 W/djurplats.</t>
        </r>
      </text>
    </comment>
    <comment ref="O4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18 W/box</t>
        </r>
      </text>
    </comment>
    <comment ref="P4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Grisn.avd 25,2W7box, Tillväxtavd. 28,8 W/box. Sin- och bet.- avdn. 11,8 W/djurplats,
slaktsvinsstall 2,2 W/djurplats.* SIP= sugga i produktion</t>
        </r>
      </text>
    </comment>
    <comment ref="M4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olja</t>
        </r>
      </text>
    </comment>
    <comment ref="N4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värmepump</t>
        </r>
      </text>
    </comment>
    <comment ref="O4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olja (före insättning)</t>
        </r>
      </text>
    </comment>
    <comment ref="M5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Drankpump</t>
        </r>
      </text>
    </comment>
    <comment ref="N5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Kvarn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F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FTS avd 36W/box, Sin o betäckning 25W/djurplats</t>
        </r>
      </text>
    </comment>
    <comment ref="G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Grisn. avd. 36 W/box, Betäckn. avd 17 W/djurplats, Sinavdelning 10 W/djurplats.</t>
        </r>
      </text>
    </comment>
    <comment ref="H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18 W/box</t>
        </r>
      </text>
    </comment>
    <comment ref="I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Grisn.avd 25,2W7box, Tillväxtavd. 28,8 W/box. Sin- och bet.- avdn. 11,8 W/djurplats,
slaktsvinsstall 2,2 W/djurplats.* SIP= sugga i produktion</t>
        </r>
      </text>
    </comment>
    <comment ref="F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olja</t>
        </r>
      </text>
    </comment>
    <comment ref="G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värmepump</t>
        </r>
      </text>
    </comment>
    <comment ref="H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olja (före insättning)</t>
        </r>
      </text>
    </comment>
    <comment ref="F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Drankpump</t>
        </r>
      </text>
    </comment>
    <comment ref="G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Kvarn</t>
        </r>
      </text>
    </comment>
  </commentList>
</comments>
</file>

<file path=xl/sharedStrings.xml><?xml version="1.0" encoding="utf-8"?>
<sst xmlns="http://schemas.openxmlformats.org/spreadsheetml/2006/main" count="1166" uniqueCount="403">
  <si>
    <t>f_crop</t>
  </si>
  <si>
    <t>parameter</t>
  </si>
  <si>
    <t>value</t>
  </si>
  <si>
    <t>unit</t>
  </si>
  <si>
    <t>description</t>
  </si>
  <si>
    <t>source</t>
  </si>
  <si>
    <t>Tractor parameters</t>
  </si>
  <si>
    <t>Variables</t>
  </si>
  <si>
    <t>Constants</t>
  </si>
  <si>
    <t>tractor_weight</t>
  </si>
  <si>
    <t>m</t>
  </si>
  <si>
    <t>kg</t>
  </si>
  <si>
    <t>S</t>
  </si>
  <si>
    <t>km/h</t>
  </si>
  <si>
    <t>a</t>
  </si>
  <si>
    <t>m/s^2</t>
  </si>
  <si>
    <t>α</t>
  </si>
  <si>
    <t>rad</t>
  </si>
  <si>
    <t>P</t>
  </si>
  <si>
    <t>kW</t>
  </si>
  <si>
    <t>D</t>
  </si>
  <si>
    <t>km</t>
  </si>
  <si>
    <t>field_speed</t>
  </si>
  <si>
    <t>mean_acceleration</t>
  </si>
  <si>
    <t>mean_slope</t>
  </si>
  <si>
    <t>rated_power</t>
  </si>
  <si>
    <t>diesel</t>
  </si>
  <si>
    <t>mean_distance_field_to_farm</t>
  </si>
  <si>
    <t>A</t>
  </si>
  <si>
    <t>m^2</t>
  </si>
  <si>
    <r>
      <t>C</t>
    </r>
    <r>
      <rPr>
        <vertAlign val="subscript"/>
        <sz val="11"/>
        <color theme="1"/>
        <rFont val="Calibri"/>
        <family val="2"/>
        <scheme val="minor"/>
      </rPr>
      <t>D</t>
    </r>
  </si>
  <si>
    <r>
      <rPr>
        <sz val="11"/>
        <color theme="1"/>
        <rFont val="Calibri"/>
        <family val="2"/>
      </rPr>
      <t>ρ</t>
    </r>
    <r>
      <rPr>
        <vertAlign val="subscript"/>
        <sz val="11"/>
        <color theme="1"/>
        <rFont val="Calibri"/>
        <family val="2"/>
      </rPr>
      <t>air</t>
    </r>
  </si>
  <si>
    <t>kg/m3</t>
  </si>
  <si>
    <r>
      <t>C</t>
    </r>
    <r>
      <rPr>
        <vertAlign val="subscript"/>
        <sz val="11"/>
        <color theme="1"/>
        <rFont val="Calibri"/>
        <family val="2"/>
      </rPr>
      <t>rr</t>
    </r>
  </si>
  <si>
    <r>
      <t>C</t>
    </r>
    <r>
      <rPr>
        <vertAlign val="subscript"/>
        <sz val="11"/>
        <color theme="1"/>
        <rFont val="Calibri"/>
        <family val="2"/>
      </rPr>
      <t>rv</t>
    </r>
  </si>
  <si>
    <t>s</t>
  </si>
  <si>
    <r>
      <t>η</t>
    </r>
    <r>
      <rPr>
        <vertAlign val="subscript"/>
        <sz val="11"/>
        <color theme="1"/>
        <rFont val="Calibri"/>
        <family val="2"/>
      </rPr>
      <t>Fält</t>
    </r>
  </si>
  <si>
    <r>
      <t>B</t>
    </r>
    <r>
      <rPr>
        <vertAlign val="subscript"/>
        <sz val="11"/>
        <color theme="1"/>
        <rFont val="Calibri"/>
        <family val="2"/>
        <scheme val="minor"/>
      </rPr>
      <t>n</t>
    </r>
  </si>
  <si>
    <t>density_air</t>
  </si>
  <si>
    <t>friction_coefficient_field</t>
  </si>
  <si>
    <t>friction_coefficient_road</t>
  </si>
  <si>
    <t>slippage</t>
  </si>
  <si>
    <t>field_efficiency</t>
  </si>
  <si>
    <t>tractor_ground_resistance</t>
  </si>
  <si>
    <t>f_soil_class</t>
  </si>
  <si>
    <t>tractor_surface_coefficient</t>
  </si>
  <si>
    <t>Application parameters</t>
  </si>
  <si>
    <t>Konstgödsel</t>
  </si>
  <si>
    <t>field_operations</t>
  </si>
  <si>
    <t>drivetrain_efficiency</t>
  </si>
  <si>
    <r>
      <t>pump-to-wheel, η</t>
    </r>
    <r>
      <rPr>
        <vertAlign val="subscript"/>
        <sz val="11"/>
        <color theme="1"/>
        <rFont val="Calibri"/>
        <family val="2"/>
      </rPr>
      <t>Driv</t>
    </r>
  </si>
  <si>
    <t>f_operation</t>
  </si>
  <si>
    <t>fallback</t>
  </si>
  <si>
    <t>E_per_area</t>
  </si>
  <si>
    <t>E_per_mass</t>
  </si>
  <si>
    <t>kWh/ha</t>
  </si>
  <si>
    <t>kWh/ton</t>
  </si>
  <si>
    <t>E_per_mass_distance</t>
  </si>
  <si>
    <t>kWh/ton*km</t>
  </si>
  <si>
    <t>harrowing</t>
  </si>
  <si>
    <t>rolling</t>
  </si>
  <si>
    <t>cultivation</t>
  </si>
  <si>
    <t>ploughing</t>
  </si>
  <si>
    <t>trimming</t>
  </si>
  <si>
    <t>ridging</t>
  </si>
  <si>
    <t>topping</t>
  </si>
  <si>
    <t>minreal fert</t>
  </si>
  <si>
    <t>spraying</t>
  </si>
  <si>
    <t>seeding</t>
  </si>
  <si>
    <t>harvest</t>
  </si>
  <si>
    <t>coarse</t>
  </si>
  <si>
    <t>medium</t>
  </si>
  <si>
    <t>fine</t>
  </si>
  <si>
    <t>working_depth</t>
  </si>
  <si>
    <t>application_par_A</t>
  </si>
  <si>
    <t>application_par_B</t>
  </si>
  <si>
    <t>application_par_C</t>
  </si>
  <si>
    <t>application_soil_cor</t>
  </si>
  <si>
    <t>correction factor for different soils</t>
  </si>
  <si>
    <t>Field operations per crop</t>
  </si>
  <si>
    <t>Moldboard plough</t>
  </si>
  <si>
    <t>Field cultivator</t>
  </si>
  <si>
    <t>Disc harrow</t>
  </si>
  <si>
    <t>?</t>
  </si>
  <si>
    <t>cm</t>
  </si>
  <si>
    <t>-</t>
  </si>
  <si>
    <t>Rullvält</t>
  </si>
  <si>
    <t>Lindgren, 2002</t>
  </si>
  <si>
    <t>Putsare</t>
  </si>
  <si>
    <t>Baky, 2010</t>
  </si>
  <si>
    <t>P_per_width</t>
  </si>
  <si>
    <t>kW/m</t>
  </si>
  <si>
    <t>Windrower</t>
  </si>
  <si>
    <t>Beet topper</t>
  </si>
  <si>
    <t>ASAE, 2000</t>
  </si>
  <si>
    <t>Ogräsbekämpning, kemisk, Sprejspridning</t>
  </si>
  <si>
    <t>seeding, combi</t>
  </si>
  <si>
    <t>seeding, beets</t>
  </si>
  <si>
    <t>seeding, spec</t>
  </si>
  <si>
    <t>Direktsådd</t>
  </si>
  <si>
    <t>Kombisåmaskin</t>
  </si>
  <si>
    <t>Potatissättare</t>
  </si>
  <si>
    <t>Majs &amp; betor</t>
  </si>
  <si>
    <t>Grisso, 2010</t>
  </si>
  <si>
    <t xml:space="preserve">Baky, 2010 </t>
  </si>
  <si>
    <t>Skördetröska (+hack)</t>
  </si>
  <si>
    <t>Sugar beet</t>
  </si>
  <si>
    <t>Betupptagare (självg.)</t>
  </si>
  <si>
    <t>Maskinkalkylgruppen, 2020</t>
  </si>
  <si>
    <t>Potatoes, table</t>
  </si>
  <si>
    <t>Potatoes, starch</t>
  </si>
  <si>
    <t>Matpotatis (självg.)</t>
  </si>
  <si>
    <t>Stärkelsepotatist (självg.)</t>
  </si>
  <si>
    <t>Majströska</t>
  </si>
  <si>
    <t>Maize (corn)</t>
  </si>
  <si>
    <t>Engström &amp; Lagnelöv, 2017</t>
  </si>
  <si>
    <t>mowing</t>
  </si>
  <si>
    <t>bales</t>
  </si>
  <si>
    <t>bunker silo</t>
  </si>
  <si>
    <t>tower silo</t>
  </si>
  <si>
    <t>ensiling</t>
  </si>
  <si>
    <t>work_rate</t>
  </si>
  <si>
    <t>ha/h</t>
  </si>
  <si>
    <t>tractor_front_area</t>
  </si>
  <si>
    <t>%</t>
  </si>
  <si>
    <t>f_forage_system</t>
  </si>
  <si>
    <t>forage_system_share</t>
  </si>
  <si>
    <t>transport, grain</t>
  </si>
  <si>
    <t>transport, straw</t>
  </si>
  <si>
    <t>transport, general</t>
  </si>
  <si>
    <t>E_per_mass_straw</t>
  </si>
  <si>
    <t>Transport kärna</t>
  </si>
  <si>
    <t>Transport vagn allmän</t>
  </si>
  <si>
    <t>Jordbruksverket (2022) Jordbruksstatistisk sammanställning 2022,  JO1901, https://jordbruksverket.se/om-jordbruksverket/jordbruksverkets-officiella-statistik/jordbruksverkets-statistikrapporter/statistik/2022-07-05-jordbruksstatistisk---sammanstallning-2022</t>
  </si>
  <si>
    <t>Baky, A., Sundberg, M., &amp; Brown, N. (2010). Kartläggning av jordbrukets energianvändning [Survey of energy use in Swedish agriculture]. Retrieved from JTI, Uppsala: https://www.diva-portal.org/smash/get/diva2:959931/FULLTEXT01.pdf</t>
  </si>
  <si>
    <t>Engström, J., &amp; Lagnelöv, O. (2017). Battery Electric Autonomous Agricultural Machine - Simulation of all operations on a Swedish farm. http://www.diva-portal.org/smash/record.jsf?pid=diva2%3A1144170&amp;dswid=-6740</t>
  </si>
  <si>
    <t>Grisso, R., Perumpral, J. V., Vaughan, D., Roberson, G. T., &amp; Pitman, R. (2010). Predicting Tractor Diesel Fuel Consumption. In (Vol. Pub. 442-073). College of Agriculture and Life Sciences: Virginia Polytech Institute and State University.https://vtechworks.lib.vt.edu/bitstream/handle/10919/47472/442-073_pdf.pdf?sequence=1&amp;isAllowed=y</t>
  </si>
  <si>
    <t xml:space="preserve">Kitani, A., Jungbluth, T., Peart, R. M., Ramdani, A., Badger, P. C., &amp; Clark, N. R. (1999). CIGR Handbook of Agricultural Engineering (A. Kitani Ed.  Vol. 5 - Energy and Biomass Engineering): American Society of Agricultural Engineers. </t>
  </si>
  <si>
    <t>Lindgren, M., Pettersson, O., Hansson, P.-A., &amp; Norén, O. (2002). Jordbruks- och anläggningsmaskiners motorbelastning och avgasemissioner [Engine load pattern and engine exhaust gas emissions from off-road vehicles]. Retrieved from http://www.diva-portal.org/smash/record.jsf?pid=diva2%3A959556</t>
  </si>
  <si>
    <t>Maskinkalkylgruppen. (2020). Maskinkostnader 2020 [Machine costs 2020]. Retrieved from Maskinkalkylgruppen: http://maskinkostnader.se/</t>
  </si>
  <si>
    <t>Nilsson, B. (1976). Planering av jordbrukets maskinsystem. Problem, modeller och tillämpningar. [The planning of farm machinery systems - Problems, models and applications]. In (Vol. Report no. 38). Uppsala, Sweden: Swedish University of Agricultural Sciences</t>
  </si>
  <si>
    <t xml:space="preserve">Reif, K., &amp; Dietsche, K.-H. (2014). Bosch Automotive Handbook (K. Reif Ed. 9th ed.). Robert Bosch GmbH, Germany: John Wiley &amp; Sons Ltd. </t>
  </si>
  <si>
    <t>SAE. (2000). Agricultural Machinery Management Data. In. ASABE, St. Joseph, MI, USA: American Society of Agricultural Engineers</t>
  </si>
  <si>
    <t>f_energy_source</t>
  </si>
  <si>
    <t>electricity</t>
  </si>
  <si>
    <t>f_activity</t>
  </si>
  <si>
    <t>field machinery</t>
  </si>
  <si>
    <t>fuel oil</t>
  </si>
  <si>
    <t>woody biofuels</t>
  </si>
  <si>
    <t>greenhouses</t>
  </si>
  <si>
    <t>energy_source_share</t>
  </si>
  <si>
    <t>Tomatoes, greenhouse</t>
  </si>
  <si>
    <t>Cucumbers, greenhouse</t>
  </si>
  <si>
    <t>Lettuce, greenhouse</t>
  </si>
  <si>
    <t>Other vegetables, greenhouse</t>
  </si>
  <si>
    <t>Herbs, greenhouse</t>
  </si>
  <si>
    <t>Strawberries, greenhouse</t>
  </si>
  <si>
    <t>Other berries, greenhouse</t>
  </si>
  <si>
    <t>greenhouse_energy_use</t>
  </si>
  <si>
    <t>kWh/m2</t>
  </si>
  <si>
    <t>tomat</t>
  </si>
  <si>
    <t>gurka</t>
  </si>
  <si>
    <t>övrigt</t>
  </si>
  <si>
    <t>Energianvändning i växthus 2020. Tomat, gurka och prydnadsväxter.</t>
  </si>
  <si>
    <t>https://jordbruksverket.se/om-jordbruksverket/jordbruksverkets-officiella-statistik/jordbruksverkets-statistikrapporter/statistik/2022-04-25-energianvandning-i-vaxthus-2020.-tomat-gurka-och-prydnadsvaxter.</t>
  </si>
  <si>
    <t>snitt 2017 och 2020</t>
  </si>
  <si>
    <t>naturgas+övriga fossila</t>
  </si>
  <si>
    <t>Bark, flis och spån+Pellets och briketter+Övriga 
biobränslen</t>
  </si>
  <si>
    <t>https://www.energimyndigheten.se/statistik/den-officiella-statistiken/statistikprodukter/energianvandningen-inom-jordbruket/</t>
  </si>
  <si>
    <t>snitt 2018 och 2021</t>
  </si>
  <si>
    <t>MachineryAndEnergyMgmt-field_operations.csv</t>
  </si>
  <si>
    <t>f_compound</t>
  </si>
  <si>
    <t>combustion_EF</t>
  </si>
  <si>
    <t>CO2</t>
  </si>
  <si>
    <t>N2O</t>
  </si>
  <si>
    <t>IPCC Guidelines 2006. Chapter 3, Table 3.2.1</t>
  </si>
  <si>
    <t>Gas/ Diesel Oil</t>
  </si>
  <si>
    <t>IPCC Guidelines 2006. Chapter 3, Table 3.2.2</t>
  </si>
  <si>
    <t>assume same as diesel</t>
  </si>
  <si>
    <t>no emissions?</t>
  </si>
  <si>
    <t>CH4fos</t>
  </si>
  <si>
    <t>CH4bio</t>
  </si>
  <si>
    <t>kg/TJ</t>
  </si>
  <si>
    <t>Wood / Wood Waste</t>
  </si>
  <si>
    <t>Natural Gas</t>
  </si>
  <si>
    <t>Crude Oil</t>
  </si>
  <si>
    <t>IPCC Guidelines 2006. Chapter 2, Table 2.5</t>
  </si>
  <si>
    <t>Fallback</t>
  </si>
  <si>
    <t>Energy use in greenhouses</t>
  </si>
  <si>
    <r>
      <t>Fuel combustion emission factors</t>
    </r>
    <r>
      <rPr>
        <sz val="11"/>
        <color rgb="FFFF0000"/>
        <rFont val="Calibri"/>
        <family val="2"/>
        <scheme val="minor"/>
      </rPr>
      <t xml:space="preserve"> (add non-GHG compounds?)</t>
    </r>
  </si>
  <si>
    <t>f_species</t>
  </si>
  <si>
    <t>cattle</t>
  </si>
  <si>
    <t>Energy use in stables</t>
  </si>
  <si>
    <t>stable machinery</t>
  </si>
  <si>
    <t>stable heating</t>
  </si>
  <si>
    <t>stable milking</t>
  </si>
  <si>
    <t>kWh/kg milk</t>
  </si>
  <si>
    <t>stable misc</t>
  </si>
  <si>
    <t>f_breed</t>
  </si>
  <si>
    <t>f_animal</t>
  </si>
  <si>
    <t>dairy</t>
  </si>
  <si>
    <t>cows</t>
  </si>
  <si>
    <t>Milk production</t>
  </si>
  <si>
    <t>Gård A</t>
  </si>
  <si>
    <t>Gård B</t>
  </si>
  <si>
    <t>dairy cows</t>
  </si>
  <si>
    <t>recruitment</t>
  </si>
  <si>
    <t>milk prod.</t>
  </si>
  <si>
    <t>heads</t>
  </si>
  <si>
    <t>kg/cow</t>
  </si>
  <si>
    <t>feeding</t>
  </si>
  <si>
    <t>ventilation</t>
  </si>
  <si>
    <t>manure mgmt</t>
  </si>
  <si>
    <t>lighting</t>
  </si>
  <si>
    <t>milking</t>
  </si>
  <si>
    <t>other</t>
  </si>
  <si>
    <t>total</t>
  </si>
  <si>
    <t>of which electricity</t>
  </si>
  <si>
    <t>share for recruitment</t>
  </si>
  <si>
    <t>kWh/cow/year</t>
  </si>
  <si>
    <t>recr.</t>
  </si>
  <si>
    <t>&lt;--- Assumes double feed consuption for dairy cows compared to recruitment</t>
  </si>
  <si>
    <t>stable_energy_use_per_head</t>
  </si>
  <si>
    <t>f_animal_prod</t>
  </si>
  <si>
    <t>stable_energy_use_per_prod</t>
  </si>
  <si>
    <t>kWh/kg</t>
  </si>
  <si>
    <t>milk</t>
  </si>
  <si>
    <t>&lt;--- Milking only dairy cows</t>
  </si>
  <si>
    <t>Hörndahl, Torsten &amp; Neuman, Lars. (2012). Energiförbrukning I jordbrukets driftsbyggnader - En kartläggning av 16 gårdar 2005-2006 kompletterat med mätningar på två gårdar 2010-2012. Sveriges lantbruksuniversitet Fakulteten för landskapsplanering, trädgårds- och jordbruksvetenskap. Rapport 2012:19</t>
  </si>
  <si>
    <t>Hörndahl &amp; Neuman (2012)</t>
  </si>
  <si>
    <t>manure, lighting, ventilation, etc.</t>
  </si>
  <si>
    <t>poultry</t>
  </si>
  <si>
    <t>broiler</t>
  </si>
  <si>
    <t>feeding, manure</t>
  </si>
  <si>
    <t>lighting, ventilation</t>
  </si>
  <si>
    <r>
      <t>feeding |</t>
    </r>
    <r>
      <rPr>
        <sz val="11"/>
        <color rgb="FFFF0000"/>
        <rFont val="Calibri"/>
        <family val="2"/>
        <scheme val="minor"/>
      </rPr>
      <t xml:space="preserve"> based on energy use for dairy recruitement animals</t>
    </r>
  </si>
  <si>
    <r>
      <t xml:space="preserve">manure, lighting, ventilation, etc. | </t>
    </r>
    <r>
      <rPr>
        <sz val="11"/>
        <color rgb="FFFF0000"/>
        <rFont val="Calibri"/>
        <family val="2"/>
        <scheme val="minor"/>
      </rPr>
      <t>based on energy use for dairy recruitement animals</t>
    </r>
  </si>
  <si>
    <t>broilers</t>
  </si>
  <si>
    <t>pigs</t>
  </si>
  <si>
    <t>Pigs</t>
  </si>
  <si>
    <t>Baky, A., Sundberg, M., Brown, N. (2010). Kartläggning av jordbrukets energianvändning - Ett projekt utfört på uppdrag av Jordbruksverket. JTI Rapport</t>
  </si>
  <si>
    <t>Fördelning energislag, kWh</t>
  </si>
  <si>
    <t>E01</t>
  </si>
  <si>
    <t>Per smågris</t>
  </si>
  <si>
    <t>Per slaktgris</t>
  </si>
  <si>
    <t>Total energi</t>
  </si>
  <si>
    <t>El</t>
  </si>
  <si>
    <t>Biobränsle</t>
  </si>
  <si>
    <t>Diesel</t>
  </si>
  <si>
    <t>Landquist et al (2020)</t>
  </si>
  <si>
    <t>Beskrivning</t>
  </si>
  <si>
    <t>Uppvärmning värmkälla</t>
  </si>
  <si>
    <t>Ej spec värmepump</t>
  </si>
  <si>
    <t>Övrigt</t>
  </si>
  <si>
    <t>Utfodring</t>
  </si>
  <si>
    <t>Ventilation</t>
  </si>
  <si>
    <t>9,6</t>
  </si>
  <si>
    <t>Ej spec</t>
  </si>
  <si>
    <t>Utgödsling</t>
  </si>
  <si>
    <t>0,1</t>
  </si>
  <si>
    <t>43,2</t>
  </si>
  <si>
    <t>992
olja</t>
  </si>
  <si>
    <t>93
värmepump</t>
  </si>
  <si>
    <t>4,2
olja (före insättning)</t>
  </si>
  <si>
    <t>Vatten</t>
  </si>
  <si>
    <r>
      <t xml:space="preserve">Ingår i
</t>
    </r>
    <r>
      <rPr>
        <i/>
        <sz val="11"/>
        <color indexed="8"/>
        <rFont val="Times New Roman"/>
        <family val="1"/>
        <charset val="204"/>
      </rPr>
      <t>Övrigt</t>
    </r>
  </si>
  <si>
    <t>Ingår ej</t>
  </si>
  <si>
    <t>Ingår</t>
  </si>
  <si>
    <t>Tvätt</t>
  </si>
  <si>
    <t>0,7</t>
  </si>
  <si>
    <t>Rekrytering, totalt</t>
  </si>
  <si>
    <t>Personal</t>
  </si>
  <si>
    <r>
      <t xml:space="preserve">Ingår i </t>
    </r>
    <r>
      <rPr>
        <i/>
        <sz val="11"/>
        <color indexed="8"/>
        <rFont val="Times New Roman"/>
        <family val="1"/>
        <charset val="204"/>
      </rPr>
      <t>Övrigt</t>
    </r>
  </si>
  <si>
    <t>1,0</t>
  </si>
  <si>
    <t>Summa</t>
  </si>
  <si>
    <t>19,7</t>
  </si>
  <si>
    <t>Därav el</t>
  </si>
  <si>
    <t>15,5</t>
  </si>
  <si>
    <t>Övrig utrustning                  23
Drankpump</t>
  </si>
  <si>
    <t>38
Kvarn</t>
  </si>
  <si>
    <t>-                                  Kvarn ingår i
utfodringen</t>
  </si>
  <si>
    <t>Betäcknings avd</t>
  </si>
  <si>
    <t>Isolerad</t>
  </si>
  <si>
    <t>Sin avd Slaktgris
Byggår</t>
  </si>
  <si>
    <t>Isolerad Isolerad
1998</t>
  </si>
  <si>
    <t>Oisolerad
1999</t>
  </si>
  <si>
    <t>-
Isolerad 1998</t>
  </si>
  <si>
    <t>Isolerad Isolerad
2008</t>
  </si>
  <si>
    <t>Belysning</t>
  </si>
  <si>
    <t>2441)</t>
  </si>
  <si>
    <t>782)</t>
  </si>
  <si>
    <t>1,83)</t>
  </si>
  <si>
    <t>3404)</t>
  </si>
  <si>
    <t>Övrig utrustning</t>
  </si>
  <si>
    <t>Gård</t>
  </si>
  <si>
    <t>Hel intergrerad
FTS-system
96 SIP*
kWh/SIP*, år</t>
  </si>
  <si>
    <t>Enhetsbox
480 SIP*
kWh/SIP*, år</t>
  </si>
  <si>
    <t>Slaktgris
1160 platser
kWh/djurpl, omg</t>
  </si>
  <si>
    <t>Hel integrerad
Tillväxtboxsyst.
254 SIP*
kWh/SIP*, år</t>
  </si>
  <si>
    <t>Gård F</t>
  </si>
  <si>
    <t>Gård G</t>
  </si>
  <si>
    <t>Gård H</t>
  </si>
  <si>
    <t>Gård Y</t>
  </si>
  <si>
    <t>Kvarn ingår i
utfodringen</t>
  </si>
  <si>
    <t>Sin avd</t>
  </si>
  <si>
    <t>Slaktgris</t>
  </si>
  <si>
    <t>Byggår</t>
  </si>
  <si>
    <t>Oisolerad</t>
  </si>
  <si>
    <t xml:space="preserve"> </t>
  </si>
  <si>
    <t>Kvarn ingår i utfodringen</t>
  </si>
  <si>
    <t>Därav ej el</t>
  </si>
  <si>
    <t>kWh/head/year</t>
  </si>
  <si>
    <t>Per SIP</t>
  </si>
  <si>
    <t>kWh</t>
  </si>
  <si>
    <t>piglets</t>
  </si>
  <si>
    <t>Energy source</t>
  </si>
  <si>
    <t>Used values</t>
  </si>
  <si>
    <t>growing pigs</t>
  </si>
  <si>
    <t>kWh per</t>
  </si>
  <si>
    <t>ins. animal</t>
  </si>
  <si>
    <t>kWh/inserted head</t>
  </si>
  <si>
    <t>stable_energy_use_per_inserted_head</t>
  </si>
  <si>
    <t>Biodiesel</t>
  </si>
  <si>
    <t>Hydrogen</t>
  </si>
  <si>
    <t>Electricity</t>
  </si>
  <si>
    <t>Fuel oil</t>
  </si>
  <si>
    <t>Woody biofuels</t>
  </si>
  <si>
    <t>Geothermal</t>
  </si>
  <si>
    <t>District heating</t>
  </si>
  <si>
    <t>Natural gas</t>
  </si>
  <si>
    <t>kWh/ton DM</t>
  </si>
  <si>
    <t>Adjusted to dry matter. Transport halm</t>
  </si>
  <si>
    <t>dryer_efficiency</t>
  </si>
  <si>
    <t>Share of energy in fuel recovered as usefull energy for drying</t>
  </si>
  <si>
    <t>water_content_at_harvest</t>
  </si>
  <si>
    <t>water_content_after_drying</t>
  </si>
  <si>
    <t>f_crop_group:crop</t>
  </si>
  <si>
    <t>Cereals, winter</t>
  </si>
  <si>
    <t>Cereals, spring</t>
  </si>
  <si>
    <t>Grain legumes</t>
  </si>
  <si>
    <t>Brassicaceae</t>
  </si>
  <si>
    <t>water_content_at_harvest=-99 gives no drying assumed</t>
  </si>
  <si>
    <t>Edström et al 2005, p. 14</t>
  </si>
  <si>
    <t>dryer_auxiliary_energy</t>
  </si>
  <si>
    <t>grain dryers</t>
  </si>
  <si>
    <t>grain dryers auxiliary energy</t>
  </si>
  <si>
    <t>Petersson 2016</t>
  </si>
  <si>
    <t>kWh/kg water removed</t>
  </si>
  <si>
    <t>Usefull energy per mass of water removed. Calculated from 0.16 L oil/kg (0.14-0.17) water assuming 10.36 kWh/L and a dryer efficiency of 90%</t>
  </si>
  <si>
    <t>SJV 2010</t>
  </si>
  <si>
    <t>Törner &amp; Norup 2009, p.5</t>
  </si>
  <si>
    <t>Electricity use for fans, conveyers etc. Per kg harvest. Calculated from 75-90 kWh/ha divided by an average yield of cereals, grain legumes and oil crops of ~5200 kg/ha (2016-2020)</t>
  </si>
  <si>
    <t>Energy use for grain dryers</t>
  </si>
  <si>
    <t>dryer_energy_per_mass_water</t>
  </si>
  <si>
    <t>Törner &amp; Norup 2009, p.11</t>
  </si>
  <si>
    <t>Energimyndigheten. Statistikdatabas. Jordbrukets energianvändning</t>
  </si>
  <si>
    <t>70% of dryers used oil as fuel and consumed 165 GWh oil year 2021</t>
  </si>
  <si>
    <t>layer</t>
  </si>
  <si>
    <t>laying chicks</t>
  </si>
  <si>
    <t>Sonesson et al (2008), page 16</t>
  </si>
  <si>
    <t>4.7 MJ for heating per delivered layer based on data for broilers</t>
  </si>
  <si>
    <t>3 ggr/dag</t>
  </si>
  <si>
    <t>8 ggr/dag</t>
  </si>
  <si>
    <t>Belysning;</t>
  </si>
  <si>
    <t>Effekt, ljusprogram</t>
  </si>
  <si>
    <t>0,48 W/dp, 14 tim/dag</t>
  </si>
  <si>
    <t>0,46 W/dp, 16 tim/dag</t>
  </si>
  <si>
    <t>12 500 värphöns frigående system Wh/ djurplats, år</t>
  </si>
  <si>
    <t>Städning mm mellan omg exkl värme</t>
  </si>
  <si>
    <t>Ägg packning</t>
  </si>
  <si>
    <t>Äggtvätt</t>
  </si>
  <si>
    <t>Kylning</t>
  </si>
  <si>
    <t>ingår i Övrigt</t>
  </si>
  <si>
    <t>Städning</t>
  </si>
  <si>
    <t>Ingår i Övrigt</t>
  </si>
  <si>
    <t>Summa/dp</t>
  </si>
  <si>
    <t>J</t>
  </si>
  <si>
    <t>K</t>
  </si>
  <si>
    <t>40 000 värphöns inredda burar Wh/djurplats, år</t>
  </si>
  <si>
    <t>kWh/ ton ägg 20 kg/höna</t>
  </si>
  <si>
    <t>156 kWh/ton ägg</t>
  </si>
  <si>
    <t>251 kWh/ton ägg</t>
  </si>
  <si>
    <t>18,8</t>
  </si>
  <si>
    <t>Funktion</t>
  </si>
  <si>
    <t>animal</t>
  </si>
  <si>
    <t>Layers</t>
  </si>
  <si>
    <t>Used values for layers</t>
  </si>
  <si>
    <t>energy use for laying chicks expressed per inserted head</t>
  </si>
  <si>
    <t>manure mgmt and feeding</t>
  </si>
  <si>
    <t>mainly lighting and ventilation</t>
  </si>
  <si>
    <t>sheep</t>
  </si>
  <si>
    <t>lambs</t>
  </si>
  <si>
    <t>Energy use for ewes assumed to include lambs</t>
  </si>
  <si>
    <t>on farm diesel per animal and "stable-year"</t>
  </si>
  <si>
    <t>Ahlgren et al. (2022)</t>
  </si>
  <si>
    <t>on farm electricity per animal and "stable-year"</t>
  </si>
  <si>
    <t>Ahlgren et al. (2022) Miljöpåverkan av svensk nöt- och lammköttsproduktion. RISE Rapport 2022:143</t>
  </si>
  <si>
    <t>Sonesson et al (2008) Livscykelanalys (LCA) av svenska ägg (ver.2). SIK-rapport Nr 783 2008</t>
  </si>
  <si>
    <t>"</t>
  </si>
  <si>
    <t>Avg. "Flytgödsel" and "Kletgödsel"</t>
  </si>
  <si>
    <t>manure appl</t>
  </si>
  <si>
    <t>Only applies to area with manure application</t>
  </si>
  <si>
    <t>E_per_area_manure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</si>
</sst>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7030A0"/>
      <name val="Calibri"/>
      <family val="2"/>
    </font>
    <font>
      <sz val="11"/>
      <color theme="2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i/>
      <sz val="10"/>
      <color theme="4"/>
      <name val="Calibri"/>
      <family val="2"/>
      <scheme val="minor"/>
    </font>
    <font>
      <i/>
      <sz val="11"/>
      <color theme="5"/>
      <name val="Calibri"/>
      <family val="2"/>
      <scheme val="minor"/>
    </font>
    <font>
      <i/>
      <sz val="11"/>
      <color indexed="8"/>
      <name val="Times New Roman"/>
      <family val="1"/>
      <charset val="20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Calibri"/>
      <family val="2"/>
      <scheme val="minor"/>
    </font>
    <font>
      <b/>
      <i/>
      <sz val="11"/>
      <color theme="4"/>
      <name val="Calibri"/>
      <family val="2"/>
      <scheme val="minor"/>
    </font>
    <font>
      <i/>
      <sz val="11"/>
      <color theme="4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1"/>
      <color theme="9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105">
    <xf numFmtId="0" fontId="0" fillId="0" borderId="0" xfId="0"/>
    <xf numFmtId="0" fontId="2" fillId="3" borderId="0" xfId="0" applyFont="1" applyFill="1"/>
    <xf numFmtId="0" fontId="1" fillId="2" borderId="0" xfId="0" applyFont="1" applyFill="1"/>
    <xf numFmtId="0" fontId="0" fillId="2" borderId="0" xfId="0" applyFill="1"/>
    <xf numFmtId="0" fontId="0" fillId="0" borderId="0" xfId="0" applyBorder="1"/>
    <xf numFmtId="0" fontId="3" fillId="0" borderId="0" xfId="0" applyFont="1" applyBorder="1"/>
    <xf numFmtId="0" fontId="0" fillId="0" borderId="0" xfId="0" applyFill="1" applyBorder="1"/>
    <xf numFmtId="0" fontId="3" fillId="0" borderId="0" xfId="0" applyFont="1" applyFill="1" applyBorder="1"/>
    <xf numFmtId="0" fontId="0" fillId="3" borderId="0" xfId="0" applyFill="1"/>
    <xf numFmtId="0" fontId="6" fillId="0" borderId="0" xfId="0" applyFont="1"/>
    <xf numFmtId="0" fontId="7" fillId="0" borderId="0" xfId="0" applyFont="1"/>
    <xf numFmtId="164" fontId="7" fillId="0" borderId="0" xfId="0" applyNumberFormat="1" applyFont="1"/>
    <xf numFmtId="2" fontId="7" fillId="0" borderId="0" xfId="0" applyNumberFormat="1" applyFont="1"/>
    <xf numFmtId="2" fontId="0" fillId="0" borderId="0" xfId="0" applyNumberFormat="1"/>
    <xf numFmtId="0" fontId="0" fillId="0" borderId="1" xfId="0" applyBorder="1"/>
    <xf numFmtId="0" fontId="8" fillId="0" borderId="0" xfId="0" applyFont="1"/>
    <xf numFmtId="0" fontId="0" fillId="0" borderId="2" xfId="0" applyBorder="1"/>
    <xf numFmtId="0" fontId="0" fillId="0" borderId="3" xfId="0" applyBorder="1"/>
    <xf numFmtId="1" fontId="7" fillId="0" borderId="0" xfId="0" applyNumberFormat="1" applyFont="1"/>
    <xf numFmtId="0" fontId="0" fillId="0" borderId="0" xfId="0" applyAlignment="1"/>
    <xf numFmtId="0" fontId="6" fillId="0" borderId="0" xfId="0" applyFont="1" applyFill="1" applyBorder="1"/>
    <xf numFmtId="0" fontId="9" fillId="0" borderId="0" xfId="0" applyFont="1" applyFill="1" applyBorder="1"/>
    <xf numFmtId="164" fontId="10" fillId="0" borderId="0" xfId="0" applyNumberFormat="1" applyFont="1"/>
    <xf numFmtId="1" fontId="6" fillId="0" borderId="0" xfId="0" applyNumberFormat="1" applyFont="1"/>
    <xf numFmtId="1" fontId="0" fillId="0" borderId="0" xfId="0" applyNumberFormat="1"/>
    <xf numFmtId="165" fontId="0" fillId="0" borderId="0" xfId="0" applyNumberFormat="1"/>
    <xf numFmtId="0" fontId="13" fillId="0" borderId="0" xfId="0" applyFont="1"/>
    <xf numFmtId="0" fontId="0" fillId="0" borderId="4" xfId="0" applyBorder="1"/>
    <xf numFmtId="0" fontId="0" fillId="0" borderId="5" xfId="0" applyBorder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" fontId="13" fillId="0" borderId="0" xfId="0" applyNumberFormat="1" applyFont="1" applyBorder="1"/>
    <xf numFmtId="1" fontId="13" fillId="0" borderId="8" xfId="0" applyNumberFormat="1" applyFont="1" applyBorder="1"/>
    <xf numFmtId="1" fontId="0" fillId="0" borderId="0" xfId="0" applyNumberFormat="1" applyBorder="1"/>
    <xf numFmtId="0" fontId="1" fillId="0" borderId="7" xfId="0" applyFont="1" applyBorder="1"/>
    <xf numFmtId="0" fontId="1" fillId="0" borderId="0" xfId="0" applyFont="1" applyBorder="1"/>
    <xf numFmtId="1" fontId="1" fillId="0" borderId="0" xfId="0" applyNumberFormat="1" applyFont="1" applyBorder="1"/>
    <xf numFmtId="1" fontId="1" fillId="0" borderId="8" xfId="0" applyNumberFormat="1" applyFont="1" applyBorder="1"/>
    <xf numFmtId="9" fontId="14" fillId="0" borderId="0" xfId="1" applyFont="1" applyBorder="1"/>
    <xf numFmtId="9" fontId="14" fillId="0" borderId="8" xfId="1" applyFont="1" applyBorder="1"/>
    <xf numFmtId="0" fontId="0" fillId="0" borderId="9" xfId="0" applyBorder="1"/>
    <xf numFmtId="0" fontId="0" fillId="0" borderId="10" xfId="0" applyBorder="1"/>
    <xf numFmtId="0" fontId="12" fillId="0" borderId="8" xfId="0" applyFont="1" applyBorder="1"/>
    <xf numFmtId="0" fontId="12" fillId="0" borderId="10" xfId="0" applyFont="1" applyBorder="1"/>
    <xf numFmtId="0" fontId="1" fillId="0" borderId="4" xfId="0" applyFont="1" applyBorder="1"/>
    <xf numFmtId="9" fontId="14" fillId="0" borderId="7" xfId="1" applyFont="1" applyBorder="1"/>
    <xf numFmtId="0" fontId="0" fillId="0" borderId="11" xfId="0" applyFill="1" applyBorder="1"/>
    <xf numFmtId="0" fontId="1" fillId="0" borderId="0" xfId="0" applyFont="1"/>
    <xf numFmtId="0" fontId="1" fillId="0" borderId="6" xfId="0" applyFont="1" applyBorder="1"/>
    <xf numFmtId="0" fontId="15" fillId="0" borderId="0" xfId="0" applyFont="1"/>
    <xf numFmtId="0" fontId="0" fillId="4" borderId="0" xfId="0" applyFill="1"/>
    <xf numFmtId="0" fontId="1" fillId="4" borderId="0" xfId="0" applyFont="1" applyFill="1"/>
    <xf numFmtId="0" fontId="0" fillId="4" borderId="0" xfId="0" applyFont="1" applyFill="1"/>
    <xf numFmtId="0" fontId="0" fillId="0" borderId="12" xfId="0" applyBorder="1"/>
    <xf numFmtId="0" fontId="0" fillId="0" borderId="13" xfId="0" applyBorder="1"/>
    <xf numFmtId="0" fontId="0" fillId="0" borderId="14" xfId="0" applyBorder="1"/>
    <xf numFmtId="9" fontId="13" fillId="0" borderId="0" xfId="1" applyFont="1"/>
    <xf numFmtId="0" fontId="19" fillId="0" borderId="1" xfId="0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13" fillId="0" borderId="9" xfId="0" applyFont="1" applyBorder="1"/>
    <xf numFmtId="0" fontId="13" fillId="0" borderId="10" xfId="0" applyFont="1" applyBorder="1"/>
    <xf numFmtId="0" fontId="13" fillId="0" borderId="1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20" fillId="0" borderId="0" xfId="0" applyFont="1"/>
    <xf numFmtId="1" fontId="20" fillId="0" borderId="0" xfId="0" applyNumberFormat="1" applyFont="1"/>
    <xf numFmtId="0" fontId="21" fillId="0" borderId="0" xfId="0" applyFont="1"/>
    <xf numFmtId="0" fontId="22" fillId="0" borderId="0" xfId="0" applyFont="1"/>
    <xf numFmtId="0" fontId="23" fillId="0" borderId="0" xfId="0" applyFont="1" applyBorder="1"/>
    <xf numFmtId="165" fontId="23" fillId="0" borderId="8" xfId="0" applyNumberFormat="1" applyFont="1" applyBorder="1"/>
    <xf numFmtId="0" fontId="23" fillId="0" borderId="8" xfId="0" applyFont="1" applyBorder="1"/>
    <xf numFmtId="1" fontId="23" fillId="0" borderId="0" xfId="0" applyNumberFormat="1" applyFont="1" applyBorder="1"/>
    <xf numFmtId="0" fontId="23" fillId="0" borderId="1" xfId="0" applyFont="1" applyBorder="1"/>
    <xf numFmtId="0" fontId="23" fillId="0" borderId="10" xfId="0" applyFont="1" applyBorder="1"/>
    <xf numFmtId="1" fontId="23" fillId="0" borderId="8" xfId="0" applyNumberFormat="1" applyFont="1" applyBorder="1"/>
    <xf numFmtId="0" fontId="13" fillId="0" borderId="12" xfId="0" applyFont="1" applyBorder="1"/>
    <xf numFmtId="0" fontId="13" fillId="0" borderId="14" xfId="0" applyFont="1" applyBorder="1"/>
    <xf numFmtId="0" fontId="7" fillId="0" borderId="13" xfId="0" applyFont="1" applyBorder="1"/>
    <xf numFmtId="0" fontId="7" fillId="0" borderId="14" xfId="0" applyFont="1" applyBorder="1"/>
    <xf numFmtId="0" fontId="0" fillId="0" borderId="1" xfId="0" applyFill="1" applyBorder="1"/>
    <xf numFmtId="0" fontId="0" fillId="0" borderId="10" xfId="0" applyFill="1" applyBorder="1"/>
    <xf numFmtId="0" fontId="7" fillId="0" borderId="4" xfId="0" applyFont="1" applyBorder="1"/>
    <xf numFmtId="0" fontId="0" fillId="0" borderId="15" xfId="0" applyBorder="1"/>
    <xf numFmtId="0" fontId="0" fillId="0" borderId="16" xfId="0" applyBorder="1"/>
    <xf numFmtId="0" fontId="23" fillId="0" borderId="11" xfId="0" applyFont="1" applyBorder="1"/>
    <xf numFmtId="164" fontId="23" fillId="0" borderId="11" xfId="0" applyNumberFormat="1" applyFont="1" applyBorder="1"/>
    <xf numFmtId="2" fontId="23" fillId="0" borderId="11" xfId="0" applyNumberFormat="1" applyFont="1" applyBorder="1"/>
    <xf numFmtId="2" fontId="23" fillId="0" borderId="16" xfId="0" applyNumberFormat="1" applyFont="1" applyBorder="1"/>
    <xf numFmtId="9" fontId="13" fillId="0" borderId="0" xfId="0" applyNumberFormat="1" applyFont="1"/>
    <xf numFmtId="0" fontId="1" fillId="0" borderId="1" xfId="0" applyFont="1" applyBorder="1"/>
    <xf numFmtId="0" fontId="12" fillId="0" borderId="7" xfId="0" applyFont="1" applyBorder="1"/>
    <xf numFmtId="0" fontId="12" fillId="0" borderId="0" xfId="0" applyFont="1" applyBorder="1"/>
    <xf numFmtId="0" fontId="12" fillId="0" borderId="5" xfId="0" applyFont="1" applyBorder="1" applyAlignment="1"/>
    <xf numFmtId="0" fontId="12" fillId="0" borderId="6" xfId="0" applyFont="1" applyBorder="1"/>
    <xf numFmtId="0" fontId="1" fillId="0" borderId="9" xfId="0" applyFont="1" applyBorder="1"/>
    <xf numFmtId="0" fontId="1" fillId="0" borderId="10" xfId="0" applyFont="1" applyBorder="1"/>
    <xf numFmtId="0" fontId="0" fillId="0" borderId="9" xfId="0" applyBorder="1" applyAlignment="1">
      <alignment vertical="center"/>
    </xf>
    <xf numFmtId="0" fontId="24" fillId="0" borderId="1" xfId="0" applyFont="1" applyBorder="1" applyAlignment="1">
      <alignment horizontal="left" wrapText="1"/>
    </xf>
    <xf numFmtId="0" fontId="24" fillId="0" borderId="10" xfId="0" applyFont="1" applyBorder="1" applyAlignment="1">
      <alignment horizontal="left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6"/>
  <sheetViews>
    <sheetView tabSelected="1" topLeftCell="D1" workbookViewId="0">
      <pane ySplit="1" topLeftCell="A98" activePane="bottomLeft" state="frozen"/>
      <selection pane="bottomLeft" activeCell="O110" sqref="O110"/>
    </sheetView>
  </sheetViews>
  <sheetFormatPr defaultRowHeight="15" x14ac:dyDescent="0.25"/>
  <cols>
    <col min="8" max="12" width="12.28515625" customWidth="1"/>
    <col min="13" max="13" width="36.42578125" bestFit="1" customWidth="1"/>
    <col min="14" max="14" width="9.28515625" customWidth="1"/>
    <col min="15" max="15" width="19.140625" bestFit="1" customWidth="1"/>
    <col min="16" max="16" width="58.7109375" customWidth="1"/>
    <col min="17" max="17" width="22.7109375" customWidth="1"/>
  </cols>
  <sheetData>
    <row r="1" spans="1:17" x14ac:dyDescent="0.25">
      <c r="A1" s="49" t="s">
        <v>145</v>
      </c>
      <c r="B1" s="93" t="s">
        <v>0</v>
      </c>
      <c r="C1" s="93" t="s">
        <v>336</v>
      </c>
      <c r="D1" s="93" t="s">
        <v>190</v>
      </c>
      <c r="E1" s="93" t="s">
        <v>198</v>
      </c>
      <c r="F1" s="93" t="s">
        <v>199</v>
      </c>
      <c r="G1" s="93" t="s">
        <v>223</v>
      </c>
      <c r="H1" s="93" t="s">
        <v>143</v>
      </c>
      <c r="I1" s="93" t="s">
        <v>51</v>
      </c>
      <c r="J1" s="93" t="s">
        <v>44</v>
      </c>
      <c r="K1" s="93" t="s">
        <v>125</v>
      </c>
      <c r="L1" s="93" t="s">
        <v>171</v>
      </c>
      <c r="M1" s="93" t="s">
        <v>1</v>
      </c>
      <c r="N1" s="93" t="s">
        <v>2</v>
      </c>
      <c r="O1" s="93" t="s">
        <v>3</v>
      </c>
      <c r="P1" s="93" t="s">
        <v>4</v>
      </c>
      <c r="Q1" s="93" t="s">
        <v>5</v>
      </c>
    </row>
    <row r="2" spans="1:17" x14ac:dyDescent="0.25">
      <c r="M2" s="20" t="s">
        <v>150</v>
      </c>
      <c r="N2" s="9">
        <v>0</v>
      </c>
      <c r="O2" s="9" t="s">
        <v>124</v>
      </c>
      <c r="P2" s="9" t="s">
        <v>52</v>
      </c>
    </row>
    <row r="4" spans="1:17" x14ac:dyDescent="0.25">
      <c r="A4" t="s">
        <v>146</v>
      </c>
      <c r="H4" s="4" t="s">
        <v>248</v>
      </c>
      <c r="M4" s="6" t="s">
        <v>150</v>
      </c>
      <c r="N4" s="18">
        <f>(241822577+237201100)/(241822577+237201100+5856000+8368914)*100</f>
        <v>97.116076100458642</v>
      </c>
      <c r="O4" t="s">
        <v>124</v>
      </c>
      <c r="Q4" t="s">
        <v>168</v>
      </c>
    </row>
    <row r="5" spans="1:17" x14ac:dyDescent="0.25">
      <c r="A5" t="s">
        <v>146</v>
      </c>
      <c r="H5" s="4" t="s">
        <v>322</v>
      </c>
      <c r="M5" s="6" t="s">
        <v>150</v>
      </c>
      <c r="N5" s="18">
        <f>100-N4</f>
        <v>2.8839238995413581</v>
      </c>
      <c r="O5" t="s">
        <v>124</v>
      </c>
      <c r="Q5" t="s">
        <v>169</v>
      </c>
    </row>
    <row r="6" spans="1:17" x14ac:dyDescent="0.25">
      <c r="A6" t="s">
        <v>146</v>
      </c>
      <c r="H6" s="4" t="s">
        <v>323</v>
      </c>
      <c r="M6" s="6" t="s">
        <v>150</v>
      </c>
      <c r="N6" s="10">
        <v>0</v>
      </c>
      <c r="O6" t="s">
        <v>124</v>
      </c>
    </row>
    <row r="7" spans="1:17" x14ac:dyDescent="0.25">
      <c r="A7" t="s">
        <v>146</v>
      </c>
      <c r="H7" s="6" t="s">
        <v>324</v>
      </c>
      <c r="M7" s="6" t="s">
        <v>150</v>
      </c>
      <c r="N7" s="10">
        <v>0</v>
      </c>
      <c r="O7" t="s">
        <v>124</v>
      </c>
    </row>
    <row r="8" spans="1:17" x14ac:dyDescent="0.25">
      <c r="H8" s="6"/>
      <c r="M8" s="6"/>
      <c r="N8" s="10"/>
    </row>
    <row r="9" spans="1:17" x14ac:dyDescent="0.25">
      <c r="A9" t="s">
        <v>193</v>
      </c>
      <c r="D9" t="s">
        <v>191</v>
      </c>
      <c r="H9" s="4" t="s">
        <v>248</v>
      </c>
      <c r="M9" s="6" t="s">
        <v>150</v>
      </c>
      <c r="N9" s="10">
        <v>100</v>
      </c>
      <c r="O9" t="s">
        <v>124</v>
      </c>
    </row>
    <row r="10" spans="1:17" x14ac:dyDescent="0.25">
      <c r="A10" t="s">
        <v>194</v>
      </c>
      <c r="D10" t="s">
        <v>191</v>
      </c>
      <c r="H10" s="4"/>
      <c r="M10" s="6"/>
      <c r="N10" s="10"/>
    </row>
    <row r="11" spans="1:17" x14ac:dyDescent="0.25">
      <c r="A11" t="s">
        <v>197</v>
      </c>
      <c r="D11" t="s">
        <v>191</v>
      </c>
      <c r="H11" s="6" t="s">
        <v>324</v>
      </c>
      <c r="M11" s="6" t="s">
        <v>150</v>
      </c>
      <c r="N11" s="10">
        <v>100</v>
      </c>
      <c r="O11" t="s">
        <v>124</v>
      </c>
    </row>
    <row r="12" spans="1:17" x14ac:dyDescent="0.25">
      <c r="A12" t="s">
        <v>195</v>
      </c>
      <c r="D12" t="s">
        <v>191</v>
      </c>
      <c r="H12" s="6" t="s">
        <v>324</v>
      </c>
      <c r="M12" s="6" t="s">
        <v>150</v>
      </c>
      <c r="N12" s="10">
        <v>100</v>
      </c>
      <c r="O12" t="s">
        <v>124</v>
      </c>
    </row>
    <row r="13" spans="1:17" x14ac:dyDescent="0.25">
      <c r="H13" s="6"/>
      <c r="M13" s="6"/>
      <c r="N13" s="10"/>
    </row>
    <row r="14" spans="1:17" x14ac:dyDescent="0.25">
      <c r="A14" t="s">
        <v>193</v>
      </c>
      <c r="D14" t="s">
        <v>231</v>
      </c>
      <c r="E14" t="s">
        <v>232</v>
      </c>
      <c r="H14" s="4" t="s">
        <v>248</v>
      </c>
      <c r="M14" s="6" t="s">
        <v>150</v>
      </c>
      <c r="N14" s="10">
        <v>100</v>
      </c>
      <c r="O14" t="s">
        <v>124</v>
      </c>
    </row>
    <row r="15" spans="1:17" x14ac:dyDescent="0.25">
      <c r="A15" t="s">
        <v>194</v>
      </c>
      <c r="D15" t="s">
        <v>231</v>
      </c>
      <c r="E15" t="s">
        <v>232</v>
      </c>
      <c r="H15" s="6" t="s">
        <v>325</v>
      </c>
      <c r="M15" s="6" t="s">
        <v>150</v>
      </c>
      <c r="N15" s="10">
        <v>100</v>
      </c>
      <c r="O15" t="s">
        <v>124</v>
      </c>
    </row>
    <row r="16" spans="1:17" x14ac:dyDescent="0.25">
      <c r="A16" t="s">
        <v>197</v>
      </c>
      <c r="D16" t="s">
        <v>231</v>
      </c>
      <c r="E16" t="s">
        <v>232</v>
      </c>
      <c r="H16" s="6" t="s">
        <v>324</v>
      </c>
      <c r="M16" s="6" t="s">
        <v>150</v>
      </c>
      <c r="N16" s="10">
        <v>100</v>
      </c>
      <c r="O16" t="s">
        <v>124</v>
      </c>
    </row>
    <row r="17" spans="1:17" x14ac:dyDescent="0.25">
      <c r="H17" s="6"/>
      <c r="M17" s="6"/>
      <c r="N17" s="10"/>
    </row>
    <row r="18" spans="1:17" x14ac:dyDescent="0.25">
      <c r="A18" t="s">
        <v>193</v>
      </c>
      <c r="D18" t="s">
        <v>238</v>
      </c>
      <c r="F18" t="s">
        <v>314</v>
      </c>
      <c r="H18" s="4" t="s">
        <v>248</v>
      </c>
      <c r="M18" s="6" t="s">
        <v>150</v>
      </c>
      <c r="N18" s="10">
        <v>100</v>
      </c>
      <c r="O18" t="s">
        <v>124</v>
      </c>
      <c r="Q18" t="s">
        <v>249</v>
      </c>
    </row>
    <row r="19" spans="1:17" x14ac:dyDescent="0.25">
      <c r="A19" t="s">
        <v>194</v>
      </c>
      <c r="D19" t="s">
        <v>238</v>
      </c>
      <c r="F19" t="s">
        <v>314</v>
      </c>
      <c r="H19" s="6" t="s">
        <v>325</v>
      </c>
      <c r="M19" s="6" t="s">
        <v>150</v>
      </c>
      <c r="N19">
        <v>4</v>
      </c>
      <c r="O19" t="s">
        <v>124</v>
      </c>
      <c r="Q19" t="s">
        <v>249</v>
      </c>
    </row>
    <row r="20" spans="1:17" x14ac:dyDescent="0.25">
      <c r="A20" t="s">
        <v>194</v>
      </c>
      <c r="D20" t="s">
        <v>238</v>
      </c>
      <c r="F20" t="s">
        <v>314</v>
      </c>
      <c r="H20" s="6" t="s">
        <v>326</v>
      </c>
      <c r="M20" s="6" t="s">
        <v>150</v>
      </c>
      <c r="N20">
        <v>76</v>
      </c>
      <c r="O20" t="s">
        <v>124</v>
      </c>
      <c r="Q20" t="s">
        <v>249</v>
      </c>
    </row>
    <row r="21" spans="1:17" x14ac:dyDescent="0.25">
      <c r="A21" t="s">
        <v>194</v>
      </c>
      <c r="D21" t="s">
        <v>238</v>
      </c>
      <c r="F21" t="s">
        <v>314</v>
      </c>
      <c r="H21" s="6" t="s">
        <v>324</v>
      </c>
      <c r="M21" s="6" t="s">
        <v>150</v>
      </c>
      <c r="N21">
        <v>20</v>
      </c>
      <c r="O21" t="s">
        <v>124</v>
      </c>
      <c r="Q21" t="s">
        <v>249</v>
      </c>
    </row>
    <row r="22" spans="1:17" x14ac:dyDescent="0.25">
      <c r="A22" t="s">
        <v>197</v>
      </c>
      <c r="D22" t="s">
        <v>238</v>
      </c>
      <c r="F22" t="s">
        <v>314</v>
      </c>
      <c r="H22" s="6" t="s">
        <v>324</v>
      </c>
      <c r="M22" s="6" t="s">
        <v>150</v>
      </c>
      <c r="N22" s="10">
        <v>100</v>
      </c>
      <c r="O22" t="s">
        <v>124</v>
      </c>
      <c r="Q22" t="s">
        <v>249</v>
      </c>
    </row>
    <row r="23" spans="1:17" x14ac:dyDescent="0.25">
      <c r="A23" t="s">
        <v>193</v>
      </c>
      <c r="D23" t="s">
        <v>238</v>
      </c>
      <c r="F23" t="s">
        <v>317</v>
      </c>
      <c r="H23" s="4" t="s">
        <v>248</v>
      </c>
      <c r="M23" s="6" t="s">
        <v>150</v>
      </c>
      <c r="N23" s="10">
        <v>100</v>
      </c>
      <c r="O23" t="s">
        <v>124</v>
      </c>
      <c r="Q23" t="s">
        <v>249</v>
      </c>
    </row>
    <row r="24" spans="1:17" x14ac:dyDescent="0.25">
      <c r="A24" t="s">
        <v>194</v>
      </c>
      <c r="D24" t="s">
        <v>238</v>
      </c>
      <c r="F24" t="s">
        <v>317</v>
      </c>
      <c r="H24" s="6" t="s">
        <v>325</v>
      </c>
      <c r="M24" s="6" t="s">
        <v>150</v>
      </c>
      <c r="N24">
        <v>20</v>
      </c>
      <c r="O24" t="s">
        <v>124</v>
      </c>
      <c r="Q24" t="s">
        <v>249</v>
      </c>
    </row>
    <row r="25" spans="1:17" x14ac:dyDescent="0.25">
      <c r="A25" t="s">
        <v>194</v>
      </c>
      <c r="D25" t="s">
        <v>238</v>
      </c>
      <c r="F25" t="s">
        <v>317</v>
      </c>
      <c r="H25" s="6" t="s">
        <v>326</v>
      </c>
      <c r="M25" s="6" t="s">
        <v>150</v>
      </c>
      <c r="N25">
        <v>60</v>
      </c>
      <c r="O25" t="s">
        <v>124</v>
      </c>
      <c r="Q25" t="s">
        <v>249</v>
      </c>
    </row>
    <row r="26" spans="1:17" x14ac:dyDescent="0.25">
      <c r="A26" t="s">
        <v>194</v>
      </c>
      <c r="D26" t="s">
        <v>238</v>
      </c>
      <c r="F26" t="s">
        <v>317</v>
      </c>
      <c r="H26" s="6" t="s">
        <v>324</v>
      </c>
      <c r="M26" s="6" t="s">
        <v>150</v>
      </c>
      <c r="N26">
        <v>20.000000000000018</v>
      </c>
      <c r="O26" t="s">
        <v>124</v>
      </c>
      <c r="Q26" t="s">
        <v>249</v>
      </c>
    </row>
    <row r="27" spans="1:17" x14ac:dyDescent="0.25">
      <c r="A27" t="s">
        <v>197</v>
      </c>
      <c r="D27" t="s">
        <v>238</v>
      </c>
      <c r="F27" t="s">
        <v>317</v>
      </c>
      <c r="H27" s="6" t="s">
        <v>324</v>
      </c>
      <c r="M27" s="6" t="s">
        <v>150</v>
      </c>
      <c r="N27" s="10">
        <v>100</v>
      </c>
      <c r="O27" t="s">
        <v>124</v>
      </c>
      <c r="Q27" t="s">
        <v>249</v>
      </c>
    </row>
    <row r="28" spans="1:17" x14ac:dyDescent="0.25">
      <c r="H28" s="6"/>
      <c r="M28" s="6"/>
      <c r="N28" s="10"/>
    </row>
    <row r="29" spans="1:17" x14ac:dyDescent="0.25">
      <c r="A29" t="s">
        <v>193</v>
      </c>
      <c r="D29" t="s">
        <v>231</v>
      </c>
      <c r="E29" t="s">
        <v>357</v>
      </c>
      <c r="H29" s="6" t="s">
        <v>324</v>
      </c>
      <c r="M29" s="6" t="s">
        <v>150</v>
      </c>
      <c r="N29" s="10">
        <v>90</v>
      </c>
      <c r="O29" t="s">
        <v>124</v>
      </c>
    </row>
    <row r="30" spans="1:17" x14ac:dyDescent="0.25">
      <c r="A30" t="s">
        <v>193</v>
      </c>
      <c r="D30" t="s">
        <v>231</v>
      </c>
      <c r="E30" t="s">
        <v>357</v>
      </c>
      <c r="H30" s="4" t="s">
        <v>248</v>
      </c>
      <c r="M30" s="6" t="s">
        <v>150</v>
      </c>
      <c r="N30" s="10">
        <v>10</v>
      </c>
      <c r="O30" t="s">
        <v>124</v>
      </c>
    </row>
    <row r="31" spans="1:17" x14ac:dyDescent="0.25">
      <c r="A31" t="s">
        <v>197</v>
      </c>
      <c r="D31" t="s">
        <v>231</v>
      </c>
      <c r="E31" t="s">
        <v>357</v>
      </c>
      <c r="H31" s="6" t="s">
        <v>324</v>
      </c>
      <c r="M31" s="6" t="s">
        <v>150</v>
      </c>
      <c r="N31" s="10">
        <v>100</v>
      </c>
      <c r="O31" t="s">
        <v>124</v>
      </c>
    </row>
    <row r="32" spans="1:17" x14ac:dyDescent="0.25">
      <c r="A32" t="s">
        <v>194</v>
      </c>
      <c r="D32" t="s">
        <v>231</v>
      </c>
      <c r="E32" t="s">
        <v>357</v>
      </c>
      <c r="H32" s="6" t="s">
        <v>326</v>
      </c>
      <c r="M32" s="6" t="s">
        <v>150</v>
      </c>
      <c r="N32" s="10">
        <v>90</v>
      </c>
      <c r="O32" t="s">
        <v>124</v>
      </c>
      <c r="Q32" t="s">
        <v>359</v>
      </c>
    </row>
    <row r="33" spans="1:17" x14ac:dyDescent="0.25">
      <c r="A33" t="s">
        <v>194</v>
      </c>
      <c r="D33" t="s">
        <v>231</v>
      </c>
      <c r="E33" t="s">
        <v>357</v>
      </c>
      <c r="H33" s="6" t="s">
        <v>325</v>
      </c>
      <c r="M33" s="6" t="s">
        <v>150</v>
      </c>
      <c r="N33" s="10">
        <v>10</v>
      </c>
      <c r="O33" t="s">
        <v>124</v>
      </c>
      <c r="Q33" t="s">
        <v>359</v>
      </c>
    </row>
    <row r="34" spans="1:17" x14ac:dyDescent="0.25">
      <c r="H34" s="6"/>
      <c r="M34" s="6"/>
      <c r="N34" s="10"/>
    </row>
    <row r="35" spans="1:17" x14ac:dyDescent="0.25">
      <c r="A35" t="s">
        <v>193</v>
      </c>
      <c r="D35" t="s">
        <v>390</v>
      </c>
      <c r="H35" s="4" t="s">
        <v>248</v>
      </c>
      <c r="M35" s="6" t="s">
        <v>150</v>
      </c>
      <c r="N35" s="10">
        <v>100</v>
      </c>
      <c r="O35" t="s">
        <v>124</v>
      </c>
      <c r="Q35" t="s">
        <v>394</v>
      </c>
    </row>
    <row r="36" spans="1:17" x14ac:dyDescent="0.25">
      <c r="A36" t="s">
        <v>197</v>
      </c>
      <c r="D36" t="s">
        <v>390</v>
      </c>
      <c r="H36" s="6" t="s">
        <v>324</v>
      </c>
      <c r="M36" s="6" t="s">
        <v>150</v>
      </c>
      <c r="N36" s="10">
        <v>100</v>
      </c>
      <c r="O36" t="s">
        <v>124</v>
      </c>
      <c r="Q36" t="s">
        <v>394</v>
      </c>
    </row>
    <row r="37" spans="1:17" x14ac:dyDescent="0.25">
      <c r="H37" s="6"/>
      <c r="M37" s="6"/>
      <c r="N37" s="15"/>
    </row>
    <row r="38" spans="1:17" x14ac:dyDescent="0.25">
      <c r="A38" t="s">
        <v>149</v>
      </c>
      <c r="H38" s="6" t="s">
        <v>325</v>
      </c>
      <c r="M38" s="6" t="s">
        <v>150</v>
      </c>
      <c r="N38" s="11">
        <v>6.4777062142923141</v>
      </c>
      <c r="O38" t="s">
        <v>124</v>
      </c>
      <c r="Q38" t="s">
        <v>163</v>
      </c>
    </row>
    <row r="39" spans="1:17" x14ac:dyDescent="0.25">
      <c r="A39" t="s">
        <v>149</v>
      </c>
      <c r="H39" s="6" t="s">
        <v>329</v>
      </c>
      <c r="M39" s="6" t="s">
        <v>150</v>
      </c>
      <c r="N39" s="11">
        <v>8.7567853491111922</v>
      </c>
      <c r="O39" t="s">
        <v>124</v>
      </c>
      <c r="P39" t="s">
        <v>166</v>
      </c>
      <c r="Q39" t="s">
        <v>164</v>
      </c>
    </row>
    <row r="40" spans="1:17" x14ac:dyDescent="0.25">
      <c r="A40" t="s">
        <v>149</v>
      </c>
      <c r="H40" s="6" t="s">
        <v>326</v>
      </c>
      <c r="M40" s="6" t="s">
        <v>150</v>
      </c>
      <c r="N40" s="18">
        <v>59.671114354829328</v>
      </c>
      <c r="O40" t="s">
        <v>124</v>
      </c>
      <c r="P40" s="19" t="s">
        <v>167</v>
      </c>
      <c r="Q40" t="s">
        <v>165</v>
      </c>
    </row>
    <row r="41" spans="1:17" x14ac:dyDescent="0.25">
      <c r="A41" t="s">
        <v>149</v>
      </c>
      <c r="H41" s="6" t="s">
        <v>324</v>
      </c>
      <c r="M41" s="6" t="s">
        <v>150</v>
      </c>
      <c r="N41" s="18">
        <v>16.802918820320372</v>
      </c>
      <c r="O41" t="s">
        <v>124</v>
      </c>
    </row>
    <row r="42" spans="1:17" x14ac:dyDescent="0.25">
      <c r="A42" t="s">
        <v>149</v>
      </c>
      <c r="H42" s="6" t="s">
        <v>328</v>
      </c>
      <c r="M42" s="6" t="s">
        <v>150</v>
      </c>
      <c r="N42" s="11">
        <v>7.4851294970113242</v>
      </c>
      <c r="O42" t="s">
        <v>124</v>
      </c>
    </row>
    <row r="43" spans="1:17" x14ac:dyDescent="0.25">
      <c r="A43" t="s">
        <v>149</v>
      </c>
      <c r="H43" s="6" t="s">
        <v>327</v>
      </c>
      <c r="M43" s="6" t="s">
        <v>150</v>
      </c>
      <c r="N43" s="11">
        <v>0.80634576443547301</v>
      </c>
      <c r="O43" t="s">
        <v>124</v>
      </c>
    </row>
    <row r="44" spans="1:17" x14ac:dyDescent="0.25">
      <c r="H44" s="6"/>
      <c r="M44" s="6"/>
      <c r="N44" s="11"/>
    </row>
    <row r="45" spans="1:17" x14ac:dyDescent="0.25">
      <c r="A45" t="s">
        <v>344</v>
      </c>
      <c r="H45" s="6" t="s">
        <v>325</v>
      </c>
      <c r="M45" s="6" t="s">
        <v>150</v>
      </c>
      <c r="N45" s="18">
        <v>70</v>
      </c>
      <c r="O45" t="s">
        <v>124</v>
      </c>
      <c r="P45" t="s">
        <v>356</v>
      </c>
      <c r="Q45" t="s">
        <v>355</v>
      </c>
    </row>
    <row r="46" spans="1:17" x14ac:dyDescent="0.25">
      <c r="A46" t="s">
        <v>344</v>
      </c>
      <c r="H46" s="6" t="s">
        <v>326</v>
      </c>
      <c r="M46" s="6" t="s">
        <v>150</v>
      </c>
      <c r="N46" s="18">
        <v>30</v>
      </c>
      <c r="O46" t="s">
        <v>124</v>
      </c>
      <c r="Q46" t="s">
        <v>355</v>
      </c>
    </row>
    <row r="47" spans="1:17" x14ac:dyDescent="0.25">
      <c r="A47" t="s">
        <v>345</v>
      </c>
      <c r="H47" s="6" t="s">
        <v>324</v>
      </c>
      <c r="M47" s="6" t="s">
        <v>150</v>
      </c>
      <c r="N47" s="18">
        <v>100</v>
      </c>
      <c r="O47" s="10" t="s">
        <v>124</v>
      </c>
    </row>
    <row r="48" spans="1:17" x14ac:dyDescent="0.25">
      <c r="H48" s="6"/>
    </row>
    <row r="49" spans="1:17" x14ac:dyDescent="0.25">
      <c r="K49" t="s">
        <v>117</v>
      </c>
      <c r="M49" t="s">
        <v>126</v>
      </c>
      <c r="N49" s="15">
        <v>80</v>
      </c>
      <c r="O49" t="s">
        <v>124</v>
      </c>
    </row>
    <row r="50" spans="1:17" x14ac:dyDescent="0.25">
      <c r="K50" t="s">
        <v>118</v>
      </c>
      <c r="M50" t="s">
        <v>126</v>
      </c>
      <c r="N50" s="15">
        <v>10</v>
      </c>
      <c r="O50" t="s">
        <v>124</v>
      </c>
    </row>
    <row r="51" spans="1:17" x14ac:dyDescent="0.25">
      <c r="K51" t="s">
        <v>119</v>
      </c>
      <c r="M51" t="s">
        <v>126</v>
      </c>
      <c r="N51" s="15">
        <v>10</v>
      </c>
      <c r="O51" t="s">
        <v>124</v>
      </c>
    </row>
    <row r="52" spans="1:17" x14ac:dyDescent="0.25">
      <c r="A52" s="1" t="s">
        <v>189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25">
      <c r="H53" s="4"/>
      <c r="M53" s="9" t="s">
        <v>172</v>
      </c>
      <c r="N53" s="23">
        <v>0</v>
      </c>
      <c r="O53" s="9"/>
      <c r="P53" s="9" t="s">
        <v>187</v>
      </c>
    </row>
    <row r="54" spans="1:17" x14ac:dyDescent="0.25">
      <c r="H54" s="4"/>
      <c r="N54" s="18"/>
    </row>
    <row r="55" spans="1:17" x14ac:dyDescent="0.25">
      <c r="H55" s="4" t="s">
        <v>248</v>
      </c>
      <c r="L55" t="s">
        <v>173</v>
      </c>
      <c r="M55" t="s">
        <v>172</v>
      </c>
      <c r="N55" s="18">
        <f>74100</f>
        <v>74100</v>
      </c>
      <c r="O55" t="s">
        <v>182</v>
      </c>
      <c r="P55" t="s">
        <v>176</v>
      </c>
      <c r="Q55" t="s">
        <v>175</v>
      </c>
    </row>
    <row r="56" spans="1:17" x14ac:dyDescent="0.25">
      <c r="H56" s="4" t="s">
        <v>248</v>
      </c>
      <c r="L56" t="s">
        <v>180</v>
      </c>
      <c r="M56" t="s">
        <v>172</v>
      </c>
      <c r="N56" s="11">
        <f>3.9</f>
        <v>3.9</v>
      </c>
      <c r="O56" t="s">
        <v>182</v>
      </c>
      <c r="Q56" t="s">
        <v>177</v>
      </c>
    </row>
    <row r="57" spans="1:17" x14ac:dyDescent="0.25">
      <c r="H57" s="4" t="s">
        <v>248</v>
      </c>
      <c r="L57" t="s">
        <v>174</v>
      </c>
      <c r="M57" t="s">
        <v>172</v>
      </c>
      <c r="N57" s="11">
        <f>3.9</f>
        <v>3.9</v>
      </c>
      <c r="O57" t="s">
        <v>182</v>
      </c>
      <c r="Q57" t="s">
        <v>177</v>
      </c>
    </row>
    <row r="58" spans="1:17" x14ac:dyDescent="0.25">
      <c r="H58" s="4" t="s">
        <v>322</v>
      </c>
      <c r="L58" t="s">
        <v>173</v>
      </c>
      <c r="M58" t="s">
        <v>172</v>
      </c>
      <c r="N58" s="18">
        <v>0</v>
      </c>
      <c r="O58" t="s">
        <v>182</v>
      </c>
    </row>
    <row r="59" spans="1:17" x14ac:dyDescent="0.25">
      <c r="H59" s="4" t="s">
        <v>322</v>
      </c>
      <c r="L59" t="s">
        <v>181</v>
      </c>
      <c r="M59" t="s">
        <v>172</v>
      </c>
      <c r="N59" s="22">
        <f t="shared" ref="N59:N60" si="0">N56</f>
        <v>3.9</v>
      </c>
      <c r="O59" t="s">
        <v>182</v>
      </c>
      <c r="P59" t="s">
        <v>178</v>
      </c>
    </row>
    <row r="60" spans="1:17" x14ac:dyDescent="0.25">
      <c r="H60" s="4" t="s">
        <v>322</v>
      </c>
      <c r="L60" t="s">
        <v>174</v>
      </c>
      <c r="M60" t="s">
        <v>172</v>
      </c>
      <c r="N60" s="22">
        <f t="shared" si="0"/>
        <v>3.9</v>
      </c>
      <c r="O60" t="s">
        <v>182</v>
      </c>
      <c r="P60" t="s">
        <v>178</v>
      </c>
    </row>
    <row r="61" spans="1:17" x14ac:dyDescent="0.25">
      <c r="H61" s="6" t="s">
        <v>325</v>
      </c>
      <c r="L61" t="s">
        <v>173</v>
      </c>
      <c r="M61" t="s">
        <v>172</v>
      </c>
      <c r="N61" s="18">
        <v>73300</v>
      </c>
      <c r="O61" t="s">
        <v>182</v>
      </c>
      <c r="P61" t="s">
        <v>185</v>
      </c>
      <c r="Q61" t="s">
        <v>186</v>
      </c>
    </row>
    <row r="62" spans="1:17" x14ac:dyDescent="0.25">
      <c r="H62" s="6" t="s">
        <v>325</v>
      </c>
      <c r="L62" t="s">
        <v>180</v>
      </c>
      <c r="M62" t="s">
        <v>172</v>
      </c>
      <c r="N62">
        <v>10</v>
      </c>
      <c r="O62" t="s">
        <v>182</v>
      </c>
      <c r="Q62" t="s">
        <v>186</v>
      </c>
    </row>
    <row r="63" spans="1:17" x14ac:dyDescent="0.25">
      <c r="H63" s="6" t="s">
        <v>325</v>
      </c>
      <c r="L63" t="s">
        <v>174</v>
      </c>
      <c r="M63" t="s">
        <v>172</v>
      </c>
      <c r="N63">
        <v>0.6</v>
      </c>
      <c r="O63" t="s">
        <v>182</v>
      </c>
      <c r="Q63" t="s">
        <v>186</v>
      </c>
    </row>
    <row r="64" spans="1:17" x14ac:dyDescent="0.25">
      <c r="H64" s="6" t="s">
        <v>329</v>
      </c>
      <c r="L64" t="s">
        <v>173</v>
      </c>
      <c r="M64" t="s">
        <v>172</v>
      </c>
      <c r="N64" s="18">
        <v>56100</v>
      </c>
      <c r="O64" t="s">
        <v>182</v>
      </c>
      <c r="P64" t="s">
        <v>184</v>
      </c>
      <c r="Q64" t="s">
        <v>186</v>
      </c>
    </row>
    <row r="65" spans="1:17" x14ac:dyDescent="0.25">
      <c r="H65" s="6" t="s">
        <v>329</v>
      </c>
      <c r="L65" t="s">
        <v>180</v>
      </c>
      <c r="M65" t="s">
        <v>172</v>
      </c>
      <c r="N65">
        <v>5</v>
      </c>
      <c r="O65" t="s">
        <v>182</v>
      </c>
      <c r="Q65" t="s">
        <v>186</v>
      </c>
    </row>
    <row r="66" spans="1:17" x14ac:dyDescent="0.25">
      <c r="H66" s="6" t="s">
        <v>329</v>
      </c>
      <c r="L66" t="s">
        <v>174</v>
      </c>
      <c r="M66" t="s">
        <v>172</v>
      </c>
      <c r="N66">
        <v>0.1</v>
      </c>
      <c r="O66" t="s">
        <v>182</v>
      </c>
      <c r="Q66" t="s">
        <v>186</v>
      </c>
    </row>
    <row r="67" spans="1:17" x14ac:dyDescent="0.25">
      <c r="H67" s="6" t="s">
        <v>326</v>
      </c>
      <c r="L67" t="s">
        <v>173</v>
      </c>
      <c r="M67" t="s">
        <v>172</v>
      </c>
      <c r="N67" s="18">
        <v>0</v>
      </c>
      <c r="O67" t="s">
        <v>182</v>
      </c>
      <c r="P67" t="s">
        <v>183</v>
      </c>
      <c r="Q67" t="s">
        <v>186</v>
      </c>
    </row>
    <row r="68" spans="1:17" x14ac:dyDescent="0.25">
      <c r="H68" s="6" t="s">
        <v>326</v>
      </c>
      <c r="L68" t="s">
        <v>181</v>
      </c>
      <c r="M68" t="s">
        <v>172</v>
      </c>
      <c r="N68" s="18">
        <v>300</v>
      </c>
      <c r="O68" t="s">
        <v>182</v>
      </c>
      <c r="Q68" t="s">
        <v>186</v>
      </c>
    </row>
    <row r="69" spans="1:17" x14ac:dyDescent="0.25">
      <c r="H69" s="6" t="s">
        <v>326</v>
      </c>
      <c r="L69" t="s">
        <v>174</v>
      </c>
      <c r="M69" t="s">
        <v>172</v>
      </c>
      <c r="N69" s="18">
        <v>4</v>
      </c>
      <c r="O69" t="s">
        <v>182</v>
      </c>
      <c r="Q69" t="s">
        <v>186</v>
      </c>
    </row>
    <row r="70" spans="1:17" x14ac:dyDescent="0.25">
      <c r="H70" s="6" t="s">
        <v>328</v>
      </c>
      <c r="M70" t="s">
        <v>172</v>
      </c>
      <c r="N70" s="18">
        <v>0</v>
      </c>
      <c r="O70" t="s">
        <v>182</v>
      </c>
      <c r="P70" s="15"/>
    </row>
    <row r="71" spans="1:17" x14ac:dyDescent="0.25">
      <c r="H71" s="6" t="s">
        <v>327</v>
      </c>
      <c r="M71" t="s">
        <v>172</v>
      </c>
      <c r="N71" s="18">
        <v>0</v>
      </c>
      <c r="O71" t="s">
        <v>182</v>
      </c>
      <c r="P71" s="15"/>
    </row>
    <row r="72" spans="1:17" x14ac:dyDescent="0.25">
      <c r="H72" s="4" t="s">
        <v>323</v>
      </c>
      <c r="M72" t="s">
        <v>172</v>
      </c>
      <c r="N72" s="18">
        <v>0</v>
      </c>
      <c r="O72" t="s">
        <v>182</v>
      </c>
      <c r="P72" s="15" t="s">
        <v>179</v>
      </c>
    </row>
    <row r="73" spans="1:17" x14ac:dyDescent="0.25">
      <c r="H73" s="6" t="s">
        <v>324</v>
      </c>
      <c r="M73" t="s">
        <v>172</v>
      </c>
      <c r="N73" s="18">
        <v>0</v>
      </c>
      <c r="O73" t="s">
        <v>182</v>
      </c>
      <c r="P73" s="15"/>
    </row>
    <row r="74" spans="1:17" x14ac:dyDescent="0.25">
      <c r="H74" s="6"/>
      <c r="N74" s="18"/>
      <c r="P74" s="15"/>
    </row>
    <row r="75" spans="1:17" x14ac:dyDescent="0.25">
      <c r="A75" s="1" t="s">
        <v>6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x14ac:dyDescent="0.25">
      <c r="A76" s="2" t="s">
        <v>7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3"/>
      <c r="N76" s="3"/>
      <c r="O76" s="3"/>
      <c r="P76" s="3"/>
      <c r="Q76" s="3"/>
    </row>
    <row r="77" spans="1:17" x14ac:dyDescent="0.25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 t="s">
        <v>9</v>
      </c>
      <c r="N77">
        <v>10800</v>
      </c>
      <c r="O77" t="s">
        <v>11</v>
      </c>
      <c r="P77" s="4" t="s">
        <v>10</v>
      </c>
    </row>
    <row r="78" spans="1:17" x14ac:dyDescent="0.25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 t="s">
        <v>22</v>
      </c>
      <c r="N78">
        <v>5</v>
      </c>
      <c r="O78" t="s">
        <v>13</v>
      </c>
      <c r="P78" s="4" t="s">
        <v>12</v>
      </c>
    </row>
    <row r="79" spans="1:17" x14ac:dyDescent="0.25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6" t="s">
        <v>121</v>
      </c>
      <c r="N79">
        <v>2</v>
      </c>
      <c r="O79" t="s">
        <v>122</v>
      </c>
      <c r="P79" s="7"/>
    </row>
    <row r="80" spans="1:17" x14ac:dyDescent="0.25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 t="s">
        <v>23</v>
      </c>
      <c r="N80">
        <v>0.2</v>
      </c>
      <c r="O80" t="s">
        <v>15</v>
      </c>
      <c r="P80" s="4" t="s">
        <v>14</v>
      </c>
    </row>
    <row r="81" spans="1:21" x14ac:dyDescent="0.25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 t="s">
        <v>24</v>
      </c>
      <c r="N81">
        <v>3.5000000000000003E-2</v>
      </c>
      <c r="O81" t="s">
        <v>17</v>
      </c>
      <c r="P81" s="5" t="s">
        <v>16</v>
      </c>
    </row>
    <row r="82" spans="1:21" x14ac:dyDescent="0.25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6" t="s">
        <v>25</v>
      </c>
      <c r="N82">
        <v>250</v>
      </c>
      <c r="O82" t="s">
        <v>19</v>
      </c>
      <c r="P82" s="5" t="s">
        <v>18</v>
      </c>
    </row>
    <row r="83" spans="1:21" x14ac:dyDescent="0.25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20" t="s">
        <v>49</v>
      </c>
      <c r="N83" s="9">
        <v>1</v>
      </c>
      <c r="O83" s="9"/>
      <c r="P83" s="21" t="s">
        <v>52</v>
      </c>
    </row>
    <row r="84" spans="1:21" ht="18" x14ac:dyDescent="0.35">
      <c r="B84" s="4"/>
      <c r="C84" s="4"/>
      <c r="D84" s="4"/>
      <c r="E84" s="4"/>
      <c r="F84" s="4"/>
      <c r="G84" s="4"/>
      <c r="H84" s="4" t="s">
        <v>248</v>
      </c>
      <c r="I84" s="4"/>
      <c r="J84" s="4"/>
      <c r="K84" s="4"/>
      <c r="L84" s="4"/>
      <c r="M84" s="6" t="s">
        <v>49</v>
      </c>
      <c r="N84">
        <v>0.26</v>
      </c>
      <c r="P84" s="5" t="s">
        <v>50</v>
      </c>
    </row>
    <row r="85" spans="1:21" ht="18" x14ac:dyDescent="0.35">
      <c r="B85" s="4"/>
      <c r="C85" s="4"/>
      <c r="D85" s="4"/>
      <c r="E85" s="4"/>
      <c r="F85" s="4"/>
      <c r="G85" s="4"/>
      <c r="H85" s="4" t="s">
        <v>322</v>
      </c>
      <c r="I85" s="4"/>
      <c r="J85" s="4"/>
      <c r="K85" s="4"/>
      <c r="L85" s="4"/>
      <c r="M85" s="6" t="s">
        <v>49</v>
      </c>
      <c r="N85">
        <v>0.26</v>
      </c>
      <c r="P85" s="5" t="s">
        <v>50</v>
      </c>
    </row>
    <row r="86" spans="1:21" ht="18" x14ac:dyDescent="0.35">
      <c r="B86" s="4"/>
      <c r="C86" s="4"/>
      <c r="D86" s="4"/>
      <c r="E86" s="4"/>
      <c r="F86" s="4"/>
      <c r="G86" s="4"/>
      <c r="H86" s="4" t="s">
        <v>323</v>
      </c>
      <c r="I86" s="4"/>
      <c r="J86" s="4"/>
      <c r="K86" s="4"/>
      <c r="L86" s="4"/>
      <c r="M86" s="6" t="s">
        <v>49</v>
      </c>
      <c r="N86">
        <v>0.45</v>
      </c>
      <c r="P86" s="5" t="s">
        <v>50</v>
      </c>
    </row>
    <row r="87" spans="1:21" ht="18" x14ac:dyDescent="0.35">
      <c r="B87" s="4"/>
      <c r="C87" s="4"/>
      <c r="D87" s="4"/>
      <c r="E87" s="4"/>
      <c r="F87" s="4"/>
      <c r="G87" s="4"/>
      <c r="H87" s="6" t="s">
        <v>324</v>
      </c>
      <c r="I87" s="6"/>
      <c r="J87" s="6"/>
      <c r="K87" s="6"/>
      <c r="L87" s="6"/>
      <c r="M87" s="6" t="s">
        <v>49</v>
      </c>
      <c r="N87">
        <v>0.76</v>
      </c>
      <c r="P87" s="5" t="s">
        <v>50</v>
      </c>
    </row>
    <row r="88" spans="1:21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6" t="s">
        <v>27</v>
      </c>
      <c r="N88">
        <v>4</v>
      </c>
      <c r="O88" t="s">
        <v>21</v>
      </c>
      <c r="P88" s="7" t="s">
        <v>20</v>
      </c>
    </row>
    <row r="90" spans="1:21" x14ac:dyDescent="0.25">
      <c r="A90" s="2" t="s">
        <v>8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21" x14ac:dyDescent="0.25">
      <c r="M91" t="s">
        <v>123</v>
      </c>
      <c r="N91">
        <v>4</v>
      </c>
      <c r="O91" t="s">
        <v>29</v>
      </c>
      <c r="P91" t="s">
        <v>28</v>
      </c>
      <c r="U91" s="6"/>
    </row>
    <row r="92" spans="1:21" ht="18" x14ac:dyDescent="0.35">
      <c r="M92" t="s">
        <v>45</v>
      </c>
      <c r="N92">
        <v>0.9</v>
      </c>
      <c r="P92" t="s">
        <v>30</v>
      </c>
      <c r="U92" s="6"/>
    </row>
    <row r="93" spans="1:21" ht="18" x14ac:dyDescent="0.35">
      <c r="M93" t="s">
        <v>38</v>
      </c>
      <c r="N93">
        <v>1.2250000000000001</v>
      </c>
      <c r="O93" t="s">
        <v>32</v>
      </c>
      <c r="P93" t="s">
        <v>31</v>
      </c>
      <c r="U93" s="6"/>
    </row>
    <row r="94" spans="1:21" ht="18" x14ac:dyDescent="0.35">
      <c r="M94" t="s">
        <v>39</v>
      </c>
      <c r="N94">
        <v>0.1</v>
      </c>
      <c r="P94" t="s">
        <v>33</v>
      </c>
      <c r="U94" s="6"/>
    </row>
    <row r="95" spans="1:21" ht="18" x14ac:dyDescent="0.35">
      <c r="M95" t="s">
        <v>40</v>
      </c>
      <c r="N95">
        <v>0.01</v>
      </c>
      <c r="P95" t="s">
        <v>34</v>
      </c>
    </row>
    <row r="96" spans="1:21" x14ac:dyDescent="0.25">
      <c r="M96" t="s">
        <v>41</v>
      </c>
      <c r="N96">
        <v>0.2</v>
      </c>
      <c r="P96" t="s">
        <v>35</v>
      </c>
    </row>
    <row r="97" spans="1:20" ht="18" x14ac:dyDescent="0.35">
      <c r="M97" t="s">
        <v>42</v>
      </c>
      <c r="N97">
        <v>0.8</v>
      </c>
      <c r="P97" t="s">
        <v>36</v>
      </c>
    </row>
    <row r="98" spans="1:20" ht="18" x14ac:dyDescent="0.35">
      <c r="M98" t="s">
        <v>43</v>
      </c>
      <c r="N98">
        <v>55</v>
      </c>
      <c r="P98" t="s">
        <v>37</v>
      </c>
      <c r="T98" s="4"/>
    </row>
    <row r="100" spans="1:20" x14ac:dyDescent="0.25">
      <c r="A100" s="1" t="s">
        <v>46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</row>
    <row r="101" spans="1:20" x14ac:dyDescent="0.25">
      <c r="M101" s="9" t="s">
        <v>74</v>
      </c>
      <c r="N101" s="9">
        <v>0</v>
      </c>
      <c r="O101" s="9" t="s">
        <v>83</v>
      </c>
      <c r="P101" s="9"/>
    </row>
    <row r="102" spans="1:20" x14ac:dyDescent="0.25">
      <c r="M102" s="9" t="s">
        <v>75</v>
      </c>
      <c r="N102" s="9">
        <v>0</v>
      </c>
      <c r="O102" s="9" t="s">
        <v>83</v>
      </c>
      <c r="P102" s="9"/>
    </row>
    <row r="103" spans="1:20" x14ac:dyDescent="0.25">
      <c r="M103" s="9" t="s">
        <v>76</v>
      </c>
      <c r="N103" s="9">
        <v>0</v>
      </c>
      <c r="O103" s="9" t="s">
        <v>83</v>
      </c>
      <c r="P103" s="9"/>
    </row>
    <row r="104" spans="1:20" x14ac:dyDescent="0.25">
      <c r="M104" s="9" t="s">
        <v>73</v>
      </c>
      <c r="N104" s="9">
        <v>0</v>
      </c>
      <c r="O104" s="9" t="s">
        <v>84</v>
      </c>
      <c r="P104" s="9"/>
    </row>
    <row r="105" spans="1:20" x14ac:dyDescent="0.25">
      <c r="M105" s="9" t="s">
        <v>90</v>
      </c>
      <c r="N105" s="9">
        <v>0</v>
      </c>
      <c r="O105" s="9" t="s">
        <v>91</v>
      </c>
      <c r="P105" s="9"/>
    </row>
    <row r="106" spans="1:20" x14ac:dyDescent="0.25">
      <c r="M106" s="9" t="s">
        <v>77</v>
      </c>
      <c r="N106" s="9">
        <v>1</v>
      </c>
      <c r="O106" s="9" t="s">
        <v>85</v>
      </c>
      <c r="P106" s="9" t="s">
        <v>78</v>
      </c>
    </row>
    <row r="107" spans="1:20" x14ac:dyDescent="0.25">
      <c r="M107" s="9" t="s">
        <v>53</v>
      </c>
      <c r="N107" s="9">
        <v>0</v>
      </c>
      <c r="O107" s="9" t="s">
        <v>55</v>
      </c>
      <c r="P107" s="9"/>
    </row>
    <row r="108" spans="1:20" x14ac:dyDescent="0.25">
      <c r="M108" s="9" t="s">
        <v>402</v>
      </c>
      <c r="N108" s="9">
        <v>0</v>
      </c>
      <c r="O108" s="9" t="s">
        <v>55</v>
      </c>
      <c r="P108" s="9" t="s">
        <v>401</v>
      </c>
    </row>
    <row r="109" spans="1:20" x14ac:dyDescent="0.25">
      <c r="M109" s="9" t="s">
        <v>54</v>
      </c>
      <c r="N109" s="9">
        <v>0</v>
      </c>
      <c r="O109" s="9" t="s">
        <v>56</v>
      </c>
      <c r="P109" s="9"/>
    </row>
    <row r="110" spans="1:20" x14ac:dyDescent="0.25">
      <c r="M110" s="9" t="s">
        <v>130</v>
      </c>
      <c r="N110" s="9">
        <v>0</v>
      </c>
      <c r="O110" s="9" t="s">
        <v>330</v>
      </c>
      <c r="P110" s="9"/>
    </row>
    <row r="111" spans="1:20" x14ac:dyDescent="0.25">
      <c r="M111" s="9" t="s">
        <v>57</v>
      </c>
      <c r="N111" s="9">
        <v>0</v>
      </c>
      <c r="O111" s="9" t="s">
        <v>58</v>
      </c>
      <c r="P111" s="9"/>
    </row>
    <row r="112" spans="1:20" x14ac:dyDescent="0.25">
      <c r="M112" s="9"/>
      <c r="N112" s="9"/>
      <c r="O112" s="9"/>
      <c r="P112" s="9"/>
    </row>
    <row r="113" spans="9:17" x14ac:dyDescent="0.25">
      <c r="I113" t="s">
        <v>59</v>
      </c>
      <c r="M113" s="10" t="s">
        <v>74</v>
      </c>
      <c r="N113" s="10">
        <v>364</v>
      </c>
      <c r="O113" s="10"/>
      <c r="P113" s="10" t="s">
        <v>82</v>
      </c>
      <c r="Q113" s="10"/>
    </row>
    <row r="114" spans="9:17" x14ac:dyDescent="0.25">
      <c r="I114" t="s">
        <v>59</v>
      </c>
      <c r="M114" s="10" t="s">
        <v>75</v>
      </c>
      <c r="N114" s="10">
        <v>18.8</v>
      </c>
      <c r="O114" s="10"/>
      <c r="P114" s="10"/>
      <c r="Q114" s="10"/>
    </row>
    <row r="115" spans="9:17" x14ac:dyDescent="0.25">
      <c r="I115" t="s">
        <v>59</v>
      </c>
      <c r="M115" s="10" t="s">
        <v>76</v>
      </c>
      <c r="N115" s="10">
        <v>0</v>
      </c>
      <c r="O115" s="10"/>
      <c r="P115" s="10"/>
      <c r="Q115" s="10"/>
    </row>
    <row r="116" spans="9:17" x14ac:dyDescent="0.25">
      <c r="I116" t="s">
        <v>59</v>
      </c>
      <c r="M116" s="10" t="s">
        <v>73</v>
      </c>
      <c r="N116" s="10">
        <v>10</v>
      </c>
      <c r="O116" s="10"/>
      <c r="P116" s="10"/>
      <c r="Q116" s="10"/>
    </row>
    <row r="117" spans="9:17" x14ac:dyDescent="0.25">
      <c r="I117" t="s">
        <v>59</v>
      </c>
      <c r="J117" t="s">
        <v>72</v>
      </c>
      <c r="M117" s="10" t="s">
        <v>77</v>
      </c>
      <c r="N117" s="12">
        <v>1</v>
      </c>
      <c r="O117" s="10"/>
      <c r="P117" s="10"/>
      <c r="Q117" s="10"/>
    </row>
    <row r="118" spans="9:17" x14ac:dyDescent="0.25">
      <c r="I118" t="s">
        <v>59</v>
      </c>
      <c r="J118" t="s">
        <v>71</v>
      </c>
      <c r="M118" s="10" t="s">
        <v>77</v>
      </c>
      <c r="N118" s="10">
        <v>0.88</v>
      </c>
      <c r="O118" s="10"/>
      <c r="P118" s="10"/>
      <c r="Q118" s="10"/>
    </row>
    <row r="119" spans="9:17" x14ac:dyDescent="0.25">
      <c r="I119" t="s">
        <v>59</v>
      </c>
      <c r="J119" t="s">
        <v>70</v>
      </c>
      <c r="M119" s="10" t="s">
        <v>77</v>
      </c>
      <c r="N119" s="10">
        <v>0.78</v>
      </c>
      <c r="O119" s="10"/>
      <c r="P119" s="10"/>
      <c r="Q119" s="10"/>
    </row>
    <row r="120" spans="9:17" x14ac:dyDescent="0.25">
      <c r="M120" s="10"/>
      <c r="N120" s="10"/>
      <c r="O120" s="10"/>
      <c r="P120" s="10"/>
      <c r="Q120" s="10"/>
    </row>
    <row r="121" spans="9:17" x14ac:dyDescent="0.25">
      <c r="I121" t="s">
        <v>62</v>
      </c>
      <c r="M121" s="10" t="s">
        <v>74</v>
      </c>
      <c r="N121" s="10">
        <v>652</v>
      </c>
      <c r="O121" s="10"/>
      <c r="P121" s="10" t="s">
        <v>80</v>
      </c>
      <c r="Q121" s="10"/>
    </row>
    <row r="122" spans="9:17" x14ac:dyDescent="0.25">
      <c r="I122" t="s">
        <v>62</v>
      </c>
      <c r="M122" s="10" t="s">
        <v>75</v>
      </c>
      <c r="N122" s="10">
        <v>0</v>
      </c>
      <c r="O122" s="10"/>
      <c r="P122" s="10"/>
      <c r="Q122" s="10"/>
    </row>
    <row r="123" spans="9:17" x14ac:dyDescent="0.25">
      <c r="I123" t="s">
        <v>62</v>
      </c>
      <c r="M123" s="10" t="s">
        <v>76</v>
      </c>
      <c r="N123" s="10">
        <v>5.0999999999999996</v>
      </c>
      <c r="O123" s="10"/>
      <c r="P123" s="10"/>
      <c r="Q123" s="10"/>
    </row>
    <row r="124" spans="9:17" x14ac:dyDescent="0.25">
      <c r="I124" t="s">
        <v>62</v>
      </c>
      <c r="M124" s="10" t="s">
        <v>73</v>
      </c>
      <c r="N124" s="10">
        <v>20</v>
      </c>
      <c r="O124" s="10"/>
      <c r="P124" s="10"/>
      <c r="Q124" s="10"/>
    </row>
    <row r="125" spans="9:17" x14ac:dyDescent="0.25">
      <c r="I125" t="s">
        <v>62</v>
      </c>
      <c r="J125" t="s">
        <v>72</v>
      </c>
      <c r="M125" s="10" t="s">
        <v>77</v>
      </c>
      <c r="N125" s="12">
        <v>1</v>
      </c>
      <c r="O125" s="10"/>
      <c r="P125" s="10"/>
      <c r="Q125" s="10"/>
    </row>
    <row r="126" spans="9:17" x14ac:dyDescent="0.25">
      <c r="I126" t="s">
        <v>62</v>
      </c>
      <c r="J126" t="s">
        <v>71</v>
      </c>
      <c r="M126" s="10" t="s">
        <v>77</v>
      </c>
      <c r="N126" s="12">
        <v>0.7</v>
      </c>
      <c r="O126" s="10"/>
      <c r="P126" s="10"/>
      <c r="Q126" s="10"/>
    </row>
    <row r="127" spans="9:17" x14ac:dyDescent="0.25">
      <c r="I127" t="s">
        <v>62</v>
      </c>
      <c r="J127" t="s">
        <v>70</v>
      </c>
      <c r="M127" s="10" t="s">
        <v>77</v>
      </c>
      <c r="N127" s="10">
        <v>0.45</v>
      </c>
      <c r="O127" s="10"/>
      <c r="P127" s="10"/>
      <c r="Q127" s="10"/>
    </row>
    <row r="128" spans="9:17" x14ac:dyDescent="0.25">
      <c r="M128" s="10"/>
      <c r="N128" s="10"/>
      <c r="O128" s="10"/>
      <c r="P128" s="10"/>
      <c r="Q128" s="10"/>
    </row>
    <row r="129" spans="9:17" x14ac:dyDescent="0.25">
      <c r="I129" t="s">
        <v>61</v>
      </c>
      <c r="M129" s="10" t="s">
        <v>74</v>
      </c>
      <c r="N129" s="10">
        <v>46</v>
      </c>
      <c r="O129" s="10"/>
      <c r="P129" s="10" t="s">
        <v>81</v>
      </c>
      <c r="Q129" s="10"/>
    </row>
    <row r="130" spans="9:17" x14ac:dyDescent="0.25">
      <c r="I130" t="s">
        <v>61</v>
      </c>
      <c r="M130" s="10" t="s">
        <v>75</v>
      </c>
      <c r="N130" s="10">
        <v>2.8</v>
      </c>
      <c r="O130" s="10"/>
      <c r="P130" s="10"/>
      <c r="Q130" s="10"/>
    </row>
    <row r="131" spans="9:17" x14ac:dyDescent="0.25">
      <c r="I131" t="s">
        <v>61</v>
      </c>
      <c r="M131" s="10" t="s">
        <v>76</v>
      </c>
      <c r="N131" s="10">
        <v>0</v>
      </c>
      <c r="O131" s="10"/>
      <c r="P131" s="10"/>
      <c r="Q131" s="10"/>
    </row>
    <row r="132" spans="9:17" x14ac:dyDescent="0.25">
      <c r="I132" t="s">
        <v>61</v>
      </c>
      <c r="M132" s="10" t="s">
        <v>73</v>
      </c>
      <c r="N132" s="10">
        <v>5</v>
      </c>
      <c r="O132" s="10"/>
      <c r="P132" s="10"/>
      <c r="Q132" s="10"/>
    </row>
    <row r="133" spans="9:17" x14ac:dyDescent="0.25">
      <c r="I133" t="s">
        <v>61</v>
      </c>
      <c r="J133" t="s">
        <v>72</v>
      </c>
      <c r="M133" s="10" t="s">
        <v>77</v>
      </c>
      <c r="N133" s="12">
        <v>1</v>
      </c>
      <c r="O133" s="10"/>
      <c r="P133" s="10"/>
      <c r="Q133" s="10"/>
    </row>
    <row r="134" spans="9:17" x14ac:dyDescent="0.25">
      <c r="I134" t="s">
        <v>61</v>
      </c>
      <c r="J134" t="s">
        <v>71</v>
      </c>
      <c r="M134" s="10" t="s">
        <v>77</v>
      </c>
      <c r="N134" s="10">
        <v>0.85</v>
      </c>
      <c r="O134" s="10"/>
      <c r="P134" s="10"/>
      <c r="Q134" s="10"/>
    </row>
    <row r="135" spans="9:17" x14ac:dyDescent="0.25">
      <c r="I135" t="s">
        <v>61</v>
      </c>
      <c r="J135" t="s">
        <v>70</v>
      </c>
      <c r="M135" s="10" t="s">
        <v>77</v>
      </c>
      <c r="N135" s="10">
        <v>0.65</v>
      </c>
      <c r="O135" s="10"/>
      <c r="P135" s="10"/>
      <c r="Q135" s="10"/>
    </row>
    <row r="136" spans="9:17" x14ac:dyDescent="0.25">
      <c r="M136" s="10"/>
      <c r="N136" s="10"/>
      <c r="O136" s="10"/>
      <c r="P136" s="10"/>
      <c r="Q136" s="10"/>
    </row>
    <row r="137" spans="9:17" x14ac:dyDescent="0.25">
      <c r="I137" t="s">
        <v>64</v>
      </c>
      <c r="M137" s="10" t="s">
        <v>90</v>
      </c>
      <c r="N137" s="12">
        <v>5.0999999999999996</v>
      </c>
      <c r="O137" s="10"/>
      <c r="P137" s="6" t="s">
        <v>92</v>
      </c>
      <c r="Q137" s="4" t="s">
        <v>94</v>
      </c>
    </row>
    <row r="138" spans="9:17" x14ac:dyDescent="0.25">
      <c r="I138" t="s">
        <v>65</v>
      </c>
      <c r="M138" s="10" t="s">
        <v>90</v>
      </c>
      <c r="N138" s="12">
        <v>7.1</v>
      </c>
      <c r="O138" s="10"/>
      <c r="P138" s="6" t="s">
        <v>93</v>
      </c>
      <c r="Q138" s="4" t="s">
        <v>94</v>
      </c>
    </row>
    <row r="139" spans="9:17" x14ac:dyDescent="0.25">
      <c r="M139" s="10"/>
      <c r="N139" s="10"/>
      <c r="O139" s="10"/>
      <c r="P139" s="10"/>
      <c r="Q139" s="10"/>
    </row>
    <row r="140" spans="9:17" x14ac:dyDescent="0.25">
      <c r="I140" t="s">
        <v>60</v>
      </c>
      <c r="M140" s="10" t="s">
        <v>53</v>
      </c>
      <c r="N140" s="12">
        <v>3.7353333333333332</v>
      </c>
      <c r="O140" s="10"/>
      <c r="P140" s="10" t="s">
        <v>86</v>
      </c>
      <c r="Q140" s="6" t="s">
        <v>87</v>
      </c>
    </row>
    <row r="141" spans="9:17" x14ac:dyDescent="0.25">
      <c r="I141" t="s">
        <v>63</v>
      </c>
      <c r="M141" s="10" t="s">
        <v>53</v>
      </c>
      <c r="N141" s="11">
        <v>17.096931944444446</v>
      </c>
      <c r="O141" s="10"/>
      <c r="P141" s="6" t="s">
        <v>88</v>
      </c>
      <c r="Q141" s="4" t="s">
        <v>89</v>
      </c>
    </row>
    <row r="142" spans="9:17" x14ac:dyDescent="0.25">
      <c r="I142" t="s">
        <v>66</v>
      </c>
      <c r="M142" s="10" t="s">
        <v>53</v>
      </c>
      <c r="N142" s="12">
        <v>1.2451111111111113</v>
      </c>
      <c r="O142" s="10"/>
      <c r="P142" s="6" t="s">
        <v>47</v>
      </c>
      <c r="Q142" s="10" t="s">
        <v>87</v>
      </c>
    </row>
    <row r="143" spans="9:17" x14ac:dyDescent="0.25">
      <c r="I143" t="s">
        <v>400</v>
      </c>
      <c r="M143" s="10" t="s">
        <v>402</v>
      </c>
      <c r="N143" s="12">
        <f>(3.11+4.67)/2</f>
        <v>3.8899999999999997</v>
      </c>
      <c r="O143" s="10"/>
      <c r="P143" s="6" t="s">
        <v>399</v>
      </c>
      <c r="Q143" s="10" t="s">
        <v>87</v>
      </c>
    </row>
    <row r="144" spans="9:17" x14ac:dyDescent="0.25">
      <c r="I144" t="s">
        <v>67</v>
      </c>
      <c r="M144" s="10" t="s">
        <v>53</v>
      </c>
      <c r="N144" s="12">
        <v>3.1127777777777781</v>
      </c>
      <c r="O144" s="10"/>
      <c r="P144" s="4" t="s">
        <v>95</v>
      </c>
      <c r="Q144" s="6" t="s">
        <v>87</v>
      </c>
    </row>
    <row r="145" spans="2:17" x14ac:dyDescent="0.25">
      <c r="I145" t="s">
        <v>68</v>
      </c>
      <c r="M145" s="10" t="s">
        <v>53</v>
      </c>
      <c r="N145" s="11">
        <v>11.828555555555555</v>
      </c>
      <c r="O145" s="10"/>
      <c r="P145" s="4" t="s">
        <v>99</v>
      </c>
      <c r="Q145" s="10" t="s">
        <v>87</v>
      </c>
    </row>
    <row r="146" spans="2:17" x14ac:dyDescent="0.25">
      <c r="I146" t="s">
        <v>96</v>
      </c>
      <c r="M146" s="10" t="s">
        <v>53</v>
      </c>
      <c r="N146" s="11">
        <v>26.302972222222223</v>
      </c>
      <c r="O146" s="10"/>
      <c r="P146" s="6" t="s">
        <v>100</v>
      </c>
      <c r="Q146" s="10" t="s">
        <v>89</v>
      </c>
    </row>
    <row r="147" spans="2:17" x14ac:dyDescent="0.25">
      <c r="I147" t="s">
        <v>97</v>
      </c>
      <c r="M147" s="10" t="s">
        <v>53</v>
      </c>
      <c r="N147" s="11">
        <v>11.3</v>
      </c>
      <c r="O147" s="10"/>
      <c r="P147" s="6" t="s">
        <v>102</v>
      </c>
      <c r="Q147" s="10" t="s">
        <v>103</v>
      </c>
    </row>
    <row r="148" spans="2:17" x14ac:dyDescent="0.25">
      <c r="I148" t="s">
        <v>98</v>
      </c>
      <c r="M148" s="10" t="s">
        <v>53</v>
      </c>
      <c r="N148" s="11">
        <v>23.278130416666666</v>
      </c>
      <c r="O148" s="10"/>
      <c r="P148" s="6" t="s">
        <v>101</v>
      </c>
      <c r="Q148" s="10" t="s">
        <v>103</v>
      </c>
    </row>
    <row r="149" spans="2:17" x14ac:dyDescent="0.25">
      <c r="I149" t="s">
        <v>69</v>
      </c>
      <c r="M149" s="10" t="s">
        <v>53</v>
      </c>
      <c r="N149" s="10">
        <v>13.15</v>
      </c>
      <c r="O149" s="10"/>
      <c r="P149" s="10" t="s">
        <v>105</v>
      </c>
      <c r="Q149" s="10" t="s">
        <v>104</v>
      </c>
    </row>
    <row r="150" spans="2:17" x14ac:dyDescent="0.25">
      <c r="I150" t="s">
        <v>69</v>
      </c>
      <c r="M150" s="10" t="s">
        <v>54</v>
      </c>
      <c r="N150" s="10">
        <v>5.26</v>
      </c>
      <c r="O150" s="10"/>
      <c r="P150" s="10" t="s">
        <v>105</v>
      </c>
      <c r="Q150" s="10" t="s">
        <v>104</v>
      </c>
    </row>
    <row r="151" spans="2:17" x14ac:dyDescent="0.25">
      <c r="B151" t="s">
        <v>106</v>
      </c>
      <c r="I151" t="s">
        <v>69</v>
      </c>
      <c r="M151" s="10" t="s">
        <v>54</v>
      </c>
      <c r="N151" s="12">
        <v>1.7546281240590185</v>
      </c>
      <c r="O151" s="10"/>
      <c r="P151" s="10" t="s">
        <v>107</v>
      </c>
      <c r="Q151" s="4" t="s">
        <v>108</v>
      </c>
    </row>
    <row r="152" spans="2:17" x14ac:dyDescent="0.25">
      <c r="B152" t="s">
        <v>109</v>
      </c>
      <c r="I152" t="s">
        <v>69</v>
      </c>
      <c r="M152" s="10" t="s">
        <v>54</v>
      </c>
      <c r="N152" s="12">
        <v>5.1828516694033944</v>
      </c>
      <c r="O152" s="10"/>
      <c r="P152" s="6" t="s">
        <v>111</v>
      </c>
      <c r="Q152" s="4" t="s">
        <v>108</v>
      </c>
    </row>
    <row r="153" spans="2:17" x14ac:dyDescent="0.25">
      <c r="B153" t="s">
        <v>110</v>
      </c>
      <c r="I153" t="s">
        <v>69</v>
      </c>
      <c r="M153" s="10" t="s">
        <v>54</v>
      </c>
      <c r="N153" s="13">
        <v>4.0531064740502947</v>
      </c>
      <c r="P153" s="6" t="s">
        <v>112</v>
      </c>
      <c r="Q153" s="4" t="s">
        <v>108</v>
      </c>
    </row>
    <row r="154" spans="2:17" x14ac:dyDescent="0.25">
      <c r="B154" t="s">
        <v>114</v>
      </c>
      <c r="I154" t="s">
        <v>69</v>
      </c>
      <c r="M154" s="10" t="s">
        <v>54</v>
      </c>
      <c r="N154" s="13">
        <v>4.3591310772039646</v>
      </c>
      <c r="P154" s="6" t="s">
        <v>113</v>
      </c>
      <c r="Q154" s="6" t="s">
        <v>103</v>
      </c>
    </row>
    <row r="155" spans="2:17" x14ac:dyDescent="0.25">
      <c r="M155" s="10"/>
      <c r="N155" s="13"/>
      <c r="P155" s="6"/>
      <c r="Q155" s="6"/>
    </row>
    <row r="156" spans="2:17" x14ac:dyDescent="0.25">
      <c r="I156" t="s">
        <v>116</v>
      </c>
      <c r="M156" s="10" t="s">
        <v>53</v>
      </c>
      <c r="N156" s="13">
        <v>14.6</v>
      </c>
      <c r="P156" s="6"/>
      <c r="Q156" s="4" t="s">
        <v>115</v>
      </c>
    </row>
    <row r="157" spans="2:17" x14ac:dyDescent="0.25">
      <c r="I157" t="s">
        <v>120</v>
      </c>
      <c r="K157" t="s">
        <v>117</v>
      </c>
      <c r="M157" s="10" t="s">
        <v>53</v>
      </c>
      <c r="N157" s="13">
        <v>37.744765138888887</v>
      </c>
      <c r="P157" s="6"/>
      <c r="Q157" s="6" t="s">
        <v>89</v>
      </c>
    </row>
    <row r="158" spans="2:17" x14ac:dyDescent="0.25">
      <c r="I158" t="s">
        <v>120</v>
      </c>
      <c r="K158" t="s">
        <v>118</v>
      </c>
      <c r="M158" s="10" t="s">
        <v>53</v>
      </c>
      <c r="N158" s="13">
        <v>50.107162083333336</v>
      </c>
      <c r="P158" s="6"/>
      <c r="Q158" s="6" t="s">
        <v>89</v>
      </c>
    </row>
    <row r="159" spans="2:17" x14ac:dyDescent="0.25">
      <c r="I159" t="s">
        <v>120</v>
      </c>
      <c r="K159" t="s">
        <v>119</v>
      </c>
      <c r="M159" s="10" t="s">
        <v>53</v>
      </c>
      <c r="N159" s="13">
        <v>36.955675972222224</v>
      </c>
      <c r="P159" s="6"/>
      <c r="Q159" s="6" t="s">
        <v>89</v>
      </c>
    </row>
    <row r="160" spans="2:17" x14ac:dyDescent="0.25">
      <c r="M160" s="10"/>
      <c r="N160" s="13"/>
      <c r="P160" s="6"/>
      <c r="Q160" s="6"/>
    </row>
    <row r="161" spans="1:17" x14ac:dyDescent="0.25">
      <c r="I161" t="s">
        <v>127</v>
      </c>
      <c r="M161" s="10" t="s">
        <v>54</v>
      </c>
      <c r="N161" s="13">
        <v>1.6176327916666666</v>
      </c>
      <c r="O161" t="s">
        <v>56</v>
      </c>
      <c r="P161" s="6" t="s">
        <v>131</v>
      </c>
      <c r="Q161" s="4" t="s">
        <v>89</v>
      </c>
    </row>
    <row r="162" spans="1:17" x14ac:dyDescent="0.25">
      <c r="I162" t="s">
        <v>128</v>
      </c>
      <c r="M162" s="10" t="s">
        <v>130</v>
      </c>
      <c r="N162" s="13">
        <f>3.07744775/0.85</f>
        <v>3.6205267647058825</v>
      </c>
      <c r="O162" t="s">
        <v>330</v>
      </c>
      <c r="P162" s="6" t="s">
        <v>331</v>
      </c>
      <c r="Q162" s="4" t="s">
        <v>89</v>
      </c>
    </row>
    <row r="163" spans="1:17" x14ac:dyDescent="0.25">
      <c r="I163" t="s">
        <v>129</v>
      </c>
      <c r="M163" s="10" t="s">
        <v>57</v>
      </c>
      <c r="N163" s="13">
        <v>0.25</v>
      </c>
      <c r="O163" t="s">
        <v>58</v>
      </c>
      <c r="P163" s="6" t="s">
        <v>132</v>
      </c>
      <c r="Q163" s="4" t="s">
        <v>108</v>
      </c>
    </row>
    <row r="165" spans="1:17" x14ac:dyDescent="0.25">
      <c r="A165" s="1" t="s">
        <v>79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8"/>
      <c r="N165" s="8"/>
      <c r="O165" s="8"/>
      <c r="P165" s="8"/>
      <c r="Q165" s="8"/>
    </row>
    <row r="166" spans="1:17" x14ac:dyDescent="0.25">
      <c r="M166" s="9" t="s">
        <v>48</v>
      </c>
      <c r="N166" s="9">
        <v>0</v>
      </c>
      <c r="P166" s="9" t="s">
        <v>52</v>
      </c>
    </row>
    <row r="167" spans="1:17" x14ac:dyDescent="0.25">
      <c r="M167" t="s">
        <v>48</v>
      </c>
      <c r="N167" t="s">
        <v>170</v>
      </c>
    </row>
    <row r="169" spans="1:17" x14ac:dyDescent="0.25">
      <c r="A169" s="1" t="s">
        <v>352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8"/>
      <c r="N169" s="8"/>
      <c r="O169" s="8"/>
      <c r="P169" s="8"/>
      <c r="Q169" s="8"/>
    </row>
    <row r="171" spans="1:17" x14ac:dyDescent="0.25">
      <c r="M171" s="9" t="s">
        <v>332</v>
      </c>
      <c r="N171" s="9">
        <v>100</v>
      </c>
      <c r="O171" s="9" t="s">
        <v>124</v>
      </c>
      <c r="P171" s="9" t="s">
        <v>52</v>
      </c>
    </row>
    <row r="172" spans="1:17" x14ac:dyDescent="0.25">
      <c r="H172" s="6" t="s">
        <v>326</v>
      </c>
      <c r="M172" t="s">
        <v>332</v>
      </c>
      <c r="N172">
        <v>88</v>
      </c>
      <c r="O172" t="s">
        <v>124</v>
      </c>
      <c r="P172" t="s">
        <v>333</v>
      </c>
      <c r="Q172" t="s">
        <v>346</v>
      </c>
    </row>
    <row r="173" spans="1:17" x14ac:dyDescent="0.25">
      <c r="H173" s="6" t="s">
        <v>325</v>
      </c>
      <c r="M173" t="s">
        <v>332</v>
      </c>
      <c r="N173">
        <v>90</v>
      </c>
      <c r="O173" t="s">
        <v>124</v>
      </c>
      <c r="Q173" t="s">
        <v>346</v>
      </c>
    </row>
    <row r="174" spans="1:17" x14ac:dyDescent="0.25">
      <c r="H174" s="6"/>
    </row>
    <row r="175" spans="1:17" x14ac:dyDescent="0.25">
      <c r="H175" s="6"/>
      <c r="M175" t="s">
        <v>343</v>
      </c>
      <c r="N175">
        <v>1.6E-2</v>
      </c>
      <c r="O175" t="s">
        <v>225</v>
      </c>
      <c r="P175" t="s">
        <v>351</v>
      </c>
      <c r="Q175" t="s">
        <v>350</v>
      </c>
    </row>
    <row r="176" spans="1:17" x14ac:dyDescent="0.25">
      <c r="H176" s="6"/>
    </row>
    <row r="177" spans="1:17" x14ac:dyDescent="0.25">
      <c r="M177" t="s">
        <v>353</v>
      </c>
      <c r="N177" s="13">
        <f>0.16*10.36*0.9</f>
        <v>1.4918400000000001</v>
      </c>
      <c r="O177" t="s">
        <v>347</v>
      </c>
      <c r="P177" t="s">
        <v>348</v>
      </c>
      <c r="Q177" t="s">
        <v>349</v>
      </c>
    </row>
    <row r="180" spans="1:17" x14ac:dyDescent="0.25">
      <c r="M180" s="9" t="s">
        <v>334</v>
      </c>
      <c r="N180" s="9">
        <v>-99</v>
      </c>
      <c r="O180" s="9"/>
      <c r="P180" s="9" t="s">
        <v>341</v>
      </c>
    </row>
    <row r="181" spans="1:17" x14ac:dyDescent="0.25">
      <c r="C181" t="s">
        <v>337</v>
      </c>
      <c r="M181" t="s">
        <v>334</v>
      </c>
      <c r="N181">
        <v>17</v>
      </c>
      <c r="O181" t="s">
        <v>124</v>
      </c>
      <c r="Q181" t="s">
        <v>354</v>
      </c>
    </row>
    <row r="182" spans="1:17" x14ac:dyDescent="0.25">
      <c r="C182" t="s">
        <v>338</v>
      </c>
      <c r="M182" t="s">
        <v>334</v>
      </c>
      <c r="N182">
        <v>17</v>
      </c>
      <c r="O182" t="s">
        <v>124</v>
      </c>
      <c r="Q182" t="s">
        <v>354</v>
      </c>
    </row>
    <row r="183" spans="1:17" x14ac:dyDescent="0.25">
      <c r="C183" t="s">
        <v>339</v>
      </c>
      <c r="M183" t="s">
        <v>334</v>
      </c>
      <c r="N183">
        <v>17</v>
      </c>
      <c r="O183" t="s">
        <v>124</v>
      </c>
      <c r="Q183" t="s">
        <v>354</v>
      </c>
    </row>
    <row r="184" spans="1:17" x14ac:dyDescent="0.25">
      <c r="C184" t="s">
        <v>340</v>
      </c>
      <c r="M184" t="s">
        <v>334</v>
      </c>
      <c r="N184">
        <v>14</v>
      </c>
      <c r="O184" t="s">
        <v>124</v>
      </c>
      <c r="Q184" t="s">
        <v>354</v>
      </c>
    </row>
    <row r="186" spans="1:17" x14ac:dyDescent="0.25">
      <c r="C186" t="s">
        <v>337</v>
      </c>
      <c r="M186" t="s">
        <v>335</v>
      </c>
      <c r="N186">
        <v>14</v>
      </c>
      <c r="O186" t="s">
        <v>124</v>
      </c>
      <c r="Q186" t="s">
        <v>342</v>
      </c>
    </row>
    <row r="187" spans="1:17" x14ac:dyDescent="0.25">
      <c r="C187" t="s">
        <v>338</v>
      </c>
      <c r="M187" t="s">
        <v>335</v>
      </c>
      <c r="N187">
        <v>14</v>
      </c>
      <c r="O187" t="s">
        <v>124</v>
      </c>
      <c r="Q187" t="s">
        <v>342</v>
      </c>
    </row>
    <row r="188" spans="1:17" x14ac:dyDescent="0.25">
      <c r="C188" t="s">
        <v>339</v>
      </c>
      <c r="M188" t="s">
        <v>335</v>
      </c>
      <c r="N188">
        <v>14</v>
      </c>
      <c r="O188" t="s">
        <v>124</v>
      </c>
      <c r="Q188" t="s">
        <v>342</v>
      </c>
    </row>
    <row r="189" spans="1:17" x14ac:dyDescent="0.25">
      <c r="C189" t="s">
        <v>340</v>
      </c>
      <c r="M189" t="s">
        <v>335</v>
      </c>
      <c r="N189">
        <v>9</v>
      </c>
      <c r="O189" t="s">
        <v>124</v>
      </c>
      <c r="Q189" t="s">
        <v>342</v>
      </c>
    </row>
    <row r="191" spans="1:17" x14ac:dyDescent="0.25">
      <c r="A191" s="1" t="s">
        <v>188</v>
      </c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8"/>
      <c r="N191" s="8"/>
      <c r="O191" s="8"/>
      <c r="P191" s="8"/>
      <c r="Q191" s="8"/>
    </row>
    <row r="195" spans="1:17" x14ac:dyDescent="0.25">
      <c r="M195" s="9" t="s">
        <v>158</v>
      </c>
      <c r="N195" s="9">
        <v>0</v>
      </c>
      <c r="O195" s="9" t="s">
        <v>159</v>
      </c>
      <c r="P195" s="9" t="s">
        <v>52</v>
      </c>
    </row>
    <row r="196" spans="1:17" x14ac:dyDescent="0.25">
      <c r="B196" t="s">
        <v>151</v>
      </c>
      <c r="M196" t="s">
        <v>158</v>
      </c>
      <c r="N196">
        <v>302</v>
      </c>
      <c r="O196" t="s">
        <v>159</v>
      </c>
      <c r="P196" t="s">
        <v>160</v>
      </c>
      <c r="Q196" t="s">
        <v>163</v>
      </c>
    </row>
    <row r="197" spans="1:17" x14ac:dyDescent="0.25">
      <c r="B197" t="s">
        <v>152</v>
      </c>
      <c r="M197" t="s">
        <v>158</v>
      </c>
      <c r="N197">
        <v>197</v>
      </c>
      <c r="O197" t="s">
        <v>159</v>
      </c>
      <c r="P197" t="s">
        <v>161</v>
      </c>
      <c r="Q197" t="s">
        <v>164</v>
      </c>
    </row>
    <row r="198" spans="1:17" x14ac:dyDescent="0.25">
      <c r="B198" t="s">
        <v>153</v>
      </c>
      <c r="M198" t="s">
        <v>158</v>
      </c>
      <c r="N198">
        <v>216</v>
      </c>
      <c r="O198" t="s">
        <v>159</v>
      </c>
      <c r="P198" t="s">
        <v>162</v>
      </c>
      <c r="Q198" t="s">
        <v>165</v>
      </c>
    </row>
    <row r="199" spans="1:17" x14ac:dyDescent="0.25">
      <c r="B199" t="s">
        <v>154</v>
      </c>
      <c r="M199" t="s">
        <v>158</v>
      </c>
      <c r="N199">
        <v>216</v>
      </c>
      <c r="O199" t="s">
        <v>159</v>
      </c>
      <c r="P199" t="s">
        <v>162</v>
      </c>
      <c r="Q199" t="s">
        <v>398</v>
      </c>
    </row>
    <row r="200" spans="1:17" x14ac:dyDescent="0.25">
      <c r="B200" t="s">
        <v>155</v>
      </c>
      <c r="M200" t="s">
        <v>158</v>
      </c>
      <c r="N200">
        <v>216</v>
      </c>
      <c r="O200" t="s">
        <v>159</v>
      </c>
      <c r="P200" t="s">
        <v>162</v>
      </c>
      <c r="Q200" t="s">
        <v>398</v>
      </c>
    </row>
    <row r="201" spans="1:17" x14ac:dyDescent="0.25">
      <c r="B201" t="s">
        <v>156</v>
      </c>
      <c r="M201" t="s">
        <v>158</v>
      </c>
      <c r="N201">
        <v>216</v>
      </c>
      <c r="O201" t="s">
        <v>159</v>
      </c>
      <c r="P201" t="s">
        <v>162</v>
      </c>
      <c r="Q201" t="s">
        <v>398</v>
      </c>
    </row>
    <row r="202" spans="1:17" x14ac:dyDescent="0.25">
      <c r="B202" t="s">
        <v>157</v>
      </c>
      <c r="M202" t="s">
        <v>158</v>
      </c>
      <c r="N202">
        <v>216</v>
      </c>
      <c r="O202" t="s">
        <v>159</v>
      </c>
      <c r="P202" t="s">
        <v>162</v>
      </c>
      <c r="Q202" t="s">
        <v>398</v>
      </c>
    </row>
    <row r="204" spans="1:17" x14ac:dyDescent="0.25">
      <c r="A204" s="1" t="s">
        <v>192</v>
      </c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8"/>
      <c r="N204" s="8"/>
      <c r="O204" s="8"/>
      <c r="P204" s="8"/>
      <c r="Q204" s="8"/>
    </row>
    <row r="205" spans="1:17" x14ac:dyDescent="0.25">
      <c r="M205" s="9" t="s">
        <v>222</v>
      </c>
      <c r="N205" s="9">
        <v>0</v>
      </c>
      <c r="O205" s="9" t="s">
        <v>311</v>
      </c>
      <c r="P205" s="9" t="s">
        <v>52</v>
      </c>
    </row>
    <row r="206" spans="1:17" x14ac:dyDescent="0.25">
      <c r="M206" s="9" t="s">
        <v>321</v>
      </c>
      <c r="N206" s="9">
        <v>0</v>
      </c>
      <c r="O206" s="9" t="s">
        <v>320</v>
      </c>
      <c r="P206" s="9" t="s">
        <v>52</v>
      </c>
    </row>
    <row r="207" spans="1:17" x14ac:dyDescent="0.25">
      <c r="M207" s="9" t="s">
        <v>224</v>
      </c>
      <c r="N207" s="9">
        <v>0</v>
      </c>
      <c r="O207" s="9" t="s">
        <v>225</v>
      </c>
      <c r="P207" s="9" t="s">
        <v>52</v>
      </c>
    </row>
    <row r="209" spans="1:17" x14ac:dyDescent="0.25">
      <c r="A209" t="s">
        <v>193</v>
      </c>
      <c r="D209" t="s">
        <v>191</v>
      </c>
      <c r="E209" t="s">
        <v>200</v>
      </c>
      <c r="F209" t="s">
        <v>201</v>
      </c>
      <c r="G209" t="s">
        <v>226</v>
      </c>
      <c r="M209" t="s">
        <v>224</v>
      </c>
      <c r="N209" s="25">
        <f>'energy stables'!E24</f>
        <v>3.5302245250431775E-2</v>
      </c>
      <c r="O209" t="s">
        <v>196</v>
      </c>
      <c r="P209" t="s">
        <v>210</v>
      </c>
      <c r="Q209" t="s">
        <v>229</v>
      </c>
    </row>
    <row r="210" spans="1:17" x14ac:dyDescent="0.25">
      <c r="A210" t="s">
        <v>197</v>
      </c>
      <c r="D210" t="s">
        <v>191</v>
      </c>
      <c r="E210" t="s">
        <v>200</v>
      </c>
      <c r="F210" t="s">
        <v>201</v>
      </c>
      <c r="M210" t="s">
        <v>222</v>
      </c>
      <c r="N210" s="24">
        <f>'energy stables'!D26</f>
        <v>308.33833333333342</v>
      </c>
      <c r="O210" t="s">
        <v>311</v>
      </c>
      <c r="P210" t="s">
        <v>230</v>
      </c>
      <c r="Q210" t="s">
        <v>229</v>
      </c>
    </row>
    <row r="211" spans="1:17" x14ac:dyDescent="0.25">
      <c r="A211" t="s">
        <v>195</v>
      </c>
      <c r="D211" t="s">
        <v>191</v>
      </c>
      <c r="E211" t="s">
        <v>200</v>
      </c>
      <c r="F211" t="s">
        <v>201</v>
      </c>
      <c r="G211" t="s">
        <v>226</v>
      </c>
      <c r="M211" t="s">
        <v>224</v>
      </c>
      <c r="N211" s="25">
        <f>'energy stables'!E27</f>
        <v>4.1036269430051814E-2</v>
      </c>
      <c r="O211" t="s">
        <v>196</v>
      </c>
      <c r="Q211" t="s">
        <v>229</v>
      </c>
    </row>
    <row r="213" spans="1:17" x14ac:dyDescent="0.25">
      <c r="A213" t="s">
        <v>193</v>
      </c>
      <c r="D213" t="s">
        <v>191</v>
      </c>
      <c r="M213" t="s">
        <v>222</v>
      </c>
      <c r="N213" s="24">
        <f>'energy stables'!D29</f>
        <v>170.33333333333331</v>
      </c>
      <c r="O213" t="s">
        <v>311</v>
      </c>
      <c r="P213" t="s">
        <v>235</v>
      </c>
      <c r="Q213" t="s">
        <v>229</v>
      </c>
    </row>
    <row r="214" spans="1:17" x14ac:dyDescent="0.25">
      <c r="A214" t="s">
        <v>197</v>
      </c>
      <c r="D214" t="s">
        <v>191</v>
      </c>
      <c r="M214" t="s">
        <v>222</v>
      </c>
      <c r="N214" s="24">
        <f>'energy stables'!D31</f>
        <v>332.32333333333338</v>
      </c>
      <c r="O214" t="s">
        <v>311</v>
      </c>
      <c r="P214" t="s">
        <v>236</v>
      </c>
      <c r="Q214" t="s">
        <v>229</v>
      </c>
    </row>
    <row r="215" spans="1:17" x14ac:dyDescent="0.25">
      <c r="N215" s="24"/>
    </row>
    <row r="216" spans="1:17" x14ac:dyDescent="0.25">
      <c r="A216" t="s">
        <v>193</v>
      </c>
      <c r="D216" t="s">
        <v>231</v>
      </c>
      <c r="E216" t="s">
        <v>232</v>
      </c>
      <c r="F216" t="s">
        <v>237</v>
      </c>
      <c r="M216" t="s">
        <v>321</v>
      </c>
      <c r="N216" s="25">
        <f>(290+1078)/100000</f>
        <v>1.3679999999999999E-2</v>
      </c>
      <c r="O216" t="s">
        <v>320</v>
      </c>
      <c r="P216" t="s">
        <v>233</v>
      </c>
      <c r="Q216" t="s">
        <v>229</v>
      </c>
    </row>
    <row r="217" spans="1:17" x14ac:dyDescent="0.25">
      <c r="A217" t="s">
        <v>194</v>
      </c>
      <c r="D217" t="s">
        <v>231</v>
      </c>
      <c r="E217" t="s">
        <v>232</v>
      </c>
      <c r="F217" t="s">
        <v>237</v>
      </c>
      <c r="M217" t="s">
        <v>321</v>
      </c>
      <c r="N217" s="25">
        <f>77000/100000</f>
        <v>0.77</v>
      </c>
      <c r="O217" t="s">
        <v>320</v>
      </c>
      <c r="Q217" t="s">
        <v>229</v>
      </c>
    </row>
    <row r="218" spans="1:17" x14ac:dyDescent="0.25">
      <c r="A218" t="s">
        <v>197</v>
      </c>
      <c r="D218" t="s">
        <v>231</v>
      </c>
      <c r="E218" t="s">
        <v>232</v>
      </c>
      <c r="F218" t="s">
        <v>237</v>
      </c>
      <c r="M218" t="s">
        <v>321</v>
      </c>
      <c r="N218" s="25">
        <f>(3340+9790)/100000</f>
        <v>0.1313</v>
      </c>
      <c r="O218" t="s">
        <v>320</v>
      </c>
      <c r="P218" t="s">
        <v>234</v>
      </c>
      <c r="Q218" t="s">
        <v>229</v>
      </c>
    </row>
    <row r="220" spans="1:17" x14ac:dyDescent="0.25">
      <c r="A220" t="s">
        <v>193</v>
      </c>
      <c r="D220" t="s">
        <v>238</v>
      </c>
      <c r="F220" t="s">
        <v>314</v>
      </c>
      <c r="M220" t="s">
        <v>321</v>
      </c>
      <c r="N220">
        <f>'energy stables'!D49</f>
        <v>3.5</v>
      </c>
      <c r="O220" t="s">
        <v>320</v>
      </c>
      <c r="Q220" t="s">
        <v>249</v>
      </c>
    </row>
    <row r="221" spans="1:17" x14ac:dyDescent="0.25">
      <c r="A221" t="s">
        <v>194</v>
      </c>
      <c r="D221" t="s">
        <v>238</v>
      </c>
      <c r="F221" t="s">
        <v>314</v>
      </c>
      <c r="M221" t="s">
        <v>321</v>
      </c>
      <c r="N221">
        <f>'energy stables'!D50</f>
        <v>12.5</v>
      </c>
      <c r="O221" t="s">
        <v>320</v>
      </c>
      <c r="Q221" t="s">
        <v>249</v>
      </c>
    </row>
    <row r="222" spans="1:17" x14ac:dyDescent="0.25">
      <c r="A222" t="s">
        <v>197</v>
      </c>
      <c r="D222" t="s">
        <v>238</v>
      </c>
      <c r="F222" t="s">
        <v>314</v>
      </c>
      <c r="M222" t="s">
        <v>321</v>
      </c>
      <c r="N222">
        <f>'energy stables'!D51</f>
        <v>34</v>
      </c>
      <c r="O222" t="s">
        <v>320</v>
      </c>
      <c r="Q222" t="s">
        <v>249</v>
      </c>
    </row>
    <row r="223" spans="1:17" x14ac:dyDescent="0.25">
      <c r="A223" t="s">
        <v>193</v>
      </c>
      <c r="D223" t="s">
        <v>238</v>
      </c>
      <c r="F223" t="s">
        <v>317</v>
      </c>
      <c r="M223" t="s">
        <v>321</v>
      </c>
      <c r="N223">
        <f>'energy stables'!D53</f>
        <v>0.04</v>
      </c>
      <c r="O223" t="s">
        <v>320</v>
      </c>
      <c r="Q223" t="s">
        <v>249</v>
      </c>
    </row>
    <row r="224" spans="1:17" x14ac:dyDescent="0.25">
      <c r="A224" t="s">
        <v>194</v>
      </c>
      <c r="D224" t="s">
        <v>238</v>
      </c>
      <c r="F224" t="s">
        <v>317</v>
      </c>
      <c r="M224" t="s">
        <v>321</v>
      </c>
      <c r="N224" s="13">
        <f>'energy stables'!D54</f>
        <v>0.1</v>
      </c>
      <c r="O224" t="s">
        <v>320</v>
      </c>
      <c r="Q224" t="s">
        <v>249</v>
      </c>
    </row>
    <row r="225" spans="1:17" x14ac:dyDescent="0.25">
      <c r="A225" t="s">
        <v>197</v>
      </c>
      <c r="D225" t="s">
        <v>238</v>
      </c>
      <c r="F225" t="s">
        <v>317</v>
      </c>
      <c r="M225" t="s">
        <v>321</v>
      </c>
      <c r="N225" s="13">
        <f>'energy stables'!D55</f>
        <v>0.26</v>
      </c>
      <c r="O225" t="s">
        <v>320</v>
      </c>
      <c r="Q225" t="s">
        <v>249</v>
      </c>
    </row>
    <row r="227" spans="1:17" x14ac:dyDescent="0.25">
      <c r="A227" t="s">
        <v>193</v>
      </c>
      <c r="D227" t="s">
        <v>231</v>
      </c>
      <c r="E227" t="s">
        <v>357</v>
      </c>
      <c r="M227" t="s">
        <v>222</v>
      </c>
      <c r="N227" s="13">
        <f>'energy stables'!D65</f>
        <v>0.14449999999999999</v>
      </c>
      <c r="O227" t="s">
        <v>311</v>
      </c>
      <c r="P227" t="s">
        <v>388</v>
      </c>
      <c r="Q227" t="s">
        <v>229</v>
      </c>
    </row>
    <row r="228" spans="1:17" x14ac:dyDescent="0.25">
      <c r="A228" t="s">
        <v>197</v>
      </c>
      <c r="D228" t="s">
        <v>231</v>
      </c>
      <c r="E228" t="s">
        <v>357</v>
      </c>
      <c r="M228" t="s">
        <v>222</v>
      </c>
      <c r="N228" s="13">
        <f>'energy stables'!D67</f>
        <v>3.9295</v>
      </c>
      <c r="O228" t="s">
        <v>311</v>
      </c>
      <c r="P228" t="s">
        <v>389</v>
      </c>
      <c r="Q228" t="s">
        <v>229</v>
      </c>
    </row>
    <row r="229" spans="1:17" x14ac:dyDescent="0.25">
      <c r="A229" t="s">
        <v>193</v>
      </c>
      <c r="D229" t="s">
        <v>231</v>
      </c>
      <c r="E229" t="s">
        <v>357</v>
      </c>
      <c r="F229" t="s">
        <v>358</v>
      </c>
      <c r="M229" t="s">
        <v>222</v>
      </c>
      <c r="N229">
        <v>0</v>
      </c>
      <c r="O229" t="s">
        <v>311</v>
      </c>
      <c r="P229" t="s">
        <v>387</v>
      </c>
    </row>
    <row r="230" spans="1:17" x14ac:dyDescent="0.25">
      <c r="A230" t="s">
        <v>197</v>
      </c>
      <c r="D230" t="s">
        <v>231</v>
      </c>
      <c r="E230" t="s">
        <v>357</v>
      </c>
      <c r="F230" t="s">
        <v>358</v>
      </c>
      <c r="M230" t="s">
        <v>222</v>
      </c>
      <c r="N230">
        <v>0</v>
      </c>
      <c r="O230">
        <v>0</v>
      </c>
    </row>
    <row r="231" spans="1:17" x14ac:dyDescent="0.25">
      <c r="A231" t="s">
        <v>194</v>
      </c>
      <c r="D231" t="s">
        <v>231</v>
      </c>
      <c r="E231" t="s">
        <v>357</v>
      </c>
      <c r="F231" t="s">
        <v>358</v>
      </c>
      <c r="M231" t="s">
        <v>321</v>
      </c>
      <c r="N231" s="13">
        <f>4.7*(1/3.6)</f>
        <v>1.3055555555555556</v>
      </c>
      <c r="O231" t="s">
        <v>320</v>
      </c>
      <c r="P231" t="s">
        <v>360</v>
      </c>
      <c r="Q231" t="s">
        <v>359</v>
      </c>
    </row>
    <row r="233" spans="1:17" x14ac:dyDescent="0.25">
      <c r="A233" t="s">
        <v>193</v>
      </c>
      <c r="D233" t="s">
        <v>390</v>
      </c>
      <c r="M233" t="s">
        <v>222</v>
      </c>
      <c r="N233" s="24">
        <f>0.05*1000*(1/3.6)</f>
        <v>13.888888888888889</v>
      </c>
      <c r="O233" t="s">
        <v>311</v>
      </c>
      <c r="P233" t="s">
        <v>393</v>
      </c>
      <c r="Q233" t="s">
        <v>394</v>
      </c>
    </row>
    <row r="234" spans="1:17" x14ac:dyDescent="0.25">
      <c r="A234" t="s">
        <v>197</v>
      </c>
      <c r="D234" t="s">
        <v>390</v>
      </c>
      <c r="M234" t="s">
        <v>222</v>
      </c>
      <c r="N234" s="24">
        <f>0.05*1000*(1/3.6)</f>
        <v>13.888888888888889</v>
      </c>
      <c r="O234" t="s">
        <v>311</v>
      </c>
      <c r="P234" t="s">
        <v>395</v>
      </c>
      <c r="Q234" t="s">
        <v>394</v>
      </c>
    </row>
    <row r="235" spans="1:17" x14ac:dyDescent="0.25">
      <c r="A235" t="s">
        <v>193</v>
      </c>
      <c r="D235" t="s">
        <v>390</v>
      </c>
      <c r="F235" t="s">
        <v>391</v>
      </c>
      <c r="M235" t="s">
        <v>222</v>
      </c>
      <c r="N235">
        <v>0</v>
      </c>
      <c r="P235" t="s">
        <v>392</v>
      </c>
    </row>
    <row r="236" spans="1:17" x14ac:dyDescent="0.25">
      <c r="A236" t="s">
        <v>197</v>
      </c>
      <c r="D236" t="s">
        <v>390</v>
      </c>
      <c r="F236" t="s">
        <v>391</v>
      </c>
      <c r="M236" t="s">
        <v>222</v>
      </c>
      <c r="N236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S75"/>
  <sheetViews>
    <sheetView topLeftCell="A16" workbookViewId="0">
      <selection activeCell="G60" sqref="G60"/>
    </sheetView>
  </sheetViews>
  <sheetFormatPr defaultRowHeight="15" x14ac:dyDescent="0.25"/>
  <cols>
    <col min="2" max="2" width="17.28515625" customWidth="1"/>
    <col min="3" max="3" width="12.28515625" customWidth="1"/>
    <col min="10" max="10" width="8.7109375" customWidth="1"/>
    <col min="11" max="13" width="13.5703125" customWidth="1"/>
    <col min="16" max="16" width="9.7109375" customWidth="1"/>
  </cols>
  <sheetData>
    <row r="3" spans="2:17" x14ac:dyDescent="0.25">
      <c r="B3" s="53" t="s">
        <v>202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</row>
    <row r="4" spans="2:17" x14ac:dyDescent="0.25">
      <c r="B4" s="51" t="s">
        <v>229</v>
      </c>
    </row>
    <row r="5" spans="2:17" x14ac:dyDescent="0.25">
      <c r="B5" s="27"/>
      <c r="C5" s="30"/>
      <c r="D5" s="46" t="s">
        <v>203</v>
      </c>
      <c r="E5" s="28" t="s">
        <v>201</v>
      </c>
      <c r="F5" s="30" t="s">
        <v>220</v>
      </c>
      <c r="G5" s="29" t="s">
        <v>204</v>
      </c>
      <c r="H5" s="28" t="s">
        <v>201</v>
      </c>
      <c r="I5" s="30" t="s">
        <v>220</v>
      </c>
    </row>
    <row r="6" spans="2:17" x14ac:dyDescent="0.25">
      <c r="B6" s="31" t="s">
        <v>205</v>
      </c>
      <c r="C6" s="44" t="s">
        <v>208</v>
      </c>
      <c r="D6" s="31">
        <v>150</v>
      </c>
      <c r="E6" s="4"/>
      <c r="F6" s="32"/>
      <c r="G6" s="4">
        <v>220</v>
      </c>
      <c r="H6" s="4"/>
      <c r="I6" s="32"/>
    </row>
    <row r="7" spans="2:17" x14ac:dyDescent="0.25">
      <c r="B7" s="31" t="s">
        <v>206</v>
      </c>
      <c r="C7" s="44" t="s">
        <v>208</v>
      </c>
      <c r="D7" s="31">
        <v>150</v>
      </c>
      <c r="E7" s="4"/>
      <c r="F7" s="32"/>
      <c r="G7" s="4">
        <v>220</v>
      </c>
      <c r="H7" s="4"/>
      <c r="I7" s="32"/>
    </row>
    <row r="8" spans="2:17" x14ac:dyDescent="0.25">
      <c r="B8" s="31" t="s">
        <v>207</v>
      </c>
      <c r="C8" s="44" t="s">
        <v>209</v>
      </c>
      <c r="D8" s="31">
        <v>10500</v>
      </c>
      <c r="E8" s="4"/>
      <c r="F8" s="32"/>
      <c r="G8" s="4">
        <v>8800</v>
      </c>
      <c r="H8" s="4"/>
      <c r="I8" s="32"/>
    </row>
    <row r="9" spans="2:17" x14ac:dyDescent="0.25">
      <c r="B9" s="31"/>
      <c r="C9" s="44"/>
      <c r="D9" s="31"/>
      <c r="E9" s="4"/>
      <c r="F9" s="32"/>
      <c r="G9" s="4"/>
      <c r="H9" s="4"/>
      <c r="I9" s="32"/>
    </row>
    <row r="10" spans="2:17" x14ac:dyDescent="0.25">
      <c r="B10" s="31" t="s">
        <v>210</v>
      </c>
      <c r="C10" s="44" t="s">
        <v>219</v>
      </c>
      <c r="D10" s="31">
        <v>652</v>
      </c>
      <c r="E10" s="33">
        <f>D10*(2/3)</f>
        <v>434.66666666666663</v>
      </c>
      <c r="F10" s="34">
        <f>D10*(1/3)</f>
        <v>217.33333333333331</v>
      </c>
      <c r="G10" s="4">
        <v>370</v>
      </c>
      <c r="H10" s="33">
        <f>G10*(2/3)</f>
        <v>246.66666666666666</v>
      </c>
      <c r="I10" s="34">
        <f>G10*(1/3)</f>
        <v>123.33333333333333</v>
      </c>
      <c r="J10" s="26" t="s">
        <v>221</v>
      </c>
    </row>
    <row r="11" spans="2:17" x14ac:dyDescent="0.25">
      <c r="B11" s="31" t="s">
        <v>211</v>
      </c>
      <c r="C11" s="44" t="s">
        <v>219</v>
      </c>
      <c r="D11" s="31">
        <v>3</v>
      </c>
      <c r="E11" s="33">
        <f>(E$17-E$10-E$12-E$14) * (D11/SUM(D$11,D$13,D$15))</f>
        <v>2.1908735632183913</v>
      </c>
      <c r="F11" s="34">
        <f>(F$17-F$10-F$12-F$14) * (D11/SUM(D$11,D$13,D$15))</f>
        <v>0.80912643678160945</v>
      </c>
      <c r="G11" s="4">
        <v>74</v>
      </c>
      <c r="H11" s="33">
        <f>(H$17-H$10-H$12-H$14) * (G11/SUM(G$11,G$13,G$15))</f>
        <v>42.039127163280675</v>
      </c>
      <c r="I11" s="34">
        <f>(I$17-I$10-I$12-I$14) * (G11/SUM(G$11,G$13,G$15))</f>
        <v>31.960872836719343</v>
      </c>
      <c r="J11" s="26"/>
    </row>
    <row r="12" spans="2:17" x14ac:dyDescent="0.25">
      <c r="B12" s="31" t="s">
        <v>212</v>
      </c>
      <c r="C12" s="44" t="s">
        <v>219</v>
      </c>
      <c r="D12" s="31">
        <v>40</v>
      </c>
      <c r="E12" s="33">
        <f>D12*(2/3)</f>
        <v>26.666666666666664</v>
      </c>
      <c r="F12" s="34">
        <f>D12*(1/3)</f>
        <v>13.333333333333332</v>
      </c>
      <c r="G12" s="4">
        <v>31</v>
      </c>
      <c r="H12" s="33">
        <f>G12*(2/3)</f>
        <v>20.666666666666664</v>
      </c>
      <c r="I12" s="34">
        <f>G12*(1/3)</f>
        <v>10.333333333333332</v>
      </c>
      <c r="J12" s="26" t="s">
        <v>221</v>
      </c>
    </row>
    <row r="13" spans="2:17" x14ac:dyDescent="0.25">
      <c r="B13" s="31" t="s">
        <v>213</v>
      </c>
      <c r="C13" s="44" t="s">
        <v>219</v>
      </c>
      <c r="D13" s="31">
        <v>216</v>
      </c>
      <c r="E13" s="33">
        <f>(E$17-E$10-E$12-E$14) * (D13/SUM(D$11,D$13,D$15))</f>
        <v>157.74289655172416</v>
      </c>
      <c r="F13" s="34">
        <f>(F$17-F$10-F$12-F$14) * (D13/SUM(D$11,D$13,D$15))</f>
        <v>58.257103448275878</v>
      </c>
      <c r="G13" s="4">
        <v>224</v>
      </c>
      <c r="H13" s="33">
        <f>(H$17-H$10-H$12-H$14) * (G13/SUM(G$11,G$13,G$15))</f>
        <v>127.25357411587665</v>
      </c>
      <c r="I13" s="34">
        <f>(I$17-I$10-I$12-I$14) * (G13/SUM(G$11,G$13,G$15))</f>
        <v>96.746425884123411</v>
      </c>
      <c r="J13" s="26"/>
    </row>
    <row r="14" spans="2:17" x14ac:dyDescent="0.25">
      <c r="B14" s="31" t="s">
        <v>214</v>
      </c>
      <c r="C14" s="44" t="s">
        <v>219</v>
      </c>
      <c r="D14" s="31">
        <v>386</v>
      </c>
      <c r="E14" s="33">
        <f>D14</f>
        <v>386</v>
      </c>
      <c r="F14" s="34">
        <v>0</v>
      </c>
      <c r="G14" s="4">
        <v>406</v>
      </c>
      <c r="H14" s="33">
        <f>G14</f>
        <v>406</v>
      </c>
      <c r="I14" s="34">
        <v>0</v>
      </c>
      <c r="J14" s="26" t="s">
        <v>227</v>
      </c>
    </row>
    <row r="15" spans="2:17" x14ac:dyDescent="0.25">
      <c r="B15" s="31" t="s">
        <v>215</v>
      </c>
      <c r="C15" s="44" t="s">
        <v>219</v>
      </c>
      <c r="D15" s="31">
        <v>216</v>
      </c>
      <c r="E15" s="33">
        <f>(E$17-E$10-E$12-E$14) * (D15/SUM(D$11,D$13,D$15))</f>
        <v>157.74289655172416</v>
      </c>
      <c r="F15" s="34">
        <f>(F$17-F$10-F$12-F$14) * (D15/SUM(D$11,D$13,D$15))</f>
        <v>58.257103448275878</v>
      </c>
      <c r="G15" s="4">
        <v>145</v>
      </c>
      <c r="H15" s="33">
        <f>(H$17-H$10-H$12-H$14) * (G15/SUM(G$11,G$13,G$15))</f>
        <v>82.373965387509429</v>
      </c>
      <c r="I15" s="34">
        <f>(I$17-I$10-I$12-I$14) * (G15/SUM(G$11,G$13,G$15))</f>
        <v>62.626034612490599</v>
      </c>
    </row>
    <row r="16" spans="2:17" x14ac:dyDescent="0.25">
      <c r="B16" s="31"/>
      <c r="C16" s="44"/>
      <c r="D16" s="31"/>
      <c r="E16" s="35"/>
      <c r="F16" s="32"/>
      <c r="G16" s="4"/>
      <c r="H16" s="35"/>
      <c r="I16" s="32"/>
    </row>
    <row r="17" spans="2:9" x14ac:dyDescent="0.25">
      <c r="B17" s="36" t="s">
        <v>216</v>
      </c>
      <c r="C17" s="44" t="s">
        <v>219</v>
      </c>
      <c r="D17" s="36">
        <f>SUM(D10:D15)</f>
        <v>1513</v>
      </c>
      <c r="E17" s="38">
        <f t="shared" ref="E17" si="0">D17*(1-D$20/100)</f>
        <v>1165.01</v>
      </c>
      <c r="F17" s="39">
        <f>D17*(D$20/100)</f>
        <v>347.99</v>
      </c>
      <c r="G17" s="37">
        <f>SUM(G10:G15)</f>
        <v>1250</v>
      </c>
      <c r="H17" s="38">
        <f t="shared" ref="H17" si="1">G17*(1-G$20/100)</f>
        <v>925</v>
      </c>
      <c r="I17" s="39">
        <f>G17*(G$20/100)</f>
        <v>325</v>
      </c>
    </row>
    <row r="18" spans="2:9" x14ac:dyDescent="0.25">
      <c r="B18" s="31" t="s">
        <v>217</v>
      </c>
      <c r="C18" s="44" t="s">
        <v>219</v>
      </c>
      <c r="D18" s="31">
        <v>868</v>
      </c>
      <c r="E18" s="33">
        <f>SUM(E11:E15)</f>
        <v>730.34333333333336</v>
      </c>
      <c r="F18" s="34">
        <f>SUM(F11:F15)</f>
        <v>130.65666666666669</v>
      </c>
      <c r="G18" s="4">
        <v>994</v>
      </c>
      <c r="H18" s="33">
        <f>SUM(H11:H15)</f>
        <v>678.33333333333337</v>
      </c>
      <c r="I18" s="34">
        <f>SUM(I11:I15)</f>
        <v>201.66666666666669</v>
      </c>
    </row>
    <row r="19" spans="2:9" x14ac:dyDescent="0.25">
      <c r="B19" s="31"/>
      <c r="C19" s="44"/>
      <c r="D19" s="47">
        <f t="shared" ref="D19:I19" si="2">D18/D17</f>
        <v>0.57369464639788503</v>
      </c>
      <c r="E19" s="40">
        <f t="shared" si="2"/>
        <v>0.62689876767867514</v>
      </c>
      <c r="F19" s="41">
        <f t="shared" si="2"/>
        <v>0.37546098067952149</v>
      </c>
      <c r="G19" s="40">
        <f t="shared" si="2"/>
        <v>0.79520000000000002</v>
      </c>
      <c r="H19" s="40">
        <f t="shared" si="2"/>
        <v>0.73333333333333339</v>
      </c>
      <c r="I19" s="41">
        <f t="shared" si="2"/>
        <v>0.62051282051282053</v>
      </c>
    </row>
    <row r="20" spans="2:9" x14ac:dyDescent="0.25">
      <c r="B20" s="42" t="s">
        <v>218</v>
      </c>
      <c r="C20" s="45" t="s">
        <v>124</v>
      </c>
      <c r="D20" s="42">
        <v>23</v>
      </c>
      <c r="E20" s="14"/>
      <c r="F20" s="43"/>
      <c r="G20" s="14">
        <v>26</v>
      </c>
      <c r="H20" s="14"/>
      <c r="I20" s="43"/>
    </row>
    <row r="22" spans="2:9" x14ac:dyDescent="0.25">
      <c r="B22" s="71" t="s">
        <v>316</v>
      </c>
    </row>
    <row r="23" spans="2:9" x14ac:dyDescent="0.25">
      <c r="B23" s="79"/>
      <c r="C23" s="80"/>
      <c r="D23" s="81" t="s">
        <v>311</v>
      </c>
      <c r="E23" s="82" t="s">
        <v>196</v>
      </c>
    </row>
    <row r="24" spans="2:9" x14ac:dyDescent="0.25">
      <c r="B24" s="64" t="s">
        <v>193</v>
      </c>
      <c r="C24" s="65" t="s">
        <v>205</v>
      </c>
      <c r="D24" s="72">
        <v>0</v>
      </c>
      <c r="E24" s="73">
        <f>(E10+H10)/(D8+G8)</f>
        <v>3.5302245250431775E-2</v>
      </c>
    </row>
    <row r="25" spans="2:9" x14ac:dyDescent="0.25">
      <c r="B25" s="64" t="s">
        <v>194</v>
      </c>
      <c r="C25" s="65" t="s">
        <v>205</v>
      </c>
      <c r="D25" s="72">
        <v>0</v>
      </c>
      <c r="E25" s="74">
        <v>0</v>
      </c>
    </row>
    <row r="26" spans="2:9" x14ac:dyDescent="0.25">
      <c r="B26" s="64" t="s">
        <v>197</v>
      </c>
      <c r="C26" s="65" t="s">
        <v>205</v>
      </c>
      <c r="D26" s="75">
        <f>SUM(E11:E13,E15,H11:H13,H15)/2</f>
        <v>308.33833333333342</v>
      </c>
      <c r="E26" s="74">
        <v>0</v>
      </c>
    </row>
    <row r="27" spans="2:9" x14ac:dyDescent="0.25">
      <c r="B27" s="64" t="s">
        <v>195</v>
      </c>
      <c r="C27" s="65" t="s">
        <v>205</v>
      </c>
      <c r="D27" s="72">
        <v>0</v>
      </c>
      <c r="E27" s="73">
        <f>(E14+H14)/(D8+G8)</f>
        <v>4.1036269430051814E-2</v>
      </c>
    </row>
    <row r="28" spans="2:9" x14ac:dyDescent="0.25">
      <c r="B28" s="64"/>
      <c r="C28" s="65"/>
      <c r="D28" s="72"/>
      <c r="E28" s="74"/>
    </row>
    <row r="29" spans="2:9" x14ac:dyDescent="0.25">
      <c r="B29" s="64" t="s">
        <v>193</v>
      </c>
      <c r="C29" s="65" t="s">
        <v>220</v>
      </c>
      <c r="D29" s="75">
        <f>SUM(F10,I10)/2</f>
        <v>170.33333333333331</v>
      </c>
      <c r="E29" s="74">
        <v>0</v>
      </c>
    </row>
    <row r="30" spans="2:9" x14ac:dyDescent="0.25">
      <c r="B30" s="64" t="s">
        <v>194</v>
      </c>
      <c r="C30" s="65" t="s">
        <v>220</v>
      </c>
      <c r="D30" s="72">
        <v>0</v>
      </c>
      <c r="E30" s="74">
        <v>0</v>
      </c>
    </row>
    <row r="31" spans="2:9" x14ac:dyDescent="0.25">
      <c r="B31" s="64" t="s">
        <v>197</v>
      </c>
      <c r="C31" s="65" t="s">
        <v>220</v>
      </c>
      <c r="D31" s="75">
        <f>SUM(F11:F13,F15,I11:I13,I15)</f>
        <v>332.32333333333338</v>
      </c>
      <c r="E31" s="74">
        <v>0</v>
      </c>
    </row>
    <row r="32" spans="2:9" x14ac:dyDescent="0.25">
      <c r="B32" s="66" t="s">
        <v>195</v>
      </c>
      <c r="C32" s="67" t="s">
        <v>220</v>
      </c>
      <c r="D32" s="76">
        <v>0</v>
      </c>
      <c r="E32" s="77">
        <v>0</v>
      </c>
    </row>
    <row r="34" spans="2:19" x14ac:dyDescent="0.25">
      <c r="B34" s="53" t="s">
        <v>239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</row>
    <row r="35" spans="2:19" x14ac:dyDescent="0.25">
      <c r="J35" s="51" t="s">
        <v>229</v>
      </c>
    </row>
    <row r="36" spans="2:19" x14ac:dyDescent="0.25">
      <c r="J36" s="46" t="s">
        <v>294</v>
      </c>
      <c r="K36" s="28"/>
      <c r="L36" s="28"/>
      <c r="M36" s="29" t="s">
        <v>299</v>
      </c>
      <c r="N36" s="29" t="s">
        <v>300</v>
      </c>
      <c r="O36" s="29" t="s">
        <v>301</v>
      </c>
      <c r="P36" s="50" t="s">
        <v>302</v>
      </c>
      <c r="Q36" t="s">
        <v>308</v>
      </c>
    </row>
    <row r="37" spans="2:19" ht="21" customHeight="1" x14ac:dyDescent="0.25">
      <c r="B37" s="51" t="s">
        <v>249</v>
      </c>
      <c r="J37" s="42" t="s">
        <v>250</v>
      </c>
      <c r="K37" s="14"/>
      <c r="L37" s="14"/>
      <c r="M37" s="59" t="s">
        <v>295</v>
      </c>
      <c r="N37" s="59" t="s">
        <v>296</v>
      </c>
      <c r="O37" s="59" t="s">
        <v>297</v>
      </c>
      <c r="P37" s="60" t="s">
        <v>298</v>
      </c>
      <c r="Q37" t="s">
        <v>308</v>
      </c>
    </row>
    <row r="38" spans="2:19" x14ac:dyDescent="0.25">
      <c r="B38" s="46" t="s">
        <v>241</v>
      </c>
      <c r="C38" s="29"/>
      <c r="D38" s="29" t="s">
        <v>243</v>
      </c>
      <c r="E38" s="50" t="s">
        <v>244</v>
      </c>
      <c r="J38" s="31" t="s">
        <v>254</v>
      </c>
      <c r="K38" s="4"/>
      <c r="L38" s="4"/>
      <c r="M38" s="4">
        <v>90</v>
      </c>
      <c r="N38" s="4">
        <v>13</v>
      </c>
      <c r="O38" s="4">
        <v>2.2999999999999998</v>
      </c>
      <c r="P38" s="32">
        <v>242</v>
      </c>
      <c r="Q38" t="s">
        <v>308</v>
      </c>
      <c r="R38" s="58"/>
      <c r="S38" s="58"/>
    </row>
    <row r="39" spans="2:19" ht="15" customHeight="1" x14ac:dyDescent="0.25">
      <c r="B39" s="31" t="s">
        <v>245</v>
      </c>
      <c r="C39" s="4"/>
      <c r="D39" s="4">
        <v>50</v>
      </c>
      <c r="E39" s="32">
        <v>0.4</v>
      </c>
      <c r="J39" s="31" t="s">
        <v>255</v>
      </c>
      <c r="K39" s="4"/>
      <c r="L39" s="4"/>
      <c r="M39" s="4">
        <v>654</v>
      </c>
      <c r="N39" s="4">
        <v>80</v>
      </c>
      <c r="O39" s="4">
        <v>9.6</v>
      </c>
      <c r="P39" s="32" t="s">
        <v>257</v>
      </c>
      <c r="Q39" t="s">
        <v>308</v>
      </c>
      <c r="R39" s="58"/>
      <c r="S39" s="58"/>
    </row>
    <row r="40" spans="2:19" x14ac:dyDescent="0.25">
      <c r="B40" s="31" t="s">
        <v>246</v>
      </c>
      <c r="C40" s="4"/>
      <c r="D40" s="4">
        <v>36.5</v>
      </c>
      <c r="E40" s="32">
        <v>0.28000000000000003</v>
      </c>
      <c r="J40" s="31" t="s">
        <v>258</v>
      </c>
      <c r="K40" s="4"/>
      <c r="L40" s="4"/>
      <c r="M40" s="4">
        <v>11</v>
      </c>
      <c r="N40" s="4">
        <v>12</v>
      </c>
      <c r="O40" s="4">
        <v>0.1</v>
      </c>
      <c r="P40" s="32">
        <v>43.2</v>
      </c>
      <c r="Q40" t="s">
        <v>308</v>
      </c>
      <c r="R40" s="58"/>
      <c r="S40" s="58"/>
    </row>
    <row r="41" spans="2:19" x14ac:dyDescent="0.25">
      <c r="B41" s="31" t="s">
        <v>247</v>
      </c>
      <c r="C41" s="4"/>
      <c r="D41" s="4">
        <v>9.5</v>
      </c>
      <c r="E41" s="32">
        <v>0.06</v>
      </c>
      <c r="J41" s="31" t="s">
        <v>288</v>
      </c>
      <c r="K41" s="4"/>
      <c r="L41" s="4"/>
      <c r="M41" s="4">
        <v>244</v>
      </c>
      <c r="N41" s="4">
        <v>78</v>
      </c>
      <c r="O41" s="4">
        <v>1.8</v>
      </c>
      <c r="P41" s="32">
        <v>340</v>
      </c>
      <c r="Q41" t="s">
        <v>308</v>
      </c>
      <c r="R41" s="58"/>
      <c r="S41" s="58"/>
    </row>
    <row r="42" spans="2:19" x14ac:dyDescent="0.25">
      <c r="B42" s="31" t="s">
        <v>248</v>
      </c>
      <c r="C42" s="4"/>
      <c r="D42" s="4">
        <v>3.5</v>
      </c>
      <c r="E42" s="32">
        <v>0.04</v>
      </c>
      <c r="J42" s="31" t="s">
        <v>251</v>
      </c>
      <c r="K42" s="4"/>
      <c r="L42" s="4"/>
      <c r="M42" s="4">
        <v>992</v>
      </c>
      <c r="N42" s="4">
        <v>93</v>
      </c>
      <c r="O42" s="4">
        <v>4.2</v>
      </c>
      <c r="P42" s="32" t="s">
        <v>252</v>
      </c>
      <c r="Q42" t="s">
        <v>308</v>
      </c>
      <c r="R42" s="58"/>
      <c r="S42" s="58"/>
    </row>
    <row r="43" spans="2:19" x14ac:dyDescent="0.25">
      <c r="B43" s="42" t="s">
        <v>242</v>
      </c>
      <c r="C43" s="14"/>
      <c r="D43" s="14">
        <v>0.5</v>
      </c>
      <c r="E43" s="43">
        <v>0.02</v>
      </c>
      <c r="J43" s="31"/>
      <c r="M43" s="58">
        <f>M42/M49</f>
        <v>0.40772708590217838</v>
      </c>
      <c r="N43" s="58">
        <f t="shared" ref="N43:O43" si="3">N42/N49</f>
        <v>0.13497822931785197</v>
      </c>
      <c r="O43" s="58">
        <f t="shared" si="3"/>
        <v>0.21319796954314724</v>
      </c>
      <c r="P43" s="32"/>
      <c r="Q43" s="92">
        <f>AVERAGE(M43:O43)</f>
        <v>0.25196776158772582</v>
      </c>
      <c r="R43" s="58"/>
      <c r="S43" s="58"/>
    </row>
    <row r="44" spans="2:19" x14ac:dyDescent="0.25">
      <c r="C44" s="68" t="s">
        <v>312</v>
      </c>
      <c r="D44" s="69">
        <f>D39*33+E39*26</f>
        <v>1660.4</v>
      </c>
      <c r="E44" s="70" t="s">
        <v>313</v>
      </c>
      <c r="J44" s="31" t="s">
        <v>264</v>
      </c>
      <c r="K44" s="4"/>
      <c r="L44" s="4"/>
      <c r="M44" s="4" t="s">
        <v>265</v>
      </c>
      <c r="N44" s="4">
        <v>4</v>
      </c>
      <c r="O44" s="4" t="s">
        <v>266</v>
      </c>
      <c r="P44" s="32" t="s">
        <v>267</v>
      </c>
      <c r="Q44" t="s">
        <v>308</v>
      </c>
      <c r="R44" s="58"/>
      <c r="S44" s="58"/>
    </row>
    <row r="45" spans="2:19" x14ac:dyDescent="0.25">
      <c r="J45" s="31" t="s">
        <v>268</v>
      </c>
      <c r="K45" s="4"/>
      <c r="L45" s="4"/>
      <c r="M45" s="4">
        <v>79</v>
      </c>
      <c r="N45" s="4">
        <v>7</v>
      </c>
      <c r="O45" s="4">
        <v>0.7</v>
      </c>
      <c r="P45" s="32" t="s">
        <v>257</v>
      </c>
      <c r="Q45" t="s">
        <v>308</v>
      </c>
      <c r="R45" s="58"/>
      <c r="S45" s="58"/>
    </row>
    <row r="46" spans="2:19" x14ac:dyDescent="0.25">
      <c r="B46" s="71" t="s">
        <v>316</v>
      </c>
      <c r="J46" s="31" t="s">
        <v>270</v>
      </c>
      <c r="K46" s="4"/>
      <c r="L46" s="4"/>
      <c r="M46" s="4" t="s">
        <v>85</v>
      </c>
      <c r="N46" s="4">
        <v>11</v>
      </c>
      <c r="O46" s="4" t="s">
        <v>85</v>
      </c>
      <c r="P46" s="32" t="s">
        <v>257</v>
      </c>
      <c r="Q46" t="s">
        <v>308</v>
      </c>
      <c r="R46" s="58"/>
      <c r="S46" s="58"/>
    </row>
    <row r="47" spans="2:19" x14ac:dyDescent="0.25">
      <c r="B47" s="27"/>
      <c r="C47" s="28"/>
      <c r="D47" s="86" t="s">
        <v>318</v>
      </c>
      <c r="E47" s="28" t="s">
        <v>315</v>
      </c>
      <c r="F47" s="28"/>
      <c r="G47" s="28"/>
      <c r="H47" s="30"/>
      <c r="J47" s="31" t="s">
        <v>271</v>
      </c>
      <c r="K47" s="4"/>
      <c r="L47" s="4"/>
      <c r="M47" s="4">
        <v>38</v>
      </c>
      <c r="N47" s="4">
        <v>15</v>
      </c>
      <c r="O47" s="4" t="s">
        <v>272</v>
      </c>
      <c r="P47" s="32" t="s">
        <v>257</v>
      </c>
      <c r="Q47" t="s">
        <v>308</v>
      </c>
      <c r="R47" s="58"/>
      <c r="S47" s="58"/>
    </row>
    <row r="48" spans="2:19" x14ac:dyDescent="0.25">
      <c r="B48" s="42"/>
      <c r="C48" s="14"/>
      <c r="D48" s="87" t="s">
        <v>319</v>
      </c>
      <c r="E48" s="14" t="s">
        <v>26</v>
      </c>
      <c r="F48" s="83" t="s">
        <v>147</v>
      </c>
      <c r="G48" s="83" t="s">
        <v>148</v>
      </c>
      <c r="H48" s="84" t="s">
        <v>144</v>
      </c>
      <c r="J48" s="31" t="s">
        <v>253</v>
      </c>
      <c r="K48" s="4"/>
      <c r="L48" s="4"/>
      <c r="M48" s="4">
        <v>164</v>
      </c>
      <c r="N48" s="4">
        <v>66</v>
      </c>
      <c r="O48" s="4">
        <v>1</v>
      </c>
      <c r="P48" s="32" t="s">
        <v>257</v>
      </c>
      <c r="Q48" t="s">
        <v>308</v>
      </c>
      <c r="R48" s="58"/>
      <c r="S48" s="58"/>
    </row>
    <row r="49" spans="2:19" x14ac:dyDescent="0.25">
      <c r="B49" s="85" t="s">
        <v>193</v>
      </c>
      <c r="C49" s="28" t="s">
        <v>314</v>
      </c>
      <c r="D49" s="88">
        <f>D42</f>
        <v>3.5</v>
      </c>
      <c r="E49" s="75">
        <v>100</v>
      </c>
      <c r="F49" s="75">
        <v>0</v>
      </c>
      <c r="G49" s="75">
        <v>0</v>
      </c>
      <c r="H49" s="78">
        <v>0</v>
      </c>
      <c r="J49" s="46" t="s">
        <v>274</v>
      </c>
      <c r="K49" s="29"/>
      <c r="L49" s="29"/>
      <c r="M49" s="29">
        <v>2433</v>
      </c>
      <c r="N49" s="29">
        <v>689</v>
      </c>
      <c r="O49" s="29">
        <v>19.7</v>
      </c>
      <c r="P49" s="50">
        <v>1252</v>
      </c>
      <c r="Q49" t="s">
        <v>308</v>
      </c>
      <c r="R49" s="58"/>
      <c r="S49" s="58"/>
    </row>
    <row r="50" spans="2:19" x14ac:dyDescent="0.25">
      <c r="B50" s="31" t="s">
        <v>194</v>
      </c>
      <c r="C50" s="4" t="s">
        <v>314</v>
      </c>
      <c r="D50" s="88">
        <f>D39*0.25</f>
        <v>12.5</v>
      </c>
      <c r="E50" s="75">
        <v>0</v>
      </c>
      <c r="F50" s="75">
        <f>D43/D50*100</f>
        <v>4</v>
      </c>
      <c r="G50" s="75">
        <f>D41/D50*100</f>
        <v>76</v>
      </c>
      <c r="H50" s="78">
        <f>(D40-D51)/D50*100</f>
        <v>20</v>
      </c>
      <c r="J50" s="31" t="s">
        <v>276</v>
      </c>
      <c r="K50" s="4"/>
      <c r="L50" s="4"/>
      <c r="M50" s="4">
        <v>1441</v>
      </c>
      <c r="N50" s="4">
        <v>689</v>
      </c>
      <c r="O50" s="4">
        <v>15.5</v>
      </c>
      <c r="P50" s="32">
        <v>1218</v>
      </c>
      <c r="R50" s="58"/>
      <c r="S50" s="58"/>
    </row>
    <row r="51" spans="2:19" x14ac:dyDescent="0.25">
      <c r="B51" s="31" t="s">
        <v>197</v>
      </c>
      <c r="C51" s="4" t="s">
        <v>314</v>
      </c>
      <c r="D51" s="89">
        <f>D39-D49-D50</f>
        <v>34</v>
      </c>
      <c r="E51" s="72">
        <v>0</v>
      </c>
      <c r="F51" s="72">
        <v>0</v>
      </c>
      <c r="G51" s="72">
        <v>0</v>
      </c>
      <c r="H51" s="74">
        <v>100</v>
      </c>
      <c r="J51" s="61" t="s">
        <v>310</v>
      </c>
      <c r="K51" s="63"/>
      <c r="L51" s="63"/>
      <c r="M51" s="63">
        <f>M49-M50</f>
        <v>992</v>
      </c>
      <c r="N51" s="63">
        <f>N49-N50</f>
        <v>0</v>
      </c>
      <c r="O51" s="63">
        <f>O49-O50</f>
        <v>4.1999999999999993</v>
      </c>
      <c r="P51" s="62">
        <f>P49-P50</f>
        <v>34</v>
      </c>
      <c r="Q51" t="s">
        <v>308</v>
      </c>
      <c r="R51" s="58"/>
      <c r="S51" s="58"/>
    </row>
    <row r="52" spans="2:19" x14ac:dyDescent="0.25">
      <c r="B52" s="31"/>
      <c r="C52" s="4"/>
      <c r="D52" s="88"/>
      <c r="E52" s="72"/>
      <c r="F52" s="72"/>
      <c r="G52" s="72"/>
      <c r="H52" s="74"/>
      <c r="J52" s="55" t="s">
        <v>293</v>
      </c>
      <c r="K52" s="56"/>
      <c r="L52" s="56"/>
      <c r="M52" s="56">
        <v>23</v>
      </c>
      <c r="N52" s="56">
        <v>38</v>
      </c>
      <c r="O52" s="56" t="s">
        <v>85</v>
      </c>
      <c r="P52" s="57" t="s">
        <v>309</v>
      </c>
      <c r="Q52" t="s">
        <v>308</v>
      </c>
    </row>
    <row r="53" spans="2:19" x14ac:dyDescent="0.25">
      <c r="B53" s="64" t="s">
        <v>193</v>
      </c>
      <c r="C53" s="4" t="s">
        <v>317</v>
      </c>
      <c r="D53" s="88">
        <f>E42</f>
        <v>0.04</v>
      </c>
      <c r="E53" s="75">
        <v>100</v>
      </c>
      <c r="F53" s="75">
        <v>0</v>
      </c>
      <c r="G53" s="75">
        <v>0</v>
      </c>
      <c r="H53" s="78">
        <v>0</v>
      </c>
      <c r="J53" s="31" t="s">
        <v>281</v>
      </c>
      <c r="K53" s="4"/>
      <c r="L53" s="4"/>
      <c r="M53" s="4" t="s">
        <v>282</v>
      </c>
      <c r="N53" s="4" t="s">
        <v>282</v>
      </c>
      <c r="O53" s="4" t="s">
        <v>85</v>
      </c>
      <c r="P53" s="32" t="s">
        <v>282</v>
      </c>
      <c r="Q53" t="s">
        <v>308</v>
      </c>
    </row>
    <row r="54" spans="2:19" x14ac:dyDescent="0.25">
      <c r="B54" s="31" t="s">
        <v>194</v>
      </c>
      <c r="C54" s="4" t="s">
        <v>317</v>
      </c>
      <c r="D54" s="90">
        <f>E39*0.25</f>
        <v>0.1</v>
      </c>
      <c r="E54" s="75">
        <v>0</v>
      </c>
      <c r="F54" s="75">
        <f>E43/D54*100</f>
        <v>20</v>
      </c>
      <c r="G54" s="75">
        <f>E41/D54*100</f>
        <v>60</v>
      </c>
      <c r="H54" s="78">
        <f>(E40-D55)/D54*100</f>
        <v>20.000000000000018</v>
      </c>
      <c r="J54" s="31" t="s">
        <v>304</v>
      </c>
      <c r="K54" s="4"/>
      <c r="L54" s="4"/>
      <c r="M54" s="4" t="s">
        <v>282</v>
      </c>
      <c r="N54" s="4" t="s">
        <v>307</v>
      </c>
      <c r="O54" s="4" t="s">
        <v>85</v>
      </c>
      <c r="P54" s="32" t="s">
        <v>282</v>
      </c>
      <c r="Q54" t="s">
        <v>308</v>
      </c>
    </row>
    <row r="55" spans="2:19" x14ac:dyDescent="0.25">
      <c r="B55" s="42" t="s">
        <v>197</v>
      </c>
      <c r="C55" s="14" t="s">
        <v>317</v>
      </c>
      <c r="D55" s="91">
        <f>E39-D53-D54</f>
        <v>0.26</v>
      </c>
      <c r="E55" s="76">
        <v>0</v>
      </c>
      <c r="F55" s="76">
        <v>0</v>
      </c>
      <c r="G55" s="76">
        <v>0</v>
      </c>
      <c r="H55" s="77">
        <v>100</v>
      </c>
      <c r="J55" s="31" t="s">
        <v>305</v>
      </c>
      <c r="K55" s="4"/>
      <c r="L55" s="4"/>
      <c r="M55" s="4" t="s">
        <v>282</v>
      </c>
      <c r="N55" s="4"/>
      <c r="O55" s="4" t="s">
        <v>282</v>
      </c>
      <c r="P55" s="32" t="s">
        <v>282</v>
      </c>
      <c r="Q55" t="s">
        <v>308</v>
      </c>
    </row>
    <row r="56" spans="2:19" x14ac:dyDescent="0.25">
      <c r="J56" s="42" t="s">
        <v>306</v>
      </c>
      <c r="K56" s="14"/>
      <c r="L56" s="14"/>
      <c r="M56" s="14">
        <v>1998</v>
      </c>
      <c r="N56" s="14">
        <v>1999</v>
      </c>
      <c r="O56" s="14">
        <v>1998</v>
      </c>
      <c r="P56" s="43">
        <v>2008</v>
      </c>
    </row>
    <row r="58" spans="2:19" x14ac:dyDescent="0.25">
      <c r="B58" s="53" t="s">
        <v>385</v>
      </c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</row>
    <row r="59" spans="2:19" x14ac:dyDescent="0.25">
      <c r="J59" s="51" t="s">
        <v>229</v>
      </c>
    </row>
    <row r="60" spans="2:19" ht="15.75" customHeight="1" x14ac:dyDescent="0.25">
      <c r="J60" s="27" t="s">
        <v>294</v>
      </c>
      <c r="K60" s="28"/>
      <c r="L60" s="28"/>
      <c r="M60" s="103" t="s">
        <v>376</v>
      </c>
      <c r="N60" s="103"/>
      <c r="O60" s="103" t="s">
        <v>377</v>
      </c>
      <c r="P60" s="104"/>
      <c r="Q60" s="4"/>
    </row>
    <row r="61" spans="2:19" ht="33.75" customHeight="1" x14ac:dyDescent="0.25">
      <c r="J61" s="100" t="s">
        <v>383</v>
      </c>
      <c r="K61" s="14"/>
      <c r="L61" s="14"/>
      <c r="M61" s="101" t="s">
        <v>378</v>
      </c>
      <c r="N61" s="101"/>
      <c r="O61" s="101" t="s">
        <v>367</v>
      </c>
      <c r="P61" s="102"/>
      <c r="Q61" s="4"/>
    </row>
    <row r="62" spans="2:19" x14ac:dyDescent="0.25">
      <c r="B62" s="71" t="s">
        <v>386</v>
      </c>
      <c r="J62" s="27" t="s">
        <v>254</v>
      </c>
      <c r="K62" s="28"/>
      <c r="L62" s="28"/>
      <c r="M62" s="28">
        <v>130</v>
      </c>
      <c r="N62" s="96" t="s">
        <v>361</v>
      </c>
      <c r="O62" s="28">
        <v>106</v>
      </c>
      <c r="P62" s="97" t="s">
        <v>362</v>
      </c>
      <c r="Q62" s="4"/>
    </row>
    <row r="63" spans="2:19" x14ac:dyDescent="0.25">
      <c r="B63" s="27"/>
      <c r="C63" s="28"/>
      <c r="D63" s="86" t="s">
        <v>318</v>
      </c>
      <c r="E63" s="28" t="s">
        <v>315</v>
      </c>
      <c r="F63" s="28"/>
      <c r="G63" s="28"/>
      <c r="H63" s="30"/>
      <c r="J63" s="31" t="s">
        <v>255</v>
      </c>
      <c r="K63" s="4"/>
      <c r="L63" s="4"/>
      <c r="M63" s="4">
        <v>1250</v>
      </c>
      <c r="N63" s="4"/>
      <c r="O63" s="4">
        <v>2156</v>
      </c>
      <c r="P63" s="32"/>
      <c r="Q63" s="4"/>
    </row>
    <row r="64" spans="2:19" x14ac:dyDescent="0.25">
      <c r="B64" s="42"/>
      <c r="C64" s="14"/>
      <c r="D64" s="87" t="s">
        <v>384</v>
      </c>
      <c r="E64" s="14" t="s">
        <v>26</v>
      </c>
      <c r="F64" s="83" t="s">
        <v>147</v>
      </c>
      <c r="G64" s="83" t="s">
        <v>148</v>
      </c>
      <c r="H64" s="84" t="s">
        <v>144</v>
      </c>
      <c r="J64" s="31" t="s">
        <v>258</v>
      </c>
      <c r="K64" s="4"/>
      <c r="L64" s="4"/>
      <c r="M64" s="4">
        <v>11</v>
      </c>
      <c r="N64" s="4"/>
      <c r="O64" s="4">
        <v>42</v>
      </c>
      <c r="P64" s="32"/>
      <c r="Q64" s="4"/>
    </row>
    <row r="65" spans="2:17" x14ac:dyDescent="0.25">
      <c r="B65" s="85" t="s">
        <v>193</v>
      </c>
      <c r="C65" s="28"/>
      <c r="D65" s="90">
        <f>SUM(M62,O62,M64,O64)/2/1000</f>
        <v>0.14449999999999999</v>
      </c>
      <c r="E65" s="75">
        <v>10</v>
      </c>
      <c r="F65" s="75">
        <v>0</v>
      </c>
      <c r="G65" s="75">
        <v>0</v>
      </c>
      <c r="H65" s="78">
        <v>90</v>
      </c>
      <c r="J65" s="31" t="s">
        <v>363</v>
      </c>
      <c r="K65" s="4"/>
      <c r="L65" s="4"/>
      <c r="M65" s="4">
        <v>1454</v>
      </c>
      <c r="N65" s="4"/>
      <c r="O65" s="4">
        <v>2431</v>
      </c>
      <c r="P65" s="32"/>
      <c r="Q65" s="4"/>
    </row>
    <row r="66" spans="2:17" ht="13.5" customHeight="1" x14ac:dyDescent="0.25">
      <c r="B66" s="31" t="s">
        <v>194</v>
      </c>
      <c r="C66" s="4"/>
      <c r="D66" s="88">
        <v>0</v>
      </c>
      <c r="E66" s="75"/>
      <c r="F66" s="75"/>
      <c r="G66" s="75"/>
      <c r="H66" s="78"/>
      <c r="J66" s="94" t="s">
        <v>364</v>
      </c>
      <c r="K66" s="95"/>
      <c r="L66" s="95"/>
      <c r="M66" s="95" t="s">
        <v>365</v>
      </c>
      <c r="N66" s="95"/>
      <c r="O66" s="95" t="s">
        <v>366</v>
      </c>
      <c r="P66" s="44"/>
      <c r="Q66" s="4"/>
    </row>
    <row r="67" spans="2:17" x14ac:dyDescent="0.25">
      <c r="B67" s="42" t="s">
        <v>197</v>
      </c>
      <c r="C67" s="14"/>
      <c r="D67" s="91">
        <f>SUM(M63,O63,M65,O65,M67,O67,M68,O68,O69,O70,M71,O71)/2/1000</f>
        <v>3.9295</v>
      </c>
      <c r="E67" s="76">
        <v>0</v>
      </c>
      <c r="F67" s="76">
        <v>0</v>
      </c>
      <c r="G67" s="76">
        <v>0</v>
      </c>
      <c r="H67" s="77">
        <v>100</v>
      </c>
      <c r="J67" s="31" t="s">
        <v>369</v>
      </c>
      <c r="K67" s="4"/>
      <c r="L67" s="4"/>
      <c r="M67" s="4">
        <v>29</v>
      </c>
      <c r="N67" s="4"/>
      <c r="O67" s="4">
        <v>26</v>
      </c>
      <c r="P67" s="32"/>
      <c r="Q67" s="4"/>
    </row>
    <row r="68" spans="2:17" x14ac:dyDescent="0.25">
      <c r="J68" s="31" t="s">
        <v>370</v>
      </c>
      <c r="K68" s="4"/>
      <c r="L68" s="4"/>
      <c r="M68" s="4">
        <v>16</v>
      </c>
      <c r="N68" s="4"/>
      <c r="O68" s="4">
        <v>36</v>
      </c>
      <c r="P68" s="32"/>
      <c r="Q68" s="4"/>
    </row>
    <row r="69" spans="2:17" x14ac:dyDescent="0.25">
      <c r="J69" s="31" t="s">
        <v>371</v>
      </c>
      <c r="K69" s="4"/>
      <c r="L69" s="4"/>
      <c r="M69" s="4" t="s">
        <v>372</v>
      </c>
      <c r="N69" s="4"/>
      <c r="O69" s="4">
        <v>150</v>
      </c>
      <c r="P69" s="32"/>
      <c r="Q69" s="4"/>
    </row>
    <row r="70" spans="2:17" x14ac:dyDescent="0.25">
      <c r="J70" s="31" t="s">
        <v>373</v>
      </c>
      <c r="K70" s="4"/>
      <c r="L70" s="4"/>
      <c r="M70" s="4" t="s">
        <v>374</v>
      </c>
      <c r="N70" s="4"/>
      <c r="O70" s="4">
        <v>18</v>
      </c>
      <c r="P70" s="32"/>
      <c r="Q70" s="4"/>
    </row>
    <row r="71" spans="2:17" x14ac:dyDescent="0.25">
      <c r="J71" s="31" t="s">
        <v>253</v>
      </c>
      <c r="K71" s="4"/>
      <c r="L71" s="4"/>
      <c r="M71" s="4">
        <v>228</v>
      </c>
      <c r="N71" s="4"/>
      <c r="O71" s="4">
        <v>65</v>
      </c>
      <c r="P71" s="32"/>
      <c r="Q71" s="4"/>
    </row>
    <row r="72" spans="2:17" x14ac:dyDescent="0.25">
      <c r="J72" s="98" t="s">
        <v>375</v>
      </c>
      <c r="K72" s="93"/>
      <c r="L72" s="93"/>
      <c r="M72" s="93">
        <v>3118</v>
      </c>
      <c r="N72" s="93"/>
      <c r="O72" s="93">
        <v>5030</v>
      </c>
      <c r="P72" s="99"/>
      <c r="Q72" s="4"/>
    </row>
    <row r="73" spans="2:17" ht="15.75" customHeight="1" x14ac:dyDescent="0.25">
      <c r="J73" s="55" t="s">
        <v>379</v>
      </c>
      <c r="K73" s="56"/>
      <c r="L73" s="56"/>
      <c r="M73" s="56" t="s">
        <v>380</v>
      </c>
      <c r="N73" s="56"/>
      <c r="O73" s="56" t="s">
        <v>381</v>
      </c>
      <c r="P73" s="57"/>
      <c r="Q73" s="4"/>
    </row>
    <row r="74" spans="2:17" x14ac:dyDescent="0.25">
      <c r="J74" s="31" t="s">
        <v>368</v>
      </c>
      <c r="K74" s="4"/>
      <c r="L74" s="4"/>
      <c r="M74" s="4" t="s">
        <v>382</v>
      </c>
      <c r="N74" s="4"/>
      <c r="O74" s="4">
        <v>10</v>
      </c>
      <c r="P74" s="32"/>
      <c r="Q74" s="4"/>
    </row>
    <row r="75" spans="2:17" ht="15.75" customHeight="1" x14ac:dyDescent="0.25">
      <c r="J75" s="55" t="s">
        <v>306</v>
      </c>
      <c r="K75" s="56"/>
      <c r="L75" s="56"/>
      <c r="M75" s="56">
        <v>2004</v>
      </c>
      <c r="N75" s="56"/>
      <c r="O75" s="56">
        <v>2003</v>
      </c>
      <c r="P75" s="57"/>
      <c r="Q75" s="4"/>
    </row>
  </sheetData>
  <mergeCells count="4">
    <mergeCell ref="O61:P61"/>
    <mergeCell ref="M60:N60"/>
    <mergeCell ref="O60:P60"/>
    <mergeCell ref="M61:N61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T17"/>
  <sheetViews>
    <sheetView topLeftCell="G1" workbookViewId="0">
      <selection activeCell="I3" sqref="I3:I5"/>
    </sheetView>
  </sheetViews>
  <sheetFormatPr defaultRowHeight="15" x14ac:dyDescent="0.25"/>
  <cols>
    <col min="5" max="5" width="36.140625" bestFit="1" customWidth="1"/>
  </cols>
  <sheetData>
    <row r="3" spans="5:20" ht="15" customHeight="1" x14ac:dyDescent="0.25">
      <c r="E3" t="s">
        <v>254</v>
      </c>
      <c r="F3">
        <v>90</v>
      </c>
      <c r="G3">
        <v>13</v>
      </c>
      <c r="H3">
        <v>2.2999999999999998</v>
      </c>
      <c r="I3">
        <v>242</v>
      </c>
    </row>
    <row r="4" spans="5:20" ht="30" customHeight="1" x14ac:dyDescent="0.25">
      <c r="E4" t="s">
        <v>255</v>
      </c>
      <c r="F4">
        <v>654</v>
      </c>
      <c r="G4">
        <v>80</v>
      </c>
      <c r="H4" t="s">
        <v>256</v>
      </c>
      <c r="I4" t="s">
        <v>257</v>
      </c>
    </row>
    <row r="5" spans="5:20" ht="15" customHeight="1" x14ac:dyDescent="0.25">
      <c r="E5" t="s">
        <v>258</v>
      </c>
      <c r="F5">
        <v>11</v>
      </c>
      <c r="G5">
        <v>12</v>
      </c>
      <c r="H5" t="s">
        <v>259</v>
      </c>
      <c r="I5" t="s">
        <v>260</v>
      </c>
    </row>
    <row r="6" spans="5:20" x14ac:dyDescent="0.25">
      <c r="E6" t="s">
        <v>288</v>
      </c>
      <c r="F6" t="s">
        <v>289</v>
      </c>
      <c r="G6" t="s">
        <v>290</v>
      </c>
      <c r="H6" t="s">
        <v>291</v>
      </c>
      <c r="I6" t="s">
        <v>292</v>
      </c>
    </row>
    <row r="7" spans="5:20" ht="15" customHeight="1" x14ac:dyDescent="0.25">
      <c r="E7" t="s">
        <v>251</v>
      </c>
      <c r="G7" t="s">
        <v>261</v>
      </c>
      <c r="I7" t="s">
        <v>262</v>
      </c>
      <c r="O7" t="s">
        <v>263</v>
      </c>
      <c r="S7" t="s">
        <v>252</v>
      </c>
    </row>
    <row r="8" spans="5:20" ht="15" customHeight="1" x14ac:dyDescent="0.25">
      <c r="E8" t="s">
        <v>264</v>
      </c>
      <c r="H8" t="s">
        <v>265</v>
      </c>
      <c r="K8">
        <v>4</v>
      </c>
      <c r="P8" t="s">
        <v>266</v>
      </c>
      <c r="T8" t="s">
        <v>267</v>
      </c>
    </row>
    <row r="9" spans="5:20" ht="30" customHeight="1" x14ac:dyDescent="0.25">
      <c r="E9" t="s">
        <v>268</v>
      </c>
      <c r="H9">
        <v>79</v>
      </c>
      <c r="K9">
        <v>7</v>
      </c>
      <c r="P9" t="s">
        <v>269</v>
      </c>
      <c r="T9" t="s">
        <v>257</v>
      </c>
    </row>
    <row r="10" spans="5:20" ht="30" customHeight="1" x14ac:dyDescent="0.25">
      <c r="E10" t="s">
        <v>270</v>
      </c>
      <c r="H10" t="s">
        <v>85</v>
      </c>
      <c r="K10">
        <v>11</v>
      </c>
      <c r="P10" t="s">
        <v>85</v>
      </c>
      <c r="T10" t="s">
        <v>257</v>
      </c>
    </row>
    <row r="11" spans="5:20" ht="30" customHeight="1" x14ac:dyDescent="0.25">
      <c r="E11" t="s">
        <v>271</v>
      </c>
      <c r="H11">
        <v>38</v>
      </c>
      <c r="K11">
        <v>15</v>
      </c>
      <c r="P11" t="s">
        <v>272</v>
      </c>
      <c r="T11" t="s">
        <v>257</v>
      </c>
    </row>
    <row r="12" spans="5:20" ht="30" customHeight="1" x14ac:dyDescent="0.25">
      <c r="E12" t="s">
        <v>253</v>
      </c>
      <c r="H12">
        <v>164</v>
      </c>
      <c r="K12">
        <v>66</v>
      </c>
      <c r="P12" t="s">
        <v>273</v>
      </c>
      <c r="T12" t="s">
        <v>257</v>
      </c>
    </row>
    <row r="13" spans="5:20" ht="15" customHeight="1" x14ac:dyDescent="0.25">
      <c r="E13" t="s">
        <v>274</v>
      </c>
      <c r="H13">
        <v>2433</v>
      </c>
      <c r="K13">
        <v>689</v>
      </c>
      <c r="P13" t="s">
        <v>275</v>
      </c>
      <c r="T13">
        <v>1252</v>
      </c>
    </row>
    <row r="14" spans="5:20" ht="15" customHeight="1" x14ac:dyDescent="0.25">
      <c r="E14" t="s">
        <v>276</v>
      </c>
      <c r="H14">
        <v>1441</v>
      </c>
      <c r="K14">
        <v>689</v>
      </c>
      <c r="P14" t="s">
        <v>277</v>
      </c>
      <c r="T14">
        <v>1218</v>
      </c>
    </row>
    <row r="15" spans="5:20" ht="15" customHeight="1" x14ac:dyDescent="0.25">
      <c r="E15" t="s">
        <v>278</v>
      </c>
      <c r="L15" t="s">
        <v>279</v>
      </c>
      <c r="Q15" t="s">
        <v>280</v>
      </c>
    </row>
    <row r="16" spans="5:20" ht="30" customHeight="1" x14ac:dyDescent="0.25">
      <c r="E16" t="s">
        <v>281</v>
      </c>
      <c r="H16" t="s">
        <v>282</v>
      </c>
      <c r="K16" t="s">
        <v>282</v>
      </c>
      <c r="P16" t="s">
        <v>85</v>
      </c>
      <c r="T16" t="s">
        <v>282</v>
      </c>
    </row>
    <row r="17" spans="5:20" ht="45" customHeight="1" x14ac:dyDescent="0.25">
      <c r="E17" t="s">
        <v>283</v>
      </c>
      <c r="H17" t="s">
        <v>284</v>
      </c>
      <c r="K17" t="s">
        <v>285</v>
      </c>
      <c r="P17" t="s">
        <v>286</v>
      </c>
      <c r="T17" t="s">
        <v>287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3:J21"/>
  <sheetViews>
    <sheetView workbookViewId="0">
      <selection activeCell="J21" sqref="C3:J21"/>
    </sheetView>
  </sheetViews>
  <sheetFormatPr defaultRowHeight="15" x14ac:dyDescent="0.25"/>
  <cols>
    <col min="3" max="3" width="37.42578125" bestFit="1" customWidth="1"/>
  </cols>
  <sheetData>
    <row r="3" spans="3:10" x14ac:dyDescent="0.25">
      <c r="C3" t="s">
        <v>294</v>
      </c>
      <c r="F3" s="49" t="s">
        <v>299</v>
      </c>
      <c r="G3" s="49" t="s">
        <v>300</v>
      </c>
      <c r="H3" s="49" t="s">
        <v>301</v>
      </c>
      <c r="I3" s="49" t="s">
        <v>302</v>
      </c>
      <c r="J3" t="s">
        <v>308</v>
      </c>
    </row>
    <row r="4" spans="3:10" x14ac:dyDescent="0.25">
      <c r="C4" t="s">
        <v>250</v>
      </c>
      <c r="F4" t="s">
        <v>295</v>
      </c>
      <c r="G4" t="s">
        <v>296</v>
      </c>
      <c r="H4" t="s">
        <v>297</v>
      </c>
      <c r="I4" t="s">
        <v>298</v>
      </c>
      <c r="J4" t="s">
        <v>308</v>
      </c>
    </row>
    <row r="5" spans="3:10" x14ac:dyDescent="0.25">
      <c r="C5" t="s">
        <v>254</v>
      </c>
      <c r="F5">
        <v>90</v>
      </c>
      <c r="G5">
        <v>13</v>
      </c>
      <c r="H5">
        <v>2.2999999999999998</v>
      </c>
      <c r="I5">
        <v>242</v>
      </c>
      <c r="J5" t="s">
        <v>308</v>
      </c>
    </row>
    <row r="6" spans="3:10" x14ac:dyDescent="0.25">
      <c r="C6" t="s">
        <v>255</v>
      </c>
      <c r="F6">
        <v>654</v>
      </c>
      <c r="G6">
        <v>80</v>
      </c>
      <c r="H6">
        <v>9.6</v>
      </c>
      <c r="I6" t="s">
        <v>257</v>
      </c>
      <c r="J6" t="s">
        <v>308</v>
      </c>
    </row>
    <row r="7" spans="3:10" ht="15" customHeight="1" x14ac:dyDescent="0.25">
      <c r="C7" t="s">
        <v>258</v>
      </c>
      <c r="F7">
        <v>11</v>
      </c>
      <c r="G7">
        <v>12</v>
      </c>
      <c r="H7">
        <v>0.1</v>
      </c>
      <c r="I7">
        <v>43.2</v>
      </c>
      <c r="J7" t="s">
        <v>308</v>
      </c>
    </row>
    <row r="8" spans="3:10" x14ac:dyDescent="0.25">
      <c r="C8" t="s">
        <v>288</v>
      </c>
      <c r="F8">
        <v>244</v>
      </c>
      <c r="G8">
        <v>78</v>
      </c>
      <c r="H8">
        <v>1.8</v>
      </c>
      <c r="I8">
        <v>340</v>
      </c>
      <c r="J8" t="s">
        <v>308</v>
      </c>
    </row>
    <row r="9" spans="3:10" x14ac:dyDescent="0.25">
      <c r="C9" t="s">
        <v>251</v>
      </c>
      <c r="F9">
        <v>992</v>
      </c>
      <c r="G9">
        <v>93</v>
      </c>
      <c r="H9">
        <v>4.2</v>
      </c>
      <c r="I9" t="s">
        <v>252</v>
      </c>
      <c r="J9" t="s">
        <v>308</v>
      </c>
    </row>
    <row r="10" spans="3:10" ht="15" customHeight="1" x14ac:dyDescent="0.25">
      <c r="C10" t="s">
        <v>264</v>
      </c>
      <c r="F10" t="s">
        <v>265</v>
      </c>
      <c r="G10">
        <v>4</v>
      </c>
      <c r="H10" t="s">
        <v>266</v>
      </c>
      <c r="I10" t="s">
        <v>267</v>
      </c>
      <c r="J10" t="s">
        <v>308</v>
      </c>
    </row>
    <row r="11" spans="3:10" x14ac:dyDescent="0.25">
      <c r="C11" t="s">
        <v>268</v>
      </c>
      <c r="F11">
        <v>79</v>
      </c>
      <c r="G11">
        <v>7</v>
      </c>
      <c r="H11">
        <v>0.7</v>
      </c>
      <c r="I11" t="s">
        <v>257</v>
      </c>
      <c r="J11" t="s">
        <v>308</v>
      </c>
    </row>
    <row r="12" spans="3:10" x14ac:dyDescent="0.25">
      <c r="C12" t="s">
        <v>270</v>
      </c>
      <c r="F12" t="s">
        <v>85</v>
      </c>
      <c r="G12">
        <v>11</v>
      </c>
      <c r="H12" t="s">
        <v>85</v>
      </c>
      <c r="I12" t="s">
        <v>257</v>
      </c>
      <c r="J12" t="s">
        <v>308</v>
      </c>
    </row>
    <row r="13" spans="3:10" x14ac:dyDescent="0.25">
      <c r="C13" t="s">
        <v>271</v>
      </c>
      <c r="F13">
        <v>38</v>
      </c>
      <c r="G13">
        <v>15</v>
      </c>
      <c r="H13" t="s">
        <v>272</v>
      </c>
      <c r="I13" t="s">
        <v>257</v>
      </c>
      <c r="J13" t="s">
        <v>308</v>
      </c>
    </row>
    <row r="14" spans="3:10" x14ac:dyDescent="0.25">
      <c r="C14" t="s">
        <v>253</v>
      </c>
      <c r="F14">
        <v>164</v>
      </c>
      <c r="G14">
        <v>66</v>
      </c>
      <c r="H14">
        <v>1</v>
      </c>
      <c r="I14" t="s">
        <v>257</v>
      </c>
      <c r="J14" t="s">
        <v>308</v>
      </c>
    </row>
    <row r="15" spans="3:10" x14ac:dyDescent="0.25">
      <c r="C15" t="s">
        <v>274</v>
      </c>
      <c r="F15">
        <v>2433</v>
      </c>
      <c r="G15">
        <v>689</v>
      </c>
      <c r="H15">
        <v>19.7</v>
      </c>
      <c r="I15">
        <v>1252</v>
      </c>
      <c r="J15" t="s">
        <v>308</v>
      </c>
    </row>
    <row r="16" spans="3:10" x14ac:dyDescent="0.25">
      <c r="C16" t="s">
        <v>276</v>
      </c>
      <c r="F16">
        <v>1441</v>
      </c>
      <c r="G16">
        <v>689</v>
      </c>
      <c r="H16">
        <v>15.5</v>
      </c>
      <c r="I16">
        <v>1218</v>
      </c>
      <c r="J16" t="s">
        <v>308</v>
      </c>
    </row>
    <row r="17" spans="3:10" x14ac:dyDescent="0.25">
      <c r="C17" t="s">
        <v>293</v>
      </c>
      <c r="F17">
        <v>23</v>
      </c>
      <c r="G17">
        <v>38</v>
      </c>
      <c r="H17" t="s">
        <v>85</v>
      </c>
      <c r="I17" t="s">
        <v>303</v>
      </c>
      <c r="J17" t="s">
        <v>308</v>
      </c>
    </row>
    <row r="18" spans="3:10" x14ac:dyDescent="0.25">
      <c r="C18" t="s">
        <v>281</v>
      </c>
      <c r="F18" t="s">
        <v>282</v>
      </c>
      <c r="G18" t="s">
        <v>282</v>
      </c>
      <c r="H18" t="s">
        <v>85</v>
      </c>
      <c r="I18" t="s">
        <v>282</v>
      </c>
      <c r="J18" t="s">
        <v>308</v>
      </c>
    </row>
    <row r="19" spans="3:10" x14ac:dyDescent="0.25">
      <c r="C19" t="s">
        <v>304</v>
      </c>
      <c r="F19" t="s">
        <v>282</v>
      </c>
      <c r="G19" t="s">
        <v>307</v>
      </c>
      <c r="H19" t="s">
        <v>85</v>
      </c>
      <c r="I19" t="s">
        <v>282</v>
      </c>
      <c r="J19" t="s">
        <v>308</v>
      </c>
    </row>
    <row r="20" spans="3:10" x14ac:dyDescent="0.25">
      <c r="C20" t="s">
        <v>305</v>
      </c>
      <c r="F20" t="s">
        <v>282</v>
      </c>
      <c r="H20" t="s">
        <v>282</v>
      </c>
      <c r="I20" t="s">
        <v>282</v>
      </c>
      <c r="J20" t="s">
        <v>308</v>
      </c>
    </row>
    <row r="21" spans="3:10" x14ac:dyDescent="0.25">
      <c r="C21" t="s">
        <v>306</v>
      </c>
      <c r="F21">
        <v>1998</v>
      </c>
      <c r="G21">
        <v>1999</v>
      </c>
      <c r="H21">
        <v>1998</v>
      </c>
      <c r="I21">
        <v>2008</v>
      </c>
      <c r="J21" t="s">
        <v>308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>
      <selection activeCell="H22" sqref="H22"/>
    </sheetView>
  </sheetViews>
  <sheetFormatPr defaultRowHeight="15" x14ac:dyDescent="0.25"/>
  <sheetData>
    <row r="1" spans="1:1" x14ac:dyDescent="0.25">
      <c r="A1" t="s">
        <v>396</v>
      </c>
    </row>
    <row r="2" spans="1:1" x14ac:dyDescent="0.25">
      <c r="A2" s="16" t="s">
        <v>133</v>
      </c>
    </row>
    <row r="3" spans="1:1" x14ac:dyDescent="0.25">
      <c r="A3" s="17" t="s">
        <v>134</v>
      </c>
    </row>
    <row r="4" spans="1:1" x14ac:dyDescent="0.25">
      <c r="A4" s="17" t="s">
        <v>135</v>
      </c>
    </row>
    <row r="5" spans="1:1" x14ac:dyDescent="0.25">
      <c r="A5" s="17" t="s">
        <v>136</v>
      </c>
    </row>
    <row r="6" spans="1:1" x14ac:dyDescent="0.25">
      <c r="A6" s="17" t="s">
        <v>137</v>
      </c>
    </row>
    <row r="7" spans="1:1" x14ac:dyDescent="0.25">
      <c r="A7" s="17" t="s">
        <v>138</v>
      </c>
    </row>
    <row r="8" spans="1:1" x14ac:dyDescent="0.25">
      <c r="A8" s="17" t="s">
        <v>139</v>
      </c>
    </row>
    <row r="9" spans="1:1" x14ac:dyDescent="0.25">
      <c r="A9" s="17" t="s">
        <v>140</v>
      </c>
    </row>
    <row r="10" spans="1:1" x14ac:dyDescent="0.25">
      <c r="A10" s="17" t="s">
        <v>141</v>
      </c>
    </row>
    <row r="11" spans="1:1" x14ac:dyDescent="0.25">
      <c r="A11" s="17" t="s">
        <v>142</v>
      </c>
    </row>
    <row r="12" spans="1:1" x14ac:dyDescent="0.25">
      <c r="A12" s="48" t="s">
        <v>228</v>
      </c>
    </row>
    <row r="13" spans="1:1" x14ac:dyDescent="0.25">
      <c r="A13" s="48" t="s">
        <v>240</v>
      </c>
    </row>
    <row r="14" spans="1:1" x14ac:dyDescent="0.25">
      <c r="A14" s="48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default</vt:lpstr>
      <vt:lpstr>energy stables</vt:lpstr>
      <vt:lpstr>Sheet1</vt:lpstr>
      <vt:lpstr>Sheet2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2024-10-03T12:36:08Z</dcterms:modified>
</cp:coreProperties>
</file>