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360" windowHeight="6615" firstSheet="2" activeTab="5"/>
  </bookViews>
  <sheets>
    <sheet name="Regions" sheetId="7" r:id="rId1"/>
    <sheet name="DemandAndConversions" sheetId="2" r:id="rId2"/>
    <sheet name="CropProduction" sheetId="6" r:id="rId3"/>
    <sheet name="CattleHerd" sheetId="3" r:id="rId4"/>
    <sheet name="PigHerd" sheetId="4" r:id="rId5"/>
    <sheet name="FeedMgmt" sheetId="9" r:id="rId6"/>
    <sheet name="MachineryAndEnergyMgmt" sheetId="8" r:id="rId7"/>
    <sheet name="motivations" sheetId="5" r:id="rId8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" i="8" l="1"/>
  <c r="E3" i="8" s="1"/>
  <c r="J3" i="4" l="1"/>
  <c r="J2" i="4"/>
  <c r="H3" i="4"/>
  <c r="H2" i="4"/>
  <c r="F3" i="4"/>
  <c r="F2" i="4"/>
  <c r="E17" i="5"/>
  <c r="G2" i="3" l="1"/>
  <c r="H2" i="3" s="1"/>
  <c r="I2" i="3" s="1"/>
  <c r="J2" i="3" s="1"/>
  <c r="K2" i="3" s="1"/>
  <c r="L2" i="3" s="1"/>
  <c r="J60" i="2" l="1"/>
  <c r="J159" i="2" l="1"/>
  <c r="J158" i="2"/>
  <c r="J154" i="2"/>
  <c r="J153" i="2"/>
  <c r="J152" i="2"/>
  <c r="J150" i="2"/>
  <c r="J148" i="2"/>
  <c r="J147" i="2"/>
  <c r="J146" i="2"/>
  <c r="J136" i="2"/>
  <c r="J135" i="2"/>
  <c r="J134" i="2"/>
  <c r="J133" i="2"/>
  <c r="J131" i="2"/>
  <c r="J108" i="2"/>
  <c r="J109" i="2"/>
  <c r="J110" i="2"/>
  <c r="J111" i="2"/>
  <c r="J112" i="2"/>
  <c r="J113" i="2"/>
  <c r="J114" i="2"/>
  <c r="J115" i="2"/>
  <c r="J126" i="2"/>
  <c r="J125" i="2"/>
  <c r="J124" i="2"/>
  <c r="J123" i="2"/>
  <c r="J122" i="2"/>
  <c r="J121" i="2"/>
  <c r="J120" i="2"/>
  <c r="J119" i="2"/>
  <c r="J118" i="2"/>
  <c r="J106" i="2"/>
  <c r="J105" i="2"/>
  <c r="J104" i="2"/>
  <c r="J103" i="2"/>
  <c r="J101" i="2"/>
  <c r="J100" i="2"/>
  <c r="J95" i="2"/>
  <c r="J91" i="2"/>
  <c r="J90" i="2"/>
  <c r="D153" i="2"/>
  <c r="D136" i="2"/>
  <c r="D131" i="2"/>
  <c r="D130" i="2"/>
  <c r="D129" i="2"/>
  <c r="D128" i="2"/>
  <c r="D101" i="2"/>
  <c r="D99" i="2"/>
  <c r="D97" i="2"/>
  <c r="D94" i="2"/>
  <c r="D91" i="2"/>
  <c r="J81" i="2" l="1"/>
  <c r="J80" i="2"/>
  <c r="J79" i="2"/>
  <c r="J78" i="2"/>
  <c r="J75" i="2"/>
  <c r="J76" i="2"/>
  <c r="J74" i="2"/>
  <c r="J58" i="2"/>
  <c r="J57" i="2"/>
  <c r="J56" i="2"/>
  <c r="J47" i="2"/>
  <c r="J48" i="2"/>
  <c r="J49" i="2"/>
  <c r="J50" i="2"/>
  <c r="J51" i="2"/>
  <c r="J52" i="2"/>
  <c r="J53" i="2"/>
  <c r="J54" i="2"/>
  <c r="J46" i="2"/>
  <c r="J3" i="2" l="1"/>
  <c r="I3" i="2"/>
  <c r="H3" i="2"/>
  <c r="G3" i="2"/>
  <c r="F3" i="2"/>
  <c r="E3" i="2"/>
</calcChain>
</file>

<file path=xl/sharedStrings.xml><?xml version="1.0" encoding="utf-8"?>
<sst xmlns="http://schemas.openxmlformats.org/spreadsheetml/2006/main" count="529" uniqueCount="137">
  <si>
    <t>f_food</t>
  </si>
  <si>
    <t>parameter</t>
  </si>
  <si>
    <t>val_is</t>
  </si>
  <si>
    <t>y_2020</t>
  </si>
  <si>
    <t>y_2025</t>
  </si>
  <si>
    <t>y_2030</t>
  </si>
  <si>
    <t>y_2035</t>
  </si>
  <si>
    <t>y_2040</t>
  </si>
  <si>
    <t>y_2045</t>
  </si>
  <si>
    <t>y_2050</t>
  </si>
  <si>
    <t>population</t>
  </si>
  <si>
    <t>rel</t>
  </si>
  <si>
    <t>consumption</t>
  </si>
  <si>
    <t>Pig meat and products</t>
  </si>
  <si>
    <t>DIET</t>
  </si>
  <si>
    <t>Cereals (excl. beer)</t>
  </si>
  <si>
    <t>Wheat and products, refined</t>
  </si>
  <si>
    <t>Wheat and products, whole grain</t>
  </si>
  <si>
    <t>Rice and products</t>
  </si>
  <si>
    <t>Barley and products, refined</t>
  </si>
  <si>
    <t>Barley and products, whole grain</t>
  </si>
  <si>
    <t>Maize and products</t>
  </si>
  <si>
    <t>Rye and products, refined</t>
  </si>
  <si>
    <t>Rye and products, whole grain</t>
  </si>
  <si>
    <t>Oats and products, refined</t>
  </si>
  <si>
    <t>Oats and products, whole grain</t>
  </si>
  <si>
    <t>Other cereals and products, refined</t>
  </si>
  <si>
    <t>Other cereals and products, whole grain</t>
  </si>
  <si>
    <t>Tubers or starchy vegetables</t>
  </si>
  <si>
    <t>Potatoes, fresh</t>
  </si>
  <si>
    <t>Potatoes, frozen</t>
  </si>
  <si>
    <t>Potato flour</t>
  </si>
  <si>
    <t>Starch of potatoes</t>
  </si>
  <si>
    <t>Vegetables DONE!</t>
  </si>
  <si>
    <t>Carrots and turnips</t>
  </si>
  <si>
    <t>Onions, dry</t>
  </si>
  <si>
    <t>Cabbages (and cauliflower &amp; broccoli)</t>
  </si>
  <si>
    <t>Lettuce and spinach</t>
  </si>
  <si>
    <t>Pumpkins, squash and gourds</t>
  </si>
  <si>
    <t>Peas, green</t>
  </si>
  <si>
    <t>Tomatoes and products</t>
  </si>
  <si>
    <t>Cucumbers and gherkins</t>
  </si>
  <si>
    <t>Mushrooms and truffles</t>
  </si>
  <si>
    <t>Other vegetables</t>
  </si>
  <si>
    <t>Fruits and berries (excl. wine)</t>
  </si>
  <si>
    <t>Apples</t>
  </si>
  <si>
    <t>Apple juice</t>
  </si>
  <si>
    <t>Apple juice concentrate</t>
  </si>
  <si>
    <t>Pears</t>
  </si>
  <si>
    <t>Other fruit</t>
  </si>
  <si>
    <t>Strawberries</t>
  </si>
  <si>
    <t>Currants</t>
  </si>
  <si>
    <t>Other berries</t>
  </si>
  <si>
    <t>Dairy foods</t>
  </si>
  <si>
    <t>Milk and products less than 1% fat</t>
  </si>
  <si>
    <t>Milk and products 1-2% fat</t>
  </si>
  <si>
    <t>Milk and products more than 2% fat</t>
  </si>
  <si>
    <t>Cheese</t>
  </si>
  <si>
    <t>Icecream</t>
  </si>
  <si>
    <t>Sourcream</t>
  </si>
  <si>
    <t>Cream low fat</t>
  </si>
  <si>
    <t>Cream high fat</t>
  </si>
  <si>
    <t>Butter</t>
  </si>
  <si>
    <t>Meat, offals and animal fats</t>
  </si>
  <si>
    <t>Bovine meat and products</t>
  </si>
  <si>
    <t>Poultry meat and products</t>
  </si>
  <si>
    <t>Eggs</t>
  </si>
  <si>
    <t>Fish</t>
  </si>
  <si>
    <t>Pulses and oil seeds</t>
  </si>
  <si>
    <t>Peas, dry</t>
  </si>
  <si>
    <t>Broad beans and horse beans, dry</t>
  </si>
  <si>
    <t>Beans, dry</t>
  </si>
  <si>
    <t>Chick peas, dry</t>
  </si>
  <si>
    <t>Lentils, dry</t>
  </si>
  <si>
    <t>Treenuts</t>
  </si>
  <si>
    <t>Vegetable oils</t>
  </si>
  <si>
    <t>Rape and mustard oil and products</t>
  </si>
  <si>
    <t>Sunflowerseed oil and products</t>
  </si>
  <si>
    <t>Olive oil and products</t>
  </si>
  <si>
    <t>Sweeteners</t>
  </si>
  <si>
    <t>Sugar and products</t>
  </si>
  <si>
    <t>Other sweeteners</t>
  </si>
  <si>
    <t>Honey</t>
  </si>
  <si>
    <t>Alcoholic beverages</t>
  </si>
  <si>
    <t>Wine and products</t>
  </si>
  <si>
    <t>Barley beer</t>
  </si>
  <si>
    <t>Beverages, fermented and products</t>
  </si>
  <si>
    <t>Beverages, alcoholic</t>
  </si>
  <si>
    <t>Stimulants</t>
  </si>
  <si>
    <t>Spices</t>
  </si>
  <si>
    <t>Wild food</t>
  </si>
  <si>
    <t>Novel foods</t>
  </si>
  <si>
    <t>POPULATION</t>
  </si>
  <si>
    <t>IMPORT SHARES</t>
  </si>
  <si>
    <t>Fruits (excl. wine)</t>
  </si>
  <si>
    <t>Vegetables</t>
  </si>
  <si>
    <t>share_imported</t>
  </si>
  <si>
    <t>abs</t>
  </si>
  <si>
    <t>f_breed</t>
  </si>
  <si>
    <t>dairy</t>
  </si>
  <si>
    <t>milk_prod</t>
  </si>
  <si>
    <t>over 10 years</t>
  </si>
  <si>
    <t>growing pigs</t>
  </si>
  <si>
    <t>feed_energy_per_growth</t>
  </si>
  <si>
    <t>finishing pigs</t>
  </si>
  <si>
    <t>f_animal</t>
  </si>
  <si>
    <t>MJ NE/kg w.g.</t>
  </si>
  <si>
    <t>PIGS</t>
  </si>
  <si>
    <t>Mortality</t>
  </si>
  <si>
    <t>Growing/finishing pigs energy per kg weight gain</t>
  </si>
  <si>
    <t>growing/finishing</t>
  </si>
  <si>
    <t>yield</t>
  </si>
  <si>
    <t>cropland</t>
  </si>
  <si>
    <t>max_land_use_factor</t>
  </si>
  <si>
    <t>f_land_use</t>
  </si>
  <si>
    <t>field machinery</t>
  </si>
  <si>
    <t>energy_source_share</t>
  </si>
  <si>
    <t>f_activity</t>
  </si>
  <si>
    <t>f_energy_source</t>
  </si>
  <si>
    <t>greenhouse</t>
  </si>
  <si>
    <t>semi-natural grasslands</t>
  </si>
  <si>
    <t>enteric_adj</t>
  </si>
  <si>
    <t>f_species</t>
  </si>
  <si>
    <t>bulls</t>
  </si>
  <si>
    <t>beef</t>
  </si>
  <si>
    <t>slaughter_share_male_as_steers</t>
  </si>
  <si>
    <t>f_prod_system</t>
  </si>
  <si>
    <t>slaughter_weight</t>
  </si>
  <si>
    <t>f_crop</t>
  </si>
  <si>
    <t>Semi-natural pastures</t>
  </si>
  <si>
    <t>Semi-natural meadows</t>
  </si>
  <si>
    <t>Diesel</t>
  </si>
  <si>
    <t>Biodiesel</t>
  </si>
  <si>
    <t>Hydrogen</t>
  </si>
  <si>
    <t>Electricity</t>
  </si>
  <si>
    <t>cattle</t>
  </si>
  <si>
    <t>cows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</si>
</sst>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0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33">
    <xf numFmtId="0" fontId="0" fillId="0" borderId="0" xfId="0"/>
    <xf numFmtId="0" fontId="2" fillId="0" borderId="0" xfId="0" applyFont="1"/>
    <xf numFmtId="0" fontId="0" fillId="0" borderId="0" xfId="0" applyFont="1"/>
    <xf numFmtId="2" fontId="0" fillId="0" borderId="0" xfId="0" applyNumberFormat="1"/>
    <xf numFmtId="0" fontId="1" fillId="0" borderId="0" xfId="0" applyFont="1"/>
    <xf numFmtId="0" fontId="3" fillId="2" borderId="0" xfId="0" applyFont="1" applyFill="1"/>
    <xf numFmtId="0" fontId="2" fillId="3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0" fillId="3" borderId="0" xfId="0" applyFill="1"/>
    <xf numFmtId="0" fontId="7" fillId="0" borderId="0" xfId="0" applyFont="1"/>
    <xf numFmtId="164" fontId="1" fillId="0" borderId="0" xfId="0" applyNumberFormat="1" applyFont="1"/>
    <xf numFmtId="1" fontId="4" fillId="0" borderId="0" xfId="0" applyNumberFormat="1" applyFont="1"/>
    <xf numFmtId="0" fontId="3" fillId="0" borderId="1" xfId="0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0" fillId="0" borderId="5" xfId="0" applyBorder="1"/>
    <xf numFmtId="10" fontId="0" fillId="0" borderId="0" xfId="1" applyNumberFormat="1" applyFont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9" fontId="9" fillId="4" borderId="0" xfId="1" applyFont="1" applyFill="1" applyBorder="1"/>
    <xf numFmtId="0" fontId="9" fillId="4" borderId="0" xfId="0" applyFont="1" applyFill="1" applyBorder="1"/>
    <xf numFmtId="0" fontId="0" fillId="4" borderId="0" xfId="0" applyFill="1" applyBorder="1"/>
    <xf numFmtId="0" fontId="2" fillId="4" borderId="0" xfId="0" applyFont="1" applyFill="1"/>
    <xf numFmtId="0" fontId="0" fillId="4" borderId="0" xfId="0" applyFill="1"/>
    <xf numFmtId="0" fontId="0" fillId="0" borderId="0" xfId="0" applyFill="1" applyBorder="1"/>
    <xf numFmtId="1" fontId="0" fillId="0" borderId="0" xfId="0" applyNumberFormat="1"/>
    <xf numFmtId="164" fontId="0" fillId="0" borderId="0" xfId="0" applyNumberFormat="1"/>
    <xf numFmtId="164" fontId="4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ysClr val="windowText" lastClr="00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7866797900262469"/>
                  <c:y val="-0.4805633311980785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motivations!$B$7:$B$17</c:f>
              <c:numCache>
                <c:formatCode>General</c:formatCode>
                <c:ptCount val="11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</c:numCache>
            </c:numRef>
          </c:xVal>
          <c:yVal>
            <c:numRef>
              <c:f>motivations!$C$7:$C$17</c:f>
              <c:numCache>
                <c:formatCode>General</c:formatCode>
                <c:ptCount val="11"/>
                <c:pt idx="0">
                  <c:v>26.2</c:v>
                </c:pt>
                <c:pt idx="1">
                  <c:v>26.1</c:v>
                </c:pt>
                <c:pt idx="2">
                  <c:v>26.7</c:v>
                </c:pt>
                <c:pt idx="3">
                  <c:v>26.6</c:v>
                </c:pt>
                <c:pt idx="4">
                  <c:v>27</c:v>
                </c:pt>
                <c:pt idx="5">
                  <c:v>25.7</c:v>
                </c:pt>
                <c:pt idx="6">
                  <c:v>25.4</c:v>
                </c:pt>
                <c:pt idx="7">
                  <c:v>25.8</c:v>
                </c:pt>
                <c:pt idx="8">
                  <c:v>25.3</c:v>
                </c:pt>
                <c:pt idx="9">
                  <c:v>24.8</c:v>
                </c:pt>
                <c:pt idx="10">
                  <c:v>24.6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5CA-4A2A-8D5F-BE1A6CBCD5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1029615"/>
        <c:axId val="531027119"/>
      </c:scatterChart>
      <c:valAx>
        <c:axId val="53102961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027119"/>
        <c:crosses val="autoZero"/>
        <c:crossBetween val="midCat"/>
      </c:valAx>
      <c:valAx>
        <c:axId val="531027119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029615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ysClr val="windowText" lastClr="00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7866797900262469"/>
                  <c:y val="-0.4805633311980785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motivations!$J$7:$J$17</c:f>
              <c:numCache>
                <c:formatCode>General</c:formatCode>
                <c:ptCount val="11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</c:numCache>
            </c:numRef>
          </c:xVal>
          <c:yVal>
            <c:numRef>
              <c:f>motivations!$K$7:$K$17</c:f>
              <c:numCache>
                <c:formatCode>General</c:formatCode>
                <c:ptCount val="11"/>
                <c:pt idx="0">
                  <c:v>1.7</c:v>
                </c:pt>
                <c:pt idx="1">
                  <c:v>1.6</c:v>
                </c:pt>
                <c:pt idx="2">
                  <c:v>1.6</c:v>
                </c:pt>
                <c:pt idx="3">
                  <c:v>1.5</c:v>
                </c:pt>
                <c:pt idx="4">
                  <c:v>1.7</c:v>
                </c:pt>
                <c:pt idx="5">
                  <c:v>1.6</c:v>
                </c:pt>
                <c:pt idx="6">
                  <c:v>1.8</c:v>
                </c:pt>
                <c:pt idx="7">
                  <c:v>1.7</c:v>
                </c:pt>
                <c:pt idx="8">
                  <c:v>1.7</c:v>
                </c:pt>
                <c:pt idx="9">
                  <c:v>1.7</c:v>
                </c:pt>
                <c:pt idx="10">
                  <c:v>1.7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CD-4D7E-9A76-0223983CF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1029615"/>
        <c:axId val="531027119"/>
      </c:scatterChart>
      <c:valAx>
        <c:axId val="53102961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027119"/>
        <c:crosses val="autoZero"/>
        <c:crossBetween val="midCat"/>
      </c:valAx>
      <c:valAx>
        <c:axId val="531027119"/>
        <c:scaling>
          <c:orientation val="minMax"/>
          <c:max val="2"/>
          <c:min val="1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029615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600075</xdr:colOff>
      <xdr:row>5</xdr:row>
      <xdr:rowOff>157163</xdr:rowOff>
    </xdr:from>
    <xdr:to>
      <xdr:col>7</xdr:col>
      <xdr:colOff>142875</xdr:colOff>
      <xdr:row>14</xdr:row>
      <xdr:rowOff>38101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600075</xdr:colOff>
      <xdr:row>6</xdr:row>
      <xdr:rowOff>0</xdr:rowOff>
    </xdr:from>
    <xdr:to>
      <xdr:col>15</xdr:col>
      <xdr:colOff>142875</xdr:colOff>
      <xdr:row>14</xdr:row>
      <xdr:rowOff>71438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"/>
  <sheetViews>
    <sheetView workbookViewId="0">
      <selection activeCell="B2" sqref="B2"/>
    </sheetView>
  </sheetViews>
  <sheetFormatPr defaultRowHeight="15" x14ac:dyDescent="0.25"/>
  <cols>
    <col min="1" max="1" width="22.28515625" bestFit="1" customWidth="1"/>
    <col min="2" max="2" width="20.140625" bestFit="1" customWidth="1"/>
    <col min="3" max="3" width="6" bestFit="1" customWidth="1"/>
    <col min="4" max="5" width="7" bestFit="1" customWidth="1"/>
  </cols>
  <sheetData>
    <row r="1" spans="1:10" x14ac:dyDescent="0.25">
      <c r="A1" s="1" t="s">
        <v>114</v>
      </c>
      <c r="B1" s="1" t="s">
        <v>1</v>
      </c>
      <c r="C1" s="1" t="s">
        <v>2</v>
      </c>
      <c r="D1" s="1" t="s">
        <v>3</v>
      </c>
      <c r="E1" s="1" t="s">
        <v>9</v>
      </c>
      <c r="F1" s="1"/>
      <c r="G1" s="1"/>
      <c r="H1" s="1"/>
      <c r="I1" s="1"/>
      <c r="J1" s="1"/>
    </row>
    <row r="2" spans="1:10" x14ac:dyDescent="0.25">
      <c r="A2" t="s">
        <v>112</v>
      </c>
      <c r="B2" t="s">
        <v>113</v>
      </c>
      <c r="C2" t="s">
        <v>97</v>
      </c>
      <c r="D2">
        <v>1</v>
      </c>
      <c r="E2">
        <v>3</v>
      </c>
    </row>
    <row r="3" spans="1:10" x14ac:dyDescent="0.25">
      <c r="A3" t="s">
        <v>119</v>
      </c>
      <c r="B3" t="s">
        <v>113</v>
      </c>
      <c r="C3" t="s">
        <v>97</v>
      </c>
      <c r="D3">
        <v>1</v>
      </c>
      <c r="E3">
        <v>3</v>
      </c>
    </row>
    <row r="4" spans="1:10" x14ac:dyDescent="0.25">
      <c r="A4" t="s">
        <v>120</v>
      </c>
      <c r="B4" t="s">
        <v>113</v>
      </c>
      <c r="C4" t="s">
        <v>97</v>
      </c>
      <c r="D4">
        <v>1</v>
      </c>
      <c r="E4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59"/>
  <sheetViews>
    <sheetView topLeftCell="A93" workbookViewId="0">
      <selection activeCell="B97" sqref="B97"/>
    </sheetView>
  </sheetViews>
  <sheetFormatPr defaultRowHeight="15" x14ac:dyDescent="0.25"/>
  <cols>
    <col min="1" max="1" width="37" bestFit="1" customWidth="1"/>
    <col min="2" max="2" width="15.28515625" bestFit="1" customWidth="1"/>
    <col min="4" max="10" width="6.710937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A2" s="5" t="s">
        <v>92</v>
      </c>
      <c r="B2" s="5"/>
      <c r="C2" s="5"/>
      <c r="D2" s="5"/>
      <c r="E2" s="5"/>
      <c r="F2" s="5"/>
      <c r="G2" s="5"/>
      <c r="H2" s="5"/>
      <c r="I2" s="5"/>
      <c r="J2" s="5"/>
    </row>
    <row r="3" spans="1:10" x14ac:dyDescent="0.25">
      <c r="A3" s="1"/>
      <c r="B3" t="s">
        <v>10</v>
      </c>
      <c r="C3" s="2" t="s">
        <v>11</v>
      </c>
      <c r="D3" s="2">
        <v>1</v>
      </c>
      <c r="E3" s="3">
        <f>10642196/(5222847+5156448)</f>
        <v>1.0253293696729884</v>
      </c>
      <c r="F3" s="3">
        <f>10884214/(5222847+5156448)</f>
        <v>1.048646752982741</v>
      </c>
      <c r="G3" s="3">
        <f>11101837/(5222847+5156448)</f>
        <v>1.0696137839805111</v>
      </c>
      <c r="H3" s="3">
        <f>11328285/(5222847+5156448)</f>
        <v>1.0914310654047312</v>
      </c>
      <c r="I3" s="3">
        <f>11557052/(5222847+5156448)</f>
        <v>1.1134717724084342</v>
      </c>
      <c r="J3" s="3">
        <f>11761182/(5222847+5156448)</f>
        <v>1.1331388114510668</v>
      </c>
    </row>
    <row r="4" spans="1:10" x14ac:dyDescent="0.25">
      <c r="A4" s="5" t="s">
        <v>14</v>
      </c>
      <c r="B4" s="5"/>
      <c r="C4" s="5"/>
      <c r="D4" s="5"/>
      <c r="E4" s="5"/>
      <c r="F4" s="5"/>
      <c r="G4" s="5"/>
      <c r="H4" s="5"/>
      <c r="I4" s="5"/>
      <c r="J4" s="5"/>
    </row>
    <row r="5" spans="1:10" x14ac:dyDescent="0.25">
      <c r="A5" s="1"/>
      <c r="B5" s="9" t="s">
        <v>12</v>
      </c>
      <c r="C5" s="9" t="s">
        <v>11</v>
      </c>
      <c r="D5" s="9">
        <v>1</v>
      </c>
      <c r="E5" s="2"/>
      <c r="F5" s="2"/>
      <c r="G5" s="2"/>
      <c r="H5" s="2"/>
      <c r="I5" s="2"/>
      <c r="J5" s="2"/>
    </row>
    <row r="6" spans="1:10" x14ac:dyDescent="0.25">
      <c r="A6" s="6" t="s">
        <v>15</v>
      </c>
      <c r="B6" s="6"/>
      <c r="C6" s="6"/>
      <c r="D6" s="6"/>
      <c r="E6" s="6"/>
      <c r="F6" s="6"/>
      <c r="G6" s="6"/>
      <c r="H6" s="6"/>
      <c r="I6" s="6"/>
      <c r="J6" s="6"/>
    </row>
    <row r="7" spans="1:10" x14ac:dyDescent="0.25">
      <c r="A7" t="s">
        <v>16</v>
      </c>
      <c r="B7" t="s">
        <v>12</v>
      </c>
      <c r="C7" t="s">
        <v>11</v>
      </c>
      <c r="D7">
        <v>1</v>
      </c>
      <c r="E7" s="3"/>
      <c r="F7" s="3"/>
      <c r="G7" s="3"/>
      <c r="H7" s="3"/>
      <c r="I7" s="3"/>
      <c r="J7">
        <v>1</v>
      </c>
    </row>
    <row r="8" spans="1:10" x14ac:dyDescent="0.25">
      <c r="A8" t="s">
        <v>17</v>
      </c>
      <c r="B8" t="s">
        <v>12</v>
      </c>
      <c r="C8" t="s">
        <v>11</v>
      </c>
      <c r="D8">
        <v>1</v>
      </c>
      <c r="J8">
        <v>1</v>
      </c>
    </row>
    <row r="9" spans="1:10" x14ac:dyDescent="0.25">
      <c r="A9" t="s">
        <v>18</v>
      </c>
      <c r="B9" t="s">
        <v>12</v>
      </c>
      <c r="C9" t="s">
        <v>11</v>
      </c>
      <c r="D9">
        <v>1</v>
      </c>
      <c r="J9">
        <v>1</v>
      </c>
    </row>
    <row r="10" spans="1:10" x14ac:dyDescent="0.25">
      <c r="A10" t="s">
        <v>19</v>
      </c>
      <c r="B10" t="s">
        <v>12</v>
      </c>
      <c r="C10" t="s">
        <v>11</v>
      </c>
      <c r="D10">
        <v>1</v>
      </c>
      <c r="J10">
        <v>1</v>
      </c>
    </row>
    <row r="11" spans="1:10" x14ac:dyDescent="0.25">
      <c r="A11" t="s">
        <v>20</v>
      </c>
      <c r="B11" t="s">
        <v>12</v>
      </c>
      <c r="C11" t="s">
        <v>11</v>
      </c>
      <c r="D11">
        <v>1</v>
      </c>
      <c r="J11">
        <v>1</v>
      </c>
    </row>
    <row r="12" spans="1:10" x14ac:dyDescent="0.25">
      <c r="A12" t="s">
        <v>21</v>
      </c>
      <c r="B12" t="s">
        <v>12</v>
      </c>
      <c r="C12" t="s">
        <v>11</v>
      </c>
      <c r="D12">
        <v>1</v>
      </c>
      <c r="J12">
        <v>1</v>
      </c>
    </row>
    <row r="13" spans="1:10" x14ac:dyDescent="0.25">
      <c r="A13" t="s">
        <v>22</v>
      </c>
      <c r="B13" t="s">
        <v>12</v>
      </c>
      <c r="C13" t="s">
        <v>11</v>
      </c>
      <c r="D13">
        <v>1</v>
      </c>
      <c r="J13">
        <v>1</v>
      </c>
    </row>
    <row r="14" spans="1:10" x14ac:dyDescent="0.25">
      <c r="A14" t="s">
        <v>23</v>
      </c>
      <c r="B14" t="s">
        <v>12</v>
      </c>
      <c r="C14" t="s">
        <v>11</v>
      </c>
      <c r="D14">
        <v>1</v>
      </c>
      <c r="J14">
        <v>1</v>
      </c>
    </row>
    <row r="15" spans="1:10" x14ac:dyDescent="0.25">
      <c r="A15" t="s">
        <v>24</v>
      </c>
      <c r="B15" t="s">
        <v>12</v>
      </c>
      <c r="C15" t="s">
        <v>11</v>
      </c>
      <c r="D15">
        <v>1</v>
      </c>
      <c r="J15">
        <v>1</v>
      </c>
    </row>
    <row r="16" spans="1:10" x14ac:dyDescent="0.25">
      <c r="A16" t="s">
        <v>25</v>
      </c>
      <c r="B16" t="s">
        <v>12</v>
      </c>
      <c r="C16" t="s">
        <v>11</v>
      </c>
      <c r="D16">
        <v>1</v>
      </c>
      <c r="J16">
        <v>1</v>
      </c>
    </row>
    <row r="17" spans="1:10" x14ac:dyDescent="0.25">
      <c r="A17" s="4" t="s">
        <v>26</v>
      </c>
      <c r="B17" t="s">
        <v>12</v>
      </c>
      <c r="C17" t="s">
        <v>11</v>
      </c>
      <c r="D17">
        <v>1</v>
      </c>
      <c r="J17">
        <v>1</v>
      </c>
    </row>
    <row r="18" spans="1:10" x14ac:dyDescent="0.25">
      <c r="A18" s="4" t="s">
        <v>27</v>
      </c>
      <c r="B18" t="s">
        <v>12</v>
      </c>
      <c r="C18" t="s">
        <v>11</v>
      </c>
      <c r="D18">
        <v>1</v>
      </c>
      <c r="J18">
        <v>1</v>
      </c>
    </row>
    <row r="19" spans="1:10" x14ac:dyDescent="0.25">
      <c r="A19" s="6" t="s">
        <v>28</v>
      </c>
      <c r="B19" s="6"/>
      <c r="C19" s="6"/>
      <c r="D19" s="6"/>
      <c r="E19" s="6"/>
      <c r="F19" s="6"/>
      <c r="G19" s="6"/>
      <c r="H19" s="6"/>
      <c r="I19" s="6"/>
      <c r="J19" s="6"/>
    </row>
    <row r="20" spans="1:10" x14ac:dyDescent="0.25">
      <c r="A20" s="7" t="s">
        <v>29</v>
      </c>
      <c r="B20" t="s">
        <v>12</v>
      </c>
      <c r="C20" t="s">
        <v>11</v>
      </c>
      <c r="D20">
        <v>1</v>
      </c>
      <c r="J20">
        <v>1</v>
      </c>
    </row>
    <row r="21" spans="1:10" x14ac:dyDescent="0.25">
      <c r="A21" s="7" t="s">
        <v>30</v>
      </c>
      <c r="B21" t="s">
        <v>12</v>
      </c>
      <c r="C21" t="s">
        <v>11</v>
      </c>
      <c r="D21">
        <v>1</v>
      </c>
      <c r="J21">
        <v>1</v>
      </c>
    </row>
    <row r="22" spans="1:10" x14ac:dyDescent="0.25">
      <c r="A22" s="7" t="s">
        <v>31</v>
      </c>
      <c r="B22" t="s">
        <v>12</v>
      </c>
      <c r="C22" t="s">
        <v>11</v>
      </c>
      <c r="D22">
        <v>1</v>
      </c>
      <c r="J22">
        <v>1</v>
      </c>
    </row>
    <row r="23" spans="1:10" x14ac:dyDescent="0.25">
      <c r="A23" s="7" t="s">
        <v>32</v>
      </c>
      <c r="B23" t="s">
        <v>12</v>
      </c>
      <c r="C23" t="s">
        <v>11</v>
      </c>
      <c r="D23">
        <v>1</v>
      </c>
      <c r="J23">
        <v>1</v>
      </c>
    </row>
    <row r="24" spans="1:10" x14ac:dyDescent="0.25">
      <c r="A24" s="6" t="s">
        <v>33</v>
      </c>
      <c r="B24" s="6"/>
      <c r="C24" s="6"/>
      <c r="D24" s="6"/>
      <c r="E24" s="6"/>
      <c r="F24" s="6"/>
      <c r="G24" s="6"/>
      <c r="H24" s="6"/>
      <c r="I24" s="6"/>
      <c r="J24" s="6"/>
    </row>
    <row r="25" spans="1:10" x14ac:dyDescent="0.25">
      <c r="A25" s="7" t="s">
        <v>34</v>
      </c>
      <c r="B25" t="s">
        <v>12</v>
      </c>
      <c r="C25" t="s">
        <v>11</v>
      </c>
      <c r="D25">
        <v>1</v>
      </c>
      <c r="J25">
        <v>2</v>
      </c>
    </row>
    <row r="26" spans="1:10" x14ac:dyDescent="0.25">
      <c r="A26" s="7" t="s">
        <v>35</v>
      </c>
      <c r="B26" t="s">
        <v>12</v>
      </c>
      <c r="C26" t="s">
        <v>11</v>
      </c>
      <c r="D26">
        <v>1</v>
      </c>
      <c r="J26">
        <v>2</v>
      </c>
    </row>
    <row r="27" spans="1:10" x14ac:dyDescent="0.25">
      <c r="A27" s="7" t="s">
        <v>36</v>
      </c>
      <c r="B27" t="s">
        <v>12</v>
      </c>
      <c r="C27" t="s">
        <v>11</v>
      </c>
      <c r="D27">
        <v>1</v>
      </c>
      <c r="J27">
        <v>2</v>
      </c>
    </row>
    <row r="28" spans="1:10" x14ac:dyDescent="0.25">
      <c r="A28" s="7" t="s">
        <v>37</v>
      </c>
      <c r="B28" t="s">
        <v>12</v>
      </c>
      <c r="C28" t="s">
        <v>11</v>
      </c>
      <c r="D28">
        <v>1</v>
      </c>
      <c r="J28">
        <v>2</v>
      </c>
    </row>
    <row r="29" spans="1:10" x14ac:dyDescent="0.25">
      <c r="A29" s="7" t="s">
        <v>38</v>
      </c>
      <c r="B29" t="s">
        <v>12</v>
      </c>
      <c r="C29" t="s">
        <v>11</v>
      </c>
      <c r="D29">
        <v>1</v>
      </c>
      <c r="J29">
        <v>2</v>
      </c>
    </row>
    <row r="30" spans="1:10" x14ac:dyDescent="0.25">
      <c r="A30" s="7" t="s">
        <v>39</v>
      </c>
      <c r="B30" t="s">
        <v>12</v>
      </c>
      <c r="C30" t="s">
        <v>11</v>
      </c>
      <c r="D30">
        <v>1</v>
      </c>
      <c r="J30">
        <v>2</v>
      </c>
    </row>
    <row r="31" spans="1:10" x14ac:dyDescent="0.25">
      <c r="A31" s="7" t="s">
        <v>40</v>
      </c>
      <c r="B31" t="s">
        <v>12</v>
      </c>
      <c r="C31" t="s">
        <v>11</v>
      </c>
      <c r="D31">
        <v>1</v>
      </c>
      <c r="J31">
        <v>1.5</v>
      </c>
    </row>
    <row r="32" spans="1:10" x14ac:dyDescent="0.25">
      <c r="A32" s="7" t="s">
        <v>41</v>
      </c>
      <c r="B32" t="s">
        <v>12</v>
      </c>
      <c r="C32" t="s">
        <v>11</v>
      </c>
      <c r="D32">
        <v>1</v>
      </c>
      <c r="J32">
        <v>2</v>
      </c>
    </row>
    <row r="33" spans="1:10" x14ac:dyDescent="0.25">
      <c r="A33" s="7" t="s">
        <v>42</v>
      </c>
      <c r="B33" t="s">
        <v>12</v>
      </c>
      <c r="C33" t="s">
        <v>11</v>
      </c>
      <c r="D33">
        <v>1</v>
      </c>
      <c r="J33">
        <v>2</v>
      </c>
    </row>
    <row r="34" spans="1:10" x14ac:dyDescent="0.25">
      <c r="A34" s="7" t="s">
        <v>43</v>
      </c>
      <c r="B34" t="s">
        <v>12</v>
      </c>
      <c r="C34" t="s">
        <v>11</v>
      </c>
      <c r="D34">
        <v>1</v>
      </c>
      <c r="J34">
        <v>2</v>
      </c>
    </row>
    <row r="35" spans="1:10" x14ac:dyDescent="0.25">
      <c r="A35" s="7"/>
    </row>
    <row r="36" spans="1:10" x14ac:dyDescent="0.25">
      <c r="A36" s="6" t="s">
        <v>44</v>
      </c>
      <c r="B36" s="6"/>
      <c r="C36" s="6"/>
      <c r="D36" s="6"/>
      <c r="E36" s="6"/>
      <c r="F36" s="6"/>
      <c r="G36" s="6"/>
      <c r="H36" s="6"/>
      <c r="I36" s="6"/>
      <c r="J36" s="6"/>
    </row>
    <row r="37" spans="1:10" x14ac:dyDescent="0.25">
      <c r="A37" s="7" t="s">
        <v>45</v>
      </c>
      <c r="B37" t="s">
        <v>12</v>
      </c>
      <c r="C37" t="s">
        <v>11</v>
      </c>
      <c r="D37">
        <v>1</v>
      </c>
      <c r="J37">
        <v>3</v>
      </c>
    </row>
    <row r="38" spans="1:10" x14ac:dyDescent="0.25">
      <c r="A38" s="7" t="s">
        <v>46</v>
      </c>
      <c r="B38" t="s">
        <v>12</v>
      </c>
      <c r="C38" t="s">
        <v>11</v>
      </c>
      <c r="D38">
        <v>1</v>
      </c>
      <c r="J38">
        <v>3</v>
      </c>
    </row>
    <row r="39" spans="1:10" x14ac:dyDescent="0.25">
      <c r="A39" s="7" t="s">
        <v>47</v>
      </c>
      <c r="B39" t="s">
        <v>12</v>
      </c>
      <c r="C39" t="s">
        <v>11</v>
      </c>
      <c r="D39">
        <v>1</v>
      </c>
      <c r="J39">
        <v>3</v>
      </c>
    </row>
    <row r="40" spans="1:10" x14ac:dyDescent="0.25">
      <c r="A40" s="7" t="s">
        <v>48</v>
      </c>
      <c r="B40" t="s">
        <v>12</v>
      </c>
      <c r="C40" t="s">
        <v>11</v>
      </c>
      <c r="D40">
        <v>1</v>
      </c>
      <c r="J40">
        <v>3</v>
      </c>
    </row>
    <row r="41" spans="1:10" x14ac:dyDescent="0.25">
      <c r="A41" s="7" t="s">
        <v>49</v>
      </c>
      <c r="B41" t="s">
        <v>12</v>
      </c>
      <c r="C41" t="s">
        <v>11</v>
      </c>
      <c r="D41">
        <v>1</v>
      </c>
      <c r="J41">
        <v>2</v>
      </c>
    </row>
    <row r="42" spans="1:10" x14ac:dyDescent="0.25">
      <c r="A42" s="7" t="s">
        <v>50</v>
      </c>
      <c r="B42" t="s">
        <v>12</v>
      </c>
      <c r="C42" t="s">
        <v>11</v>
      </c>
      <c r="D42">
        <v>1</v>
      </c>
      <c r="J42">
        <v>2</v>
      </c>
    </row>
    <row r="43" spans="1:10" x14ac:dyDescent="0.25">
      <c r="A43" s="7" t="s">
        <v>51</v>
      </c>
      <c r="B43" t="s">
        <v>12</v>
      </c>
      <c r="C43" t="s">
        <v>11</v>
      </c>
      <c r="D43">
        <v>1</v>
      </c>
      <c r="J43">
        <v>2</v>
      </c>
    </row>
    <row r="44" spans="1:10" x14ac:dyDescent="0.25">
      <c r="A44" s="7" t="s">
        <v>52</v>
      </c>
      <c r="B44" t="s">
        <v>12</v>
      </c>
      <c r="C44" t="s">
        <v>11</v>
      </c>
      <c r="D44">
        <v>1</v>
      </c>
      <c r="J44">
        <v>2</v>
      </c>
    </row>
    <row r="45" spans="1:10" x14ac:dyDescent="0.25">
      <c r="A45" s="6" t="s">
        <v>53</v>
      </c>
      <c r="B45" s="6"/>
      <c r="C45" s="6"/>
      <c r="D45" s="6"/>
      <c r="E45" s="6"/>
      <c r="F45" s="6"/>
      <c r="G45" s="6"/>
      <c r="H45" s="6"/>
      <c r="I45" s="6"/>
      <c r="J45" s="6"/>
    </row>
    <row r="46" spans="1:10" x14ac:dyDescent="0.25">
      <c r="A46" s="4" t="s">
        <v>54</v>
      </c>
      <c r="B46" t="s">
        <v>12</v>
      </c>
      <c r="C46" t="s">
        <v>11</v>
      </c>
      <c r="D46">
        <v>1</v>
      </c>
      <c r="J46" s="3">
        <f>2/3</f>
        <v>0.66666666666666663</v>
      </c>
    </row>
    <row r="47" spans="1:10" x14ac:dyDescent="0.25">
      <c r="A47" s="4" t="s">
        <v>55</v>
      </c>
      <c r="B47" t="s">
        <v>12</v>
      </c>
      <c r="C47" t="s">
        <v>11</v>
      </c>
      <c r="D47">
        <v>1</v>
      </c>
      <c r="J47" s="3">
        <f t="shared" ref="J47:J58" si="0">2/3</f>
        <v>0.66666666666666663</v>
      </c>
    </row>
    <row r="48" spans="1:10" x14ac:dyDescent="0.25">
      <c r="A48" s="4" t="s">
        <v>56</v>
      </c>
      <c r="B48" t="s">
        <v>12</v>
      </c>
      <c r="C48" t="s">
        <v>11</v>
      </c>
      <c r="D48">
        <v>1</v>
      </c>
      <c r="J48" s="3">
        <f t="shared" si="0"/>
        <v>0.66666666666666663</v>
      </c>
    </row>
    <row r="49" spans="1:10" x14ac:dyDescent="0.25">
      <c r="A49" s="4" t="s">
        <v>57</v>
      </c>
      <c r="B49" t="s">
        <v>12</v>
      </c>
      <c r="C49" t="s">
        <v>11</v>
      </c>
      <c r="D49">
        <v>1</v>
      </c>
      <c r="J49" s="3">
        <f t="shared" si="0"/>
        <v>0.66666666666666663</v>
      </c>
    </row>
    <row r="50" spans="1:10" x14ac:dyDescent="0.25">
      <c r="A50" s="4" t="s">
        <v>58</v>
      </c>
      <c r="B50" t="s">
        <v>12</v>
      </c>
      <c r="C50" t="s">
        <v>11</v>
      </c>
      <c r="D50">
        <v>1</v>
      </c>
      <c r="J50" s="3">
        <f t="shared" si="0"/>
        <v>0.66666666666666663</v>
      </c>
    </row>
    <row r="51" spans="1:10" x14ac:dyDescent="0.25">
      <c r="A51" s="4" t="s">
        <v>59</v>
      </c>
      <c r="B51" t="s">
        <v>12</v>
      </c>
      <c r="C51" t="s">
        <v>11</v>
      </c>
      <c r="D51">
        <v>1</v>
      </c>
      <c r="J51" s="3">
        <f t="shared" si="0"/>
        <v>0.66666666666666663</v>
      </c>
    </row>
    <row r="52" spans="1:10" x14ac:dyDescent="0.25">
      <c r="A52" s="4" t="s">
        <v>60</v>
      </c>
      <c r="B52" t="s">
        <v>12</v>
      </c>
      <c r="C52" t="s">
        <v>11</v>
      </c>
      <c r="D52">
        <v>1</v>
      </c>
      <c r="J52" s="3">
        <f t="shared" si="0"/>
        <v>0.66666666666666663</v>
      </c>
    </row>
    <row r="53" spans="1:10" x14ac:dyDescent="0.25">
      <c r="A53" s="4" t="s">
        <v>61</v>
      </c>
      <c r="B53" t="s">
        <v>12</v>
      </c>
      <c r="C53" t="s">
        <v>11</v>
      </c>
      <c r="D53">
        <v>1</v>
      </c>
      <c r="J53" s="3">
        <f t="shared" si="0"/>
        <v>0.66666666666666663</v>
      </c>
    </row>
    <row r="54" spans="1:10" x14ac:dyDescent="0.25">
      <c r="A54" s="4" t="s">
        <v>62</v>
      </c>
      <c r="B54" t="s">
        <v>12</v>
      </c>
      <c r="C54" t="s">
        <v>11</v>
      </c>
      <c r="D54">
        <v>1</v>
      </c>
      <c r="J54" s="3">
        <f t="shared" si="0"/>
        <v>0.66666666666666663</v>
      </c>
    </row>
    <row r="55" spans="1:10" x14ac:dyDescent="0.25">
      <c r="A55" s="6" t="s">
        <v>63</v>
      </c>
      <c r="B55" s="6"/>
      <c r="C55" s="6"/>
      <c r="D55" s="6"/>
      <c r="E55" s="6"/>
      <c r="F55" s="6"/>
      <c r="G55" s="6"/>
      <c r="H55" s="6"/>
      <c r="I55" s="6"/>
      <c r="J55" s="6"/>
    </row>
    <row r="56" spans="1:10" x14ac:dyDescent="0.25">
      <c r="A56" t="s">
        <v>13</v>
      </c>
      <c r="B56" t="s">
        <v>12</v>
      </c>
      <c r="C56" t="s">
        <v>11</v>
      </c>
      <c r="D56">
        <v>1</v>
      </c>
      <c r="J56" s="3">
        <f t="shared" si="0"/>
        <v>0.66666666666666663</v>
      </c>
    </row>
    <row r="57" spans="1:10" x14ac:dyDescent="0.25">
      <c r="A57" t="s">
        <v>64</v>
      </c>
      <c r="B57" t="s">
        <v>12</v>
      </c>
      <c r="C57" t="s">
        <v>11</v>
      </c>
      <c r="D57">
        <v>1</v>
      </c>
      <c r="J57" s="3">
        <f t="shared" si="0"/>
        <v>0.66666666666666663</v>
      </c>
    </row>
    <row r="58" spans="1:10" x14ac:dyDescent="0.25">
      <c r="A58" t="s">
        <v>65</v>
      </c>
      <c r="B58" t="s">
        <v>12</v>
      </c>
      <c r="C58" t="s">
        <v>11</v>
      </c>
      <c r="D58">
        <v>1</v>
      </c>
      <c r="J58" s="3">
        <f t="shared" si="0"/>
        <v>0.66666666666666663</v>
      </c>
    </row>
    <row r="59" spans="1:10" x14ac:dyDescent="0.25">
      <c r="A59" s="6" t="s">
        <v>66</v>
      </c>
      <c r="B59" s="6"/>
      <c r="C59" s="6"/>
      <c r="D59" s="6"/>
      <c r="E59" s="6"/>
      <c r="F59" s="6"/>
      <c r="G59" s="6"/>
      <c r="H59" s="6"/>
      <c r="I59" s="6"/>
      <c r="J59" s="6"/>
    </row>
    <row r="60" spans="1:10" x14ac:dyDescent="0.25">
      <c r="A60" t="s">
        <v>66</v>
      </c>
      <c r="B60" t="s">
        <v>12</v>
      </c>
      <c r="C60" t="s">
        <v>11</v>
      </c>
      <c r="D60">
        <v>1</v>
      </c>
      <c r="J60" s="3">
        <f>25/29.3</f>
        <v>0.85324232081911255</v>
      </c>
    </row>
    <row r="61" spans="1:10" x14ac:dyDescent="0.25">
      <c r="A61" s="6" t="s">
        <v>67</v>
      </c>
      <c r="B61" s="6"/>
      <c r="C61" s="6"/>
      <c r="D61" s="6"/>
      <c r="E61" s="6"/>
      <c r="F61" s="6"/>
      <c r="G61" s="6"/>
      <c r="H61" s="6"/>
      <c r="I61" s="6"/>
      <c r="J61" s="6"/>
    </row>
    <row r="62" spans="1:10" x14ac:dyDescent="0.25">
      <c r="A62" s="6" t="s">
        <v>68</v>
      </c>
      <c r="B62" s="6"/>
      <c r="C62" s="6"/>
      <c r="D62" s="6"/>
      <c r="E62" s="6"/>
      <c r="F62" s="6"/>
      <c r="G62" s="6"/>
      <c r="H62" s="6"/>
      <c r="I62" s="6"/>
      <c r="J62" s="6"/>
    </row>
    <row r="63" spans="1:10" x14ac:dyDescent="0.25">
      <c r="A63" t="s">
        <v>69</v>
      </c>
      <c r="B63" t="s">
        <v>12</v>
      </c>
      <c r="C63" t="s">
        <v>11</v>
      </c>
      <c r="D63">
        <v>1</v>
      </c>
      <c r="J63">
        <v>2</v>
      </c>
    </row>
    <row r="64" spans="1:10" x14ac:dyDescent="0.25">
      <c r="A64" s="8" t="s">
        <v>70</v>
      </c>
      <c r="B64" t="s">
        <v>12</v>
      </c>
      <c r="C64" t="s">
        <v>11</v>
      </c>
      <c r="D64">
        <v>1</v>
      </c>
      <c r="J64">
        <v>2</v>
      </c>
    </row>
    <row r="65" spans="1:10" x14ac:dyDescent="0.25">
      <c r="A65" s="8" t="s">
        <v>71</v>
      </c>
      <c r="B65" t="s">
        <v>12</v>
      </c>
      <c r="C65" t="s">
        <v>11</v>
      </c>
      <c r="D65">
        <v>1</v>
      </c>
      <c r="J65">
        <v>2</v>
      </c>
    </row>
    <row r="66" spans="1:10" x14ac:dyDescent="0.25">
      <c r="A66" s="8" t="s">
        <v>72</v>
      </c>
      <c r="B66" t="s">
        <v>12</v>
      </c>
      <c r="C66" t="s">
        <v>11</v>
      </c>
      <c r="D66">
        <v>1</v>
      </c>
      <c r="J66">
        <v>2</v>
      </c>
    </row>
    <row r="67" spans="1:10" x14ac:dyDescent="0.25">
      <c r="A67" s="8" t="s">
        <v>73</v>
      </c>
      <c r="B67" t="s">
        <v>12</v>
      </c>
      <c r="C67" t="s">
        <v>11</v>
      </c>
      <c r="D67">
        <v>1</v>
      </c>
      <c r="J67">
        <v>2</v>
      </c>
    </row>
    <row r="68" spans="1:10" x14ac:dyDescent="0.25">
      <c r="A68" s="6" t="s">
        <v>74</v>
      </c>
      <c r="B68" s="6"/>
      <c r="C68" s="6"/>
      <c r="D68" s="6"/>
      <c r="E68" s="6"/>
      <c r="F68" s="6"/>
      <c r="G68" s="6"/>
      <c r="H68" s="6"/>
      <c r="I68" s="6"/>
      <c r="J68" s="6"/>
    </row>
    <row r="69" spans="1:10" x14ac:dyDescent="0.25">
      <c r="A69" s="6" t="s">
        <v>75</v>
      </c>
      <c r="B69" s="6"/>
      <c r="C69" s="6"/>
      <c r="D69" s="6"/>
      <c r="E69" s="6"/>
      <c r="F69" s="6"/>
      <c r="G69" s="6"/>
      <c r="H69" s="6"/>
      <c r="I69" s="6"/>
      <c r="J69" s="6"/>
    </row>
    <row r="70" spans="1:10" x14ac:dyDescent="0.25">
      <c r="A70" t="s">
        <v>76</v>
      </c>
      <c r="B70" t="s">
        <v>12</v>
      </c>
      <c r="C70" t="s">
        <v>11</v>
      </c>
      <c r="D70">
        <v>1</v>
      </c>
      <c r="J70">
        <v>2</v>
      </c>
    </row>
    <row r="71" spans="1:10" x14ac:dyDescent="0.25">
      <c r="A71" t="s">
        <v>77</v>
      </c>
      <c r="B71" t="s">
        <v>12</v>
      </c>
      <c r="C71" t="s">
        <v>11</v>
      </c>
      <c r="D71">
        <v>1</v>
      </c>
      <c r="J71">
        <v>1</v>
      </c>
    </row>
    <row r="72" spans="1:10" x14ac:dyDescent="0.25">
      <c r="A72" t="s">
        <v>78</v>
      </c>
      <c r="B72" t="s">
        <v>12</v>
      </c>
      <c r="C72" t="s">
        <v>11</v>
      </c>
      <c r="D72">
        <v>1</v>
      </c>
      <c r="J72">
        <v>1</v>
      </c>
    </row>
    <row r="73" spans="1:10" x14ac:dyDescent="0.25">
      <c r="A73" s="6" t="s">
        <v>79</v>
      </c>
      <c r="B73" s="6"/>
      <c r="C73" s="6"/>
      <c r="D73" s="6"/>
      <c r="E73" s="6"/>
      <c r="F73" s="6"/>
      <c r="G73" s="6"/>
      <c r="H73" s="6"/>
      <c r="I73" s="6"/>
      <c r="J73" s="6"/>
    </row>
    <row r="74" spans="1:10" x14ac:dyDescent="0.25">
      <c r="A74" t="s">
        <v>80</v>
      </c>
      <c r="B74" t="s">
        <v>12</v>
      </c>
      <c r="C74" t="s">
        <v>11</v>
      </c>
      <c r="D74">
        <v>1</v>
      </c>
      <c r="J74" s="3">
        <f>1/3</f>
        <v>0.33333333333333331</v>
      </c>
    </row>
    <row r="75" spans="1:10" x14ac:dyDescent="0.25">
      <c r="A75" t="s">
        <v>81</v>
      </c>
      <c r="B75" t="s">
        <v>12</v>
      </c>
      <c r="C75" t="s">
        <v>11</v>
      </c>
      <c r="D75">
        <v>1</v>
      </c>
      <c r="J75" s="3">
        <f t="shared" ref="J75:J76" si="1">1/3</f>
        <v>0.33333333333333331</v>
      </c>
    </row>
    <row r="76" spans="1:10" x14ac:dyDescent="0.25">
      <c r="A76" t="s">
        <v>82</v>
      </c>
      <c r="B76" t="s">
        <v>12</v>
      </c>
      <c r="C76" t="s">
        <v>11</v>
      </c>
      <c r="D76">
        <v>1</v>
      </c>
      <c r="J76" s="3">
        <f t="shared" si="1"/>
        <v>0.33333333333333331</v>
      </c>
    </row>
    <row r="77" spans="1:10" x14ac:dyDescent="0.25">
      <c r="A77" s="6" t="s">
        <v>83</v>
      </c>
      <c r="B77" s="6"/>
      <c r="C77" s="6"/>
      <c r="D77" s="6"/>
      <c r="E77" s="6"/>
      <c r="F77" s="6"/>
      <c r="G77" s="6"/>
      <c r="H77" s="6"/>
      <c r="I77" s="6"/>
      <c r="J77" s="6"/>
    </row>
    <row r="78" spans="1:10" x14ac:dyDescent="0.25">
      <c r="A78" t="s">
        <v>84</v>
      </c>
      <c r="B78" t="s">
        <v>12</v>
      </c>
      <c r="C78" t="s">
        <v>11</v>
      </c>
      <c r="D78">
        <v>1</v>
      </c>
      <c r="J78" s="3">
        <f>2/3</f>
        <v>0.66666666666666663</v>
      </c>
    </row>
    <row r="79" spans="1:10" x14ac:dyDescent="0.25">
      <c r="A79" t="s">
        <v>85</v>
      </c>
      <c r="B79" t="s">
        <v>12</v>
      </c>
      <c r="C79" t="s">
        <v>11</v>
      </c>
      <c r="D79">
        <v>1</v>
      </c>
      <c r="J79" s="3">
        <f>2/3</f>
        <v>0.66666666666666663</v>
      </c>
    </row>
    <row r="80" spans="1:10" x14ac:dyDescent="0.25">
      <c r="A80" t="s">
        <v>86</v>
      </c>
      <c r="B80" t="s">
        <v>12</v>
      </c>
      <c r="C80" t="s">
        <v>11</v>
      </c>
      <c r="D80">
        <v>1</v>
      </c>
      <c r="J80" s="3">
        <f>2/3</f>
        <v>0.66666666666666663</v>
      </c>
    </row>
    <row r="81" spans="1:10" x14ac:dyDescent="0.25">
      <c r="A81" t="s">
        <v>87</v>
      </c>
      <c r="B81" t="s">
        <v>12</v>
      </c>
      <c r="C81" t="s">
        <v>11</v>
      </c>
      <c r="D81">
        <v>1</v>
      </c>
      <c r="J81" s="3">
        <f>2/3</f>
        <v>0.66666666666666663</v>
      </c>
    </row>
    <row r="82" spans="1:10" x14ac:dyDescent="0.25">
      <c r="A82" s="6" t="s">
        <v>88</v>
      </c>
      <c r="B82" s="6"/>
      <c r="C82" s="6"/>
      <c r="D82" s="6"/>
      <c r="E82" s="6"/>
      <c r="F82" s="6"/>
      <c r="G82" s="6"/>
      <c r="H82" s="6"/>
      <c r="I82" s="6"/>
      <c r="J82" s="6"/>
    </row>
    <row r="83" spans="1:10" x14ac:dyDescent="0.25">
      <c r="A83" s="6" t="s">
        <v>89</v>
      </c>
      <c r="B83" s="6"/>
      <c r="C83" s="6"/>
      <c r="D83" s="6"/>
      <c r="E83" s="6"/>
      <c r="F83" s="6"/>
      <c r="G83" s="6"/>
      <c r="H83" s="6"/>
      <c r="I83" s="6"/>
      <c r="J83" s="6"/>
    </row>
    <row r="84" spans="1:10" x14ac:dyDescent="0.25">
      <c r="A84" s="6" t="s">
        <v>90</v>
      </c>
      <c r="B84" s="6"/>
      <c r="C84" s="6"/>
      <c r="D84" s="6"/>
      <c r="E84" s="6"/>
      <c r="F84" s="6"/>
      <c r="G84" s="6"/>
      <c r="H84" s="6"/>
      <c r="I84" s="6"/>
      <c r="J84" s="6"/>
    </row>
    <row r="85" spans="1:10" x14ac:dyDescent="0.25">
      <c r="A85" s="6" t="s">
        <v>91</v>
      </c>
      <c r="B85" s="6"/>
      <c r="C85" s="6"/>
      <c r="D85" s="6"/>
      <c r="E85" s="6"/>
      <c r="F85" s="6"/>
      <c r="G85" s="6"/>
      <c r="H85" s="6"/>
      <c r="I85" s="6"/>
      <c r="J85" s="6"/>
    </row>
    <row r="87" spans="1:10" x14ac:dyDescent="0.25">
      <c r="A87" s="5" t="s">
        <v>93</v>
      </c>
      <c r="B87" s="5"/>
      <c r="C87" s="5"/>
      <c r="D87" s="5"/>
      <c r="E87" s="5"/>
      <c r="F87" s="5"/>
      <c r="G87" s="5"/>
      <c r="H87" s="5"/>
      <c r="I87" s="5"/>
      <c r="J87" s="5"/>
    </row>
    <row r="88" spans="1:10" x14ac:dyDescent="0.25">
      <c r="B88" s="9" t="s">
        <v>96</v>
      </c>
      <c r="C88" s="9" t="s">
        <v>11</v>
      </c>
      <c r="D88" s="9">
        <v>1</v>
      </c>
    </row>
    <row r="89" spans="1:10" x14ac:dyDescent="0.25">
      <c r="A89" s="6" t="s">
        <v>15</v>
      </c>
      <c r="B89" s="6"/>
      <c r="C89" s="6"/>
      <c r="D89" s="10"/>
      <c r="E89" s="6"/>
      <c r="F89" s="6"/>
      <c r="G89" s="6"/>
      <c r="H89" s="6"/>
      <c r="I89" s="6"/>
      <c r="J89" s="6"/>
    </row>
    <row r="90" spans="1:10" x14ac:dyDescent="0.25">
      <c r="A90" t="s">
        <v>16</v>
      </c>
      <c r="B90" t="s">
        <v>96</v>
      </c>
      <c r="C90" t="s">
        <v>97</v>
      </c>
      <c r="D90">
        <v>22</v>
      </c>
      <c r="J90">
        <f>D90-10</f>
        <v>12</v>
      </c>
    </row>
    <row r="91" spans="1:10" x14ac:dyDescent="0.25">
      <c r="A91" t="s">
        <v>17</v>
      </c>
      <c r="B91" t="s">
        <v>96</v>
      </c>
      <c r="C91" t="s">
        <v>97</v>
      </c>
      <c r="D91" s="11">
        <f>D90</f>
        <v>22</v>
      </c>
      <c r="J91">
        <f>D91-10</f>
        <v>12</v>
      </c>
    </row>
    <row r="92" spans="1:10" x14ac:dyDescent="0.25">
      <c r="A92" t="s">
        <v>18</v>
      </c>
      <c r="B92" t="s">
        <v>96</v>
      </c>
      <c r="C92" t="s">
        <v>97</v>
      </c>
      <c r="D92">
        <v>100</v>
      </c>
      <c r="J92">
        <v>100</v>
      </c>
    </row>
    <row r="93" spans="1:10" x14ac:dyDescent="0.25">
      <c r="A93" t="s">
        <v>19</v>
      </c>
      <c r="B93" t="s">
        <v>96</v>
      </c>
      <c r="C93" t="s">
        <v>97</v>
      </c>
      <c r="D93">
        <v>4</v>
      </c>
      <c r="J93">
        <v>0</v>
      </c>
    </row>
    <row r="94" spans="1:10" x14ac:dyDescent="0.25">
      <c r="A94" t="s">
        <v>20</v>
      </c>
      <c r="B94" t="s">
        <v>96</v>
      </c>
      <c r="C94" t="s">
        <v>97</v>
      </c>
      <c r="D94" s="11">
        <f>D93</f>
        <v>4</v>
      </c>
      <c r="J94">
        <v>0</v>
      </c>
    </row>
    <row r="95" spans="1:10" x14ac:dyDescent="0.25">
      <c r="A95" t="s">
        <v>21</v>
      </c>
      <c r="B95" t="s">
        <v>96</v>
      </c>
      <c r="C95" t="s">
        <v>97</v>
      </c>
      <c r="D95">
        <v>100</v>
      </c>
      <c r="J95">
        <f>D95-10</f>
        <v>90</v>
      </c>
    </row>
    <row r="96" spans="1:10" x14ac:dyDescent="0.25">
      <c r="A96" t="s">
        <v>22</v>
      </c>
      <c r="B96" t="s">
        <v>96</v>
      </c>
      <c r="C96" t="s">
        <v>97</v>
      </c>
      <c r="D96">
        <v>8</v>
      </c>
      <c r="J96">
        <v>0</v>
      </c>
    </row>
    <row r="97" spans="1:10" x14ac:dyDescent="0.25">
      <c r="A97" t="s">
        <v>23</v>
      </c>
      <c r="B97" t="s">
        <v>96</v>
      </c>
      <c r="C97" t="s">
        <v>97</v>
      </c>
      <c r="D97" s="11">
        <f>D96</f>
        <v>8</v>
      </c>
      <c r="J97">
        <v>0</v>
      </c>
    </row>
    <row r="98" spans="1:10" x14ac:dyDescent="0.25">
      <c r="A98" t="s">
        <v>24</v>
      </c>
      <c r="B98" t="s">
        <v>96</v>
      </c>
      <c r="C98" t="s">
        <v>97</v>
      </c>
      <c r="D98">
        <v>1</v>
      </c>
      <c r="J98">
        <v>0</v>
      </c>
    </row>
    <row r="99" spans="1:10" x14ac:dyDescent="0.25">
      <c r="A99" t="s">
        <v>25</v>
      </c>
      <c r="B99" t="s">
        <v>96</v>
      </c>
      <c r="C99" t="s">
        <v>97</v>
      </c>
      <c r="D99" s="11">
        <f>D98</f>
        <v>1</v>
      </c>
      <c r="J99">
        <v>0</v>
      </c>
    </row>
    <row r="100" spans="1:10" x14ac:dyDescent="0.25">
      <c r="A100" t="s">
        <v>26</v>
      </c>
      <c r="B100" t="s">
        <v>96</v>
      </c>
      <c r="C100" t="s">
        <v>97</v>
      </c>
      <c r="D100" s="4">
        <v>22</v>
      </c>
      <c r="J100">
        <f>D100-10</f>
        <v>12</v>
      </c>
    </row>
    <row r="101" spans="1:10" x14ac:dyDescent="0.25">
      <c r="A101" t="s">
        <v>27</v>
      </c>
      <c r="B101" t="s">
        <v>96</v>
      </c>
      <c r="C101" t="s">
        <v>97</v>
      </c>
      <c r="D101" s="11">
        <f>D100</f>
        <v>22</v>
      </c>
      <c r="J101">
        <f>D101-10</f>
        <v>12</v>
      </c>
    </row>
    <row r="102" spans="1:10" x14ac:dyDescent="0.25">
      <c r="A102" s="6" t="s">
        <v>28</v>
      </c>
      <c r="B102" s="6"/>
      <c r="C102" s="6"/>
      <c r="D102" s="10"/>
      <c r="E102" s="6"/>
      <c r="F102" s="6"/>
      <c r="G102" s="6"/>
      <c r="H102" s="6"/>
      <c r="I102" s="6"/>
      <c r="J102" s="6"/>
    </row>
    <row r="103" spans="1:10" x14ac:dyDescent="0.25">
      <c r="A103" s="7" t="s">
        <v>29</v>
      </c>
      <c r="B103" t="s">
        <v>96</v>
      </c>
      <c r="C103" t="s">
        <v>97</v>
      </c>
      <c r="D103" s="7">
        <v>16</v>
      </c>
      <c r="E103" s="7"/>
      <c r="F103" s="7"/>
      <c r="G103" s="7"/>
      <c r="H103" s="7"/>
      <c r="I103" s="7"/>
      <c r="J103">
        <f>D103-10</f>
        <v>6</v>
      </c>
    </row>
    <row r="104" spans="1:10" x14ac:dyDescent="0.25">
      <c r="A104" s="7" t="s">
        <v>30</v>
      </c>
      <c r="B104" t="s">
        <v>96</v>
      </c>
      <c r="C104" t="s">
        <v>97</v>
      </c>
      <c r="D104" s="7">
        <v>16</v>
      </c>
      <c r="E104" s="7"/>
      <c r="F104" s="7"/>
      <c r="G104" s="7"/>
      <c r="H104" s="7"/>
      <c r="I104" s="7"/>
      <c r="J104">
        <f>D104-10</f>
        <v>6</v>
      </c>
    </row>
    <row r="105" spans="1:10" x14ac:dyDescent="0.25">
      <c r="A105" s="7" t="s">
        <v>31</v>
      </c>
      <c r="B105" t="s">
        <v>96</v>
      </c>
      <c r="C105" t="s">
        <v>97</v>
      </c>
      <c r="D105" s="7">
        <v>16</v>
      </c>
      <c r="E105" s="7"/>
      <c r="F105" s="7"/>
      <c r="G105" s="7"/>
      <c r="H105" s="7"/>
      <c r="I105" s="7"/>
      <c r="J105">
        <f>D105-10</f>
        <v>6</v>
      </c>
    </row>
    <row r="106" spans="1:10" x14ac:dyDescent="0.25">
      <c r="A106" s="7" t="s">
        <v>32</v>
      </c>
      <c r="B106" t="s">
        <v>96</v>
      </c>
      <c r="C106" t="s">
        <v>97</v>
      </c>
      <c r="D106" s="7">
        <v>16</v>
      </c>
      <c r="E106" s="7"/>
      <c r="F106" s="7"/>
      <c r="G106" s="7"/>
      <c r="H106" s="7"/>
      <c r="I106" s="7"/>
      <c r="J106">
        <f>D106-10</f>
        <v>6</v>
      </c>
    </row>
    <row r="107" spans="1:10" x14ac:dyDescent="0.25">
      <c r="A107" s="6" t="s">
        <v>94</v>
      </c>
      <c r="B107" s="6"/>
      <c r="C107" s="6"/>
      <c r="D107" s="10"/>
      <c r="E107" s="6"/>
      <c r="F107" s="6"/>
      <c r="G107" s="6"/>
      <c r="H107" s="6"/>
      <c r="I107" s="6"/>
      <c r="J107" s="6"/>
    </row>
    <row r="108" spans="1:10" x14ac:dyDescent="0.25">
      <c r="A108" s="7" t="s">
        <v>45</v>
      </c>
      <c r="B108" t="s">
        <v>96</v>
      </c>
      <c r="C108" t="s">
        <v>97</v>
      </c>
      <c r="D108" s="7">
        <v>85</v>
      </c>
      <c r="E108" s="7"/>
      <c r="F108" s="7"/>
      <c r="G108" s="7"/>
      <c r="H108" s="7"/>
      <c r="I108" s="7"/>
      <c r="J108">
        <f t="shared" ref="J108:J115" si="2">D108-10</f>
        <v>75</v>
      </c>
    </row>
    <row r="109" spans="1:10" x14ac:dyDescent="0.25">
      <c r="A109" s="7" t="s">
        <v>46</v>
      </c>
      <c r="B109" t="s">
        <v>96</v>
      </c>
      <c r="C109" t="s">
        <v>97</v>
      </c>
      <c r="D109" s="7">
        <v>85</v>
      </c>
      <c r="E109" s="7"/>
      <c r="F109" s="7"/>
      <c r="G109" s="7"/>
      <c r="H109" s="7"/>
      <c r="I109" s="7"/>
      <c r="J109">
        <f t="shared" si="2"/>
        <v>75</v>
      </c>
    </row>
    <row r="110" spans="1:10" x14ac:dyDescent="0.25">
      <c r="A110" s="7" t="s">
        <v>47</v>
      </c>
      <c r="B110" t="s">
        <v>96</v>
      </c>
      <c r="C110" t="s">
        <v>97</v>
      </c>
      <c r="D110" s="7">
        <v>85</v>
      </c>
      <c r="E110" s="7"/>
      <c r="F110" s="7"/>
      <c r="G110" s="7"/>
      <c r="H110" s="7"/>
      <c r="I110" s="7"/>
      <c r="J110">
        <f t="shared" si="2"/>
        <v>75</v>
      </c>
    </row>
    <row r="111" spans="1:10" x14ac:dyDescent="0.25">
      <c r="A111" s="7" t="s">
        <v>48</v>
      </c>
      <c r="B111" t="s">
        <v>96</v>
      </c>
      <c r="C111" t="s">
        <v>97</v>
      </c>
      <c r="D111" s="7">
        <v>95</v>
      </c>
      <c r="E111" s="7"/>
      <c r="F111" s="7"/>
      <c r="G111" s="7"/>
      <c r="H111" s="7"/>
      <c r="I111" s="7"/>
      <c r="J111">
        <f t="shared" si="2"/>
        <v>85</v>
      </c>
    </row>
    <row r="112" spans="1:10" x14ac:dyDescent="0.25">
      <c r="A112" s="7" t="s">
        <v>49</v>
      </c>
      <c r="B112" t="s">
        <v>96</v>
      </c>
      <c r="C112" t="s">
        <v>97</v>
      </c>
      <c r="D112" s="4">
        <v>97</v>
      </c>
      <c r="E112" s="7"/>
      <c r="F112" s="7"/>
      <c r="G112" s="7"/>
      <c r="H112" s="7"/>
      <c r="I112" s="7"/>
      <c r="J112">
        <f t="shared" si="2"/>
        <v>87</v>
      </c>
    </row>
    <row r="113" spans="1:10" x14ac:dyDescent="0.25">
      <c r="A113" s="7" t="s">
        <v>50</v>
      </c>
      <c r="B113" t="s">
        <v>96</v>
      </c>
      <c r="C113" t="s">
        <v>97</v>
      </c>
      <c r="D113" s="7">
        <v>29</v>
      </c>
      <c r="E113" s="7"/>
      <c r="F113" s="7"/>
      <c r="G113" s="7"/>
      <c r="H113" s="7"/>
      <c r="I113" s="7"/>
      <c r="J113">
        <f t="shared" si="2"/>
        <v>19</v>
      </c>
    </row>
    <row r="114" spans="1:10" x14ac:dyDescent="0.25">
      <c r="A114" s="7" t="s">
        <v>51</v>
      </c>
      <c r="B114" t="s">
        <v>96</v>
      </c>
      <c r="C114" t="s">
        <v>97</v>
      </c>
      <c r="D114" s="4">
        <v>50</v>
      </c>
      <c r="E114" s="7"/>
      <c r="F114" s="7"/>
      <c r="G114" s="7"/>
      <c r="H114" s="7"/>
      <c r="I114" s="7"/>
      <c r="J114">
        <f t="shared" si="2"/>
        <v>40</v>
      </c>
    </row>
    <row r="115" spans="1:10" x14ac:dyDescent="0.25">
      <c r="A115" s="7" t="s">
        <v>52</v>
      </c>
      <c r="B115" t="s">
        <v>96</v>
      </c>
      <c r="C115" t="s">
        <v>97</v>
      </c>
      <c r="D115" s="4">
        <v>90</v>
      </c>
      <c r="E115" s="7"/>
      <c r="F115" s="7"/>
      <c r="G115" s="7"/>
      <c r="H115" s="7"/>
      <c r="I115" s="7"/>
      <c r="J115">
        <f t="shared" si="2"/>
        <v>80</v>
      </c>
    </row>
    <row r="116" spans="1:10" x14ac:dyDescent="0.25">
      <c r="A116" s="6" t="s">
        <v>95</v>
      </c>
      <c r="B116" s="6"/>
      <c r="C116" s="6"/>
      <c r="D116" s="10"/>
      <c r="E116" s="6"/>
      <c r="F116" s="6"/>
      <c r="G116" s="6"/>
      <c r="H116" s="6"/>
      <c r="I116" s="6"/>
      <c r="J116" s="6"/>
    </row>
    <row r="117" spans="1:10" x14ac:dyDescent="0.25">
      <c r="A117" s="7" t="s">
        <v>34</v>
      </c>
      <c r="B117" t="s">
        <v>96</v>
      </c>
      <c r="C117" t="s">
        <v>97</v>
      </c>
      <c r="D117">
        <v>7</v>
      </c>
      <c r="E117" s="7"/>
      <c r="F117" s="7"/>
      <c r="G117" s="7"/>
      <c r="H117" s="7"/>
      <c r="I117" s="7"/>
      <c r="J117">
        <v>0</v>
      </c>
    </row>
    <row r="118" spans="1:10" x14ac:dyDescent="0.25">
      <c r="A118" s="7" t="s">
        <v>35</v>
      </c>
      <c r="B118" t="s">
        <v>96</v>
      </c>
      <c r="C118" t="s">
        <v>97</v>
      </c>
      <c r="D118" s="7">
        <v>35</v>
      </c>
      <c r="E118" s="7"/>
      <c r="F118" s="7"/>
      <c r="G118" s="7"/>
      <c r="H118" s="7"/>
      <c r="I118" s="7"/>
      <c r="J118">
        <f t="shared" ref="J118:J126" si="3">D118-10</f>
        <v>25</v>
      </c>
    </row>
    <row r="119" spans="1:10" x14ac:dyDescent="0.25">
      <c r="A119" s="7" t="s">
        <v>36</v>
      </c>
      <c r="B119" t="s">
        <v>96</v>
      </c>
      <c r="C119" t="s">
        <v>97</v>
      </c>
      <c r="D119" s="7">
        <v>63</v>
      </c>
      <c r="E119" s="7"/>
      <c r="F119" s="7"/>
      <c r="G119" s="7"/>
      <c r="H119" s="7"/>
      <c r="I119" s="7"/>
      <c r="J119">
        <f t="shared" si="3"/>
        <v>53</v>
      </c>
    </row>
    <row r="120" spans="1:10" x14ac:dyDescent="0.25">
      <c r="A120" s="7" t="s">
        <v>37</v>
      </c>
      <c r="B120" t="s">
        <v>96</v>
      </c>
      <c r="C120" t="s">
        <v>97</v>
      </c>
      <c r="D120" s="7">
        <v>54</v>
      </c>
      <c r="E120" s="7"/>
      <c r="F120" s="7"/>
      <c r="G120" s="7"/>
      <c r="H120" s="7"/>
      <c r="I120" s="7"/>
      <c r="J120">
        <f t="shared" si="3"/>
        <v>44</v>
      </c>
    </row>
    <row r="121" spans="1:10" x14ac:dyDescent="0.25">
      <c r="A121" s="7" t="s">
        <v>38</v>
      </c>
      <c r="B121" t="s">
        <v>96</v>
      </c>
      <c r="C121" t="s">
        <v>97</v>
      </c>
      <c r="D121" s="4">
        <v>75</v>
      </c>
      <c r="E121" s="7"/>
      <c r="F121" s="7"/>
      <c r="G121" s="7"/>
      <c r="H121" s="7"/>
      <c r="I121" s="7"/>
      <c r="J121">
        <f t="shared" si="3"/>
        <v>65</v>
      </c>
    </row>
    <row r="122" spans="1:10" x14ac:dyDescent="0.25">
      <c r="A122" s="7" t="s">
        <v>39</v>
      </c>
      <c r="B122" t="s">
        <v>96</v>
      </c>
      <c r="C122" t="s">
        <v>97</v>
      </c>
      <c r="D122" s="7">
        <v>10</v>
      </c>
      <c r="E122" s="7"/>
      <c r="F122" s="7"/>
      <c r="G122" s="7"/>
      <c r="H122" s="7"/>
      <c r="I122" s="7"/>
      <c r="J122">
        <f t="shared" si="3"/>
        <v>0</v>
      </c>
    </row>
    <row r="123" spans="1:10" x14ac:dyDescent="0.25">
      <c r="A123" s="7" t="s">
        <v>40</v>
      </c>
      <c r="B123" t="s">
        <v>96</v>
      </c>
      <c r="C123" t="s">
        <v>97</v>
      </c>
      <c r="D123" s="7">
        <v>90</v>
      </c>
      <c r="E123" s="7"/>
      <c r="F123" s="7"/>
      <c r="G123" s="7"/>
      <c r="H123" s="7"/>
      <c r="I123" s="7"/>
      <c r="J123">
        <f t="shared" si="3"/>
        <v>80</v>
      </c>
    </row>
    <row r="124" spans="1:10" x14ac:dyDescent="0.25">
      <c r="A124" s="7" t="s">
        <v>41</v>
      </c>
      <c r="B124" t="s">
        <v>96</v>
      </c>
      <c r="C124" t="s">
        <v>97</v>
      </c>
      <c r="D124" s="7">
        <v>46</v>
      </c>
      <c r="E124" s="7"/>
      <c r="F124" s="7"/>
      <c r="G124" s="7"/>
      <c r="H124" s="7"/>
      <c r="I124" s="7"/>
      <c r="J124">
        <f t="shared" si="3"/>
        <v>36</v>
      </c>
    </row>
    <row r="125" spans="1:10" x14ac:dyDescent="0.25">
      <c r="A125" s="7" t="s">
        <v>42</v>
      </c>
      <c r="B125" t="s">
        <v>96</v>
      </c>
      <c r="C125" t="s">
        <v>97</v>
      </c>
      <c r="D125" s="7">
        <v>100</v>
      </c>
      <c r="E125" s="7"/>
      <c r="F125" s="7"/>
      <c r="G125" s="7"/>
      <c r="H125" s="7"/>
      <c r="I125" s="7"/>
      <c r="J125">
        <f t="shared" si="3"/>
        <v>90</v>
      </c>
    </row>
    <row r="126" spans="1:10" x14ac:dyDescent="0.25">
      <c r="A126" s="7" t="s">
        <v>43</v>
      </c>
      <c r="B126" t="s">
        <v>96</v>
      </c>
      <c r="C126" t="s">
        <v>97</v>
      </c>
      <c r="D126" s="4">
        <v>90</v>
      </c>
      <c r="E126" s="7"/>
      <c r="F126" s="7"/>
      <c r="G126" s="7"/>
      <c r="H126" s="7"/>
      <c r="I126" s="7"/>
      <c r="J126">
        <f t="shared" si="3"/>
        <v>80</v>
      </c>
    </row>
    <row r="127" spans="1:10" x14ac:dyDescent="0.25">
      <c r="A127" s="6" t="s">
        <v>53</v>
      </c>
      <c r="B127" s="6"/>
      <c r="C127" s="6"/>
      <c r="D127" s="10"/>
      <c r="E127" s="6"/>
      <c r="F127" s="6"/>
      <c r="G127" s="6"/>
      <c r="H127" s="6"/>
      <c r="I127" s="6"/>
      <c r="J127" s="6"/>
    </row>
    <row r="128" spans="1:10" x14ac:dyDescent="0.25">
      <c r="A128" s="4" t="s">
        <v>54</v>
      </c>
      <c r="B128" t="s">
        <v>96</v>
      </c>
      <c r="C128" t="s">
        <v>97</v>
      </c>
      <c r="D128" s="12">
        <f>8.5*20/(29.5+8.5)</f>
        <v>4.4736842105263159</v>
      </c>
      <c r="E128" s="4"/>
      <c r="F128" s="4"/>
      <c r="G128" s="4"/>
      <c r="H128" s="4"/>
      <c r="I128" s="4"/>
      <c r="J128">
        <v>0</v>
      </c>
    </row>
    <row r="129" spans="1:10" x14ac:dyDescent="0.25">
      <c r="A129" s="4" t="s">
        <v>55</v>
      </c>
      <c r="B129" t="s">
        <v>96</v>
      </c>
      <c r="C129" t="s">
        <v>97</v>
      </c>
      <c r="D129" s="12">
        <f>(80.7*0+14.4*20+0.3*5*0)/(80.7+14.4+0.3*5)</f>
        <v>2.981366459627329</v>
      </c>
      <c r="E129" s="4"/>
      <c r="F129" s="4"/>
      <c r="G129" s="4"/>
      <c r="H129" s="4"/>
      <c r="I129" s="4"/>
      <c r="J129">
        <v>0</v>
      </c>
    </row>
    <row r="130" spans="1:10" x14ac:dyDescent="0.25">
      <c r="A130" s="4" t="s">
        <v>56</v>
      </c>
      <c r="B130" t="s">
        <v>96</v>
      </c>
      <c r="C130" t="s">
        <v>97</v>
      </c>
      <c r="D130" s="12">
        <f>(45.6*0+44.1*20+1.3*5*0+1.8*10*0)/(45.6+44.1+1.3*5+1.8*10)</f>
        <v>7.723292469352014</v>
      </c>
      <c r="E130" s="4"/>
      <c r="F130" s="4"/>
      <c r="G130" s="4"/>
      <c r="H130" s="4"/>
      <c r="I130" s="4"/>
      <c r="J130">
        <v>0</v>
      </c>
    </row>
    <row r="131" spans="1:10" x14ac:dyDescent="0.25">
      <c r="A131" s="4" t="s">
        <v>57</v>
      </c>
      <c r="B131" t="s">
        <v>96</v>
      </c>
      <c r="C131" t="s">
        <v>97</v>
      </c>
      <c r="D131">
        <f>60</f>
        <v>60</v>
      </c>
      <c r="E131" s="4"/>
      <c r="F131" s="4"/>
      <c r="G131" s="4"/>
      <c r="H131" s="4"/>
      <c r="I131" s="4"/>
      <c r="J131">
        <f>D131-10</f>
        <v>50</v>
      </c>
    </row>
    <row r="132" spans="1:10" x14ac:dyDescent="0.25">
      <c r="A132" s="4" t="s">
        <v>58</v>
      </c>
      <c r="B132" t="s">
        <v>96</v>
      </c>
      <c r="C132" t="s">
        <v>97</v>
      </c>
      <c r="D132">
        <v>0</v>
      </c>
      <c r="E132" s="4"/>
      <c r="F132" s="4"/>
      <c r="G132" s="4"/>
      <c r="H132" s="4"/>
      <c r="I132" s="4"/>
      <c r="J132">
        <v>0</v>
      </c>
    </row>
    <row r="133" spans="1:10" x14ac:dyDescent="0.25">
      <c r="A133" s="4" t="s">
        <v>59</v>
      </c>
      <c r="B133" t="s">
        <v>96</v>
      </c>
      <c r="C133" t="s">
        <v>97</v>
      </c>
      <c r="D133">
        <v>20</v>
      </c>
      <c r="E133" s="4"/>
      <c r="F133" s="4"/>
      <c r="G133" s="4"/>
      <c r="H133" s="4"/>
      <c r="I133" s="4"/>
      <c r="J133">
        <f>D133-10</f>
        <v>10</v>
      </c>
    </row>
    <row r="134" spans="1:10" x14ac:dyDescent="0.25">
      <c r="A134" s="4" t="s">
        <v>60</v>
      </c>
      <c r="B134" t="s">
        <v>96</v>
      </c>
      <c r="C134" t="s">
        <v>97</v>
      </c>
      <c r="D134">
        <v>20</v>
      </c>
      <c r="E134" s="4"/>
      <c r="F134" s="4"/>
      <c r="G134" s="4"/>
      <c r="H134" s="4"/>
      <c r="I134" s="4"/>
      <c r="J134">
        <f>D134-10</f>
        <v>10</v>
      </c>
    </row>
    <row r="135" spans="1:10" x14ac:dyDescent="0.25">
      <c r="A135" s="4" t="s">
        <v>61</v>
      </c>
      <c r="B135" t="s">
        <v>96</v>
      </c>
      <c r="C135" t="s">
        <v>97</v>
      </c>
      <c r="D135">
        <v>20</v>
      </c>
      <c r="E135" s="4"/>
      <c r="F135" s="4"/>
      <c r="G135" s="4"/>
      <c r="H135" s="4"/>
      <c r="I135" s="4"/>
      <c r="J135">
        <f>D135-10</f>
        <v>10</v>
      </c>
    </row>
    <row r="136" spans="1:10" x14ac:dyDescent="0.25">
      <c r="A136" s="4" t="s">
        <v>62</v>
      </c>
      <c r="B136" t="s">
        <v>96</v>
      </c>
      <c r="C136" t="s">
        <v>97</v>
      </c>
      <c r="D136">
        <f>43</f>
        <v>43</v>
      </c>
      <c r="E136" s="4"/>
      <c r="F136" s="4"/>
      <c r="G136" s="4"/>
      <c r="H136" s="4"/>
      <c r="I136" s="4"/>
      <c r="J136">
        <f>D136-10</f>
        <v>33</v>
      </c>
    </row>
    <row r="137" spans="1:10" x14ac:dyDescent="0.25">
      <c r="A137" s="6" t="s">
        <v>63</v>
      </c>
      <c r="B137" s="6"/>
      <c r="C137" s="6"/>
      <c r="D137" s="10"/>
      <c r="E137" s="6"/>
      <c r="F137" s="6"/>
      <c r="G137" s="6"/>
      <c r="H137" s="6"/>
      <c r="I137" s="6"/>
      <c r="J137" s="6"/>
    </row>
    <row r="138" spans="1:10" x14ac:dyDescent="0.25">
      <c r="A138" t="s">
        <v>13</v>
      </c>
      <c r="B138" t="s">
        <v>96</v>
      </c>
      <c r="C138" t="s">
        <v>97</v>
      </c>
      <c r="D138">
        <v>37</v>
      </c>
      <c r="J138">
        <v>5</v>
      </c>
    </row>
    <row r="139" spans="1:10" x14ac:dyDescent="0.25">
      <c r="A139" t="s">
        <v>64</v>
      </c>
      <c r="B139" t="s">
        <v>96</v>
      </c>
      <c r="C139" t="s">
        <v>97</v>
      </c>
      <c r="D139" s="7">
        <v>43</v>
      </c>
      <c r="J139">
        <v>5</v>
      </c>
    </row>
    <row r="140" spans="1:10" x14ac:dyDescent="0.25">
      <c r="A140" t="s">
        <v>65</v>
      </c>
      <c r="B140" t="s">
        <v>96</v>
      </c>
      <c r="C140" t="s">
        <v>97</v>
      </c>
      <c r="D140" s="7">
        <v>36</v>
      </c>
      <c r="J140">
        <v>5</v>
      </c>
    </row>
    <row r="141" spans="1:10" x14ac:dyDescent="0.25">
      <c r="A141" s="6" t="s">
        <v>66</v>
      </c>
      <c r="B141" s="6"/>
      <c r="C141" s="6"/>
      <c r="D141" s="10"/>
      <c r="E141" s="6"/>
      <c r="F141" s="6"/>
      <c r="G141" s="6"/>
      <c r="H141" s="6"/>
      <c r="I141" s="6"/>
      <c r="J141" s="6"/>
    </row>
    <row r="142" spans="1:10" x14ac:dyDescent="0.25">
      <c r="A142" t="s">
        <v>66</v>
      </c>
      <c r="B142" t="s">
        <v>96</v>
      </c>
      <c r="C142" t="s">
        <v>97</v>
      </c>
      <c r="D142" s="7">
        <v>12</v>
      </c>
      <c r="J142">
        <v>5</v>
      </c>
    </row>
    <row r="143" spans="1:10" x14ac:dyDescent="0.25">
      <c r="A143" s="6" t="s">
        <v>68</v>
      </c>
      <c r="B143" s="6"/>
      <c r="C143" s="6"/>
      <c r="D143" s="10"/>
      <c r="E143" s="6"/>
      <c r="F143" s="6"/>
      <c r="G143" s="6"/>
      <c r="H143" s="6"/>
      <c r="I143" s="6"/>
      <c r="J143" s="6"/>
    </row>
    <row r="144" spans="1:10" x14ac:dyDescent="0.25">
      <c r="A144" t="s">
        <v>69</v>
      </c>
      <c r="B144" t="s">
        <v>96</v>
      </c>
      <c r="C144" t="s">
        <v>97</v>
      </c>
      <c r="D144">
        <v>5</v>
      </c>
      <c r="J144">
        <v>0</v>
      </c>
    </row>
    <row r="145" spans="1:10" x14ac:dyDescent="0.25">
      <c r="A145" s="8" t="s">
        <v>70</v>
      </c>
      <c r="B145" t="s">
        <v>96</v>
      </c>
      <c r="C145" t="s">
        <v>97</v>
      </c>
      <c r="D145">
        <v>0.4</v>
      </c>
      <c r="E145" s="8"/>
      <c r="F145" s="8"/>
      <c r="G145" s="8"/>
      <c r="H145" s="8"/>
      <c r="I145" s="8"/>
      <c r="J145">
        <v>0</v>
      </c>
    </row>
    <row r="146" spans="1:10" x14ac:dyDescent="0.25">
      <c r="A146" s="8" t="s">
        <v>71</v>
      </c>
      <c r="B146" t="s">
        <v>96</v>
      </c>
      <c r="C146" t="s">
        <v>97</v>
      </c>
      <c r="D146" s="4">
        <v>95</v>
      </c>
      <c r="E146" s="8"/>
      <c r="F146" s="8"/>
      <c r="G146" s="8"/>
      <c r="H146" s="8"/>
      <c r="I146" s="8"/>
      <c r="J146">
        <f>D146-10</f>
        <v>85</v>
      </c>
    </row>
    <row r="147" spans="1:10" x14ac:dyDescent="0.25">
      <c r="A147" s="8" t="s">
        <v>72</v>
      </c>
      <c r="B147" t="s">
        <v>96</v>
      </c>
      <c r="C147" t="s">
        <v>97</v>
      </c>
      <c r="D147">
        <v>100</v>
      </c>
      <c r="E147" s="8"/>
      <c r="F147" s="8"/>
      <c r="G147" s="8"/>
      <c r="H147" s="8"/>
      <c r="I147" s="8"/>
      <c r="J147">
        <f>D147-10</f>
        <v>90</v>
      </c>
    </row>
    <row r="148" spans="1:10" x14ac:dyDescent="0.25">
      <c r="A148" s="8" t="s">
        <v>73</v>
      </c>
      <c r="B148" t="s">
        <v>96</v>
      </c>
      <c r="C148" t="s">
        <v>97</v>
      </c>
      <c r="D148">
        <v>100</v>
      </c>
      <c r="E148" s="8"/>
      <c r="F148" s="8"/>
      <c r="G148" s="8"/>
      <c r="H148" s="8"/>
      <c r="I148" s="8"/>
      <c r="J148">
        <f>D148-10</f>
        <v>90</v>
      </c>
    </row>
    <row r="149" spans="1:10" x14ac:dyDescent="0.25">
      <c r="A149" s="6" t="s">
        <v>75</v>
      </c>
      <c r="B149" s="6"/>
      <c r="C149" s="6"/>
      <c r="D149" s="10"/>
      <c r="E149" s="6"/>
      <c r="F149" s="6"/>
      <c r="G149" s="6"/>
      <c r="H149" s="6"/>
      <c r="I149" s="6"/>
      <c r="J149" s="6"/>
    </row>
    <row r="150" spans="1:10" x14ac:dyDescent="0.25">
      <c r="A150" t="s">
        <v>76</v>
      </c>
      <c r="B150" t="s">
        <v>96</v>
      </c>
      <c r="C150" t="s">
        <v>97</v>
      </c>
      <c r="D150" s="13">
        <v>52</v>
      </c>
      <c r="J150">
        <f>D150-10</f>
        <v>42</v>
      </c>
    </row>
    <row r="151" spans="1:10" x14ac:dyDescent="0.25">
      <c r="A151" s="6" t="s">
        <v>79</v>
      </c>
      <c r="B151" s="6"/>
      <c r="C151" s="6"/>
      <c r="D151" s="10"/>
      <c r="E151" s="6"/>
      <c r="F151" s="6"/>
      <c r="G151" s="6"/>
      <c r="H151" s="6"/>
      <c r="I151" s="6"/>
      <c r="J151" s="6"/>
    </row>
    <row r="152" spans="1:10" x14ac:dyDescent="0.25">
      <c r="A152" t="s">
        <v>80</v>
      </c>
      <c r="B152" t="s">
        <v>96</v>
      </c>
      <c r="C152" t="s">
        <v>97</v>
      </c>
      <c r="D152" s="4">
        <v>24</v>
      </c>
      <c r="J152">
        <f>D152-10</f>
        <v>14</v>
      </c>
    </row>
    <row r="153" spans="1:10" x14ac:dyDescent="0.25">
      <c r="A153" t="s">
        <v>81</v>
      </c>
      <c r="B153" t="s">
        <v>96</v>
      </c>
      <c r="C153" t="s">
        <v>97</v>
      </c>
      <c r="D153" s="11">
        <f>D152</f>
        <v>24</v>
      </c>
      <c r="J153">
        <f>D153-10</f>
        <v>14</v>
      </c>
    </row>
    <row r="154" spans="1:10" x14ac:dyDescent="0.25">
      <c r="A154" t="s">
        <v>82</v>
      </c>
      <c r="B154" t="s">
        <v>96</v>
      </c>
      <c r="C154" t="s">
        <v>97</v>
      </c>
      <c r="D154">
        <v>61</v>
      </c>
      <c r="J154">
        <f>D154-10</f>
        <v>51</v>
      </c>
    </row>
    <row r="155" spans="1:10" x14ac:dyDescent="0.25">
      <c r="A155" s="6" t="s">
        <v>83</v>
      </c>
      <c r="B155" s="6"/>
      <c r="C155" s="6"/>
      <c r="D155" s="10"/>
      <c r="E155" s="6"/>
      <c r="F155" s="6"/>
      <c r="G155" s="6"/>
      <c r="H155" s="6"/>
      <c r="I155" s="6"/>
      <c r="J155" s="6"/>
    </row>
    <row r="156" spans="1:10" x14ac:dyDescent="0.25">
      <c r="A156" t="s">
        <v>84</v>
      </c>
      <c r="B156" t="s">
        <v>96</v>
      </c>
      <c r="C156" t="s">
        <v>97</v>
      </c>
      <c r="D156">
        <v>100</v>
      </c>
      <c r="J156">
        <v>100</v>
      </c>
    </row>
    <row r="157" spans="1:10" x14ac:dyDescent="0.25">
      <c r="A157" t="s">
        <v>85</v>
      </c>
      <c r="B157" t="s">
        <v>96</v>
      </c>
      <c r="C157" t="s">
        <v>97</v>
      </c>
      <c r="D157">
        <v>4</v>
      </c>
      <c r="J157">
        <v>0</v>
      </c>
    </row>
    <row r="158" spans="1:10" x14ac:dyDescent="0.25">
      <c r="A158" t="s">
        <v>86</v>
      </c>
      <c r="B158" t="s">
        <v>96</v>
      </c>
      <c r="C158" t="s">
        <v>97</v>
      </c>
      <c r="D158">
        <v>85</v>
      </c>
      <c r="J158">
        <f>D158-10</f>
        <v>75</v>
      </c>
    </row>
    <row r="159" spans="1:10" x14ac:dyDescent="0.25">
      <c r="A159" t="s">
        <v>87</v>
      </c>
      <c r="B159" t="s">
        <v>96</v>
      </c>
      <c r="C159" t="s">
        <v>97</v>
      </c>
      <c r="D159">
        <v>22</v>
      </c>
      <c r="J159">
        <f>D159-10</f>
        <v>12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workbookViewId="0">
      <selection activeCell="B2" sqref="B2"/>
    </sheetView>
  </sheetViews>
  <sheetFormatPr defaultRowHeight="15" x14ac:dyDescent="0.25"/>
  <cols>
    <col min="1" max="1" width="21.85546875" bestFit="1" customWidth="1"/>
  </cols>
  <sheetData>
    <row r="1" spans="1:5" x14ac:dyDescent="0.25">
      <c r="A1" s="1" t="s">
        <v>128</v>
      </c>
      <c r="B1" s="1" t="s">
        <v>1</v>
      </c>
      <c r="C1" s="1" t="s">
        <v>2</v>
      </c>
      <c r="D1" s="1" t="s">
        <v>3</v>
      </c>
      <c r="E1" s="1" t="s">
        <v>9</v>
      </c>
    </row>
    <row r="2" spans="1:5" x14ac:dyDescent="0.25">
      <c r="B2" t="s">
        <v>111</v>
      </c>
      <c r="C2" t="s">
        <v>11</v>
      </c>
      <c r="D2">
        <v>1</v>
      </c>
      <c r="E2">
        <v>1.25</v>
      </c>
    </row>
    <row r="3" spans="1:5" x14ac:dyDescent="0.25">
      <c r="A3" t="s">
        <v>129</v>
      </c>
      <c r="B3" t="s">
        <v>111</v>
      </c>
      <c r="C3" t="s">
        <v>11</v>
      </c>
      <c r="D3">
        <v>1</v>
      </c>
    </row>
    <row r="4" spans="1:5" x14ac:dyDescent="0.25">
      <c r="A4" t="s">
        <v>130</v>
      </c>
      <c r="B4" t="s">
        <v>111</v>
      </c>
      <c r="C4" t="s">
        <v>11</v>
      </c>
      <c r="D4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7"/>
  <sheetViews>
    <sheetView workbookViewId="0">
      <selection activeCell="D4" sqref="D4"/>
    </sheetView>
  </sheetViews>
  <sheetFormatPr defaultRowHeight="15" x14ac:dyDescent="0.25"/>
  <cols>
    <col min="1" max="1" width="8" bestFit="1" customWidth="1"/>
    <col min="2" max="2" width="14.28515625" bestFit="1" customWidth="1"/>
    <col min="3" max="3" width="8.7109375" bestFit="1" customWidth="1"/>
    <col min="4" max="4" width="30.5703125" bestFit="1" customWidth="1"/>
    <col min="5" max="5" width="6" bestFit="1" customWidth="1"/>
    <col min="6" max="12" width="7" bestFit="1" customWidth="1"/>
  </cols>
  <sheetData>
    <row r="1" spans="1:12" x14ac:dyDescent="0.25">
      <c r="A1" s="1" t="s">
        <v>98</v>
      </c>
      <c r="B1" s="1" t="s">
        <v>126</v>
      </c>
      <c r="C1" s="1" t="s">
        <v>105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</row>
    <row r="2" spans="1:12" x14ac:dyDescent="0.25">
      <c r="A2" t="s">
        <v>99</v>
      </c>
      <c r="D2" t="s">
        <v>100</v>
      </c>
      <c r="E2" t="s">
        <v>11</v>
      </c>
      <c r="F2">
        <v>1</v>
      </c>
      <c r="G2" s="3">
        <f>F2*1.01^5</f>
        <v>1.0510100500999999</v>
      </c>
      <c r="H2" s="3">
        <f>G2*1.0081^5</f>
        <v>1.0942711329791557</v>
      </c>
      <c r="I2" s="3">
        <f>H2*1.0061^5</f>
        <v>1.1280560721959558</v>
      </c>
      <c r="J2" s="3">
        <f>I2*1.004^5</f>
        <v>1.1507984060123795</v>
      </c>
      <c r="K2" s="3">
        <f>J2*1.002^5</f>
        <v>1.1623525141647169</v>
      </c>
      <c r="L2" s="3">
        <f>K2*1.001^5</f>
        <v>1.1681759118900195</v>
      </c>
    </row>
    <row r="4" spans="1:12" x14ac:dyDescent="0.25">
      <c r="A4" t="s">
        <v>99</v>
      </c>
      <c r="D4" t="s">
        <v>125</v>
      </c>
      <c r="E4" t="s">
        <v>11</v>
      </c>
      <c r="F4">
        <v>1</v>
      </c>
      <c r="L4">
        <v>0.5</v>
      </c>
    </row>
    <row r="5" spans="1:12" x14ac:dyDescent="0.25">
      <c r="A5" t="s">
        <v>124</v>
      </c>
      <c r="D5" t="s">
        <v>125</v>
      </c>
      <c r="E5" t="s">
        <v>11</v>
      </c>
      <c r="F5">
        <v>1</v>
      </c>
      <c r="L5">
        <v>0.5</v>
      </c>
    </row>
    <row r="6" spans="1:12" x14ac:dyDescent="0.25">
      <c r="A6" t="s">
        <v>99</v>
      </c>
      <c r="C6" t="s">
        <v>123</v>
      </c>
      <c r="D6" t="s">
        <v>127</v>
      </c>
      <c r="E6" t="s">
        <v>11</v>
      </c>
      <c r="F6">
        <v>1</v>
      </c>
      <c r="L6">
        <v>1.1000000000000001</v>
      </c>
    </row>
    <row r="7" spans="1:12" x14ac:dyDescent="0.25">
      <c r="A7" t="s">
        <v>124</v>
      </c>
      <c r="C7" t="s">
        <v>123</v>
      </c>
      <c r="D7" t="s">
        <v>127</v>
      </c>
      <c r="E7" t="s">
        <v>11</v>
      </c>
      <c r="F7">
        <v>1</v>
      </c>
      <c r="L7">
        <v>1.1000000000000001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"/>
  <sheetViews>
    <sheetView workbookViewId="0">
      <selection activeCell="O10" sqref="O10"/>
    </sheetView>
  </sheetViews>
  <sheetFormatPr defaultRowHeight="15" x14ac:dyDescent="0.25"/>
  <cols>
    <col min="1" max="1" width="12.7109375" bestFit="1" customWidth="1"/>
    <col min="2" max="2" width="24" bestFit="1" customWidth="1"/>
    <col min="3" max="3" width="6" bestFit="1" customWidth="1"/>
    <col min="4" max="10" width="7" bestFit="1" customWidth="1"/>
  </cols>
  <sheetData>
    <row r="1" spans="1:10" x14ac:dyDescent="0.25">
      <c r="A1" s="1" t="s">
        <v>105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A2" t="s">
        <v>102</v>
      </c>
      <c r="B2" t="s">
        <v>103</v>
      </c>
      <c r="C2" t="s">
        <v>11</v>
      </c>
      <c r="D2">
        <v>1</v>
      </c>
      <c r="F2">
        <f>D2*(1-0.06)</f>
        <v>0.94</v>
      </c>
      <c r="H2" s="3">
        <f>F2*(1-0.06)</f>
        <v>0.88359999999999994</v>
      </c>
      <c r="I2" s="3"/>
      <c r="J2" s="3">
        <f>H2*(1-0.06)</f>
        <v>0.83058399999999988</v>
      </c>
    </row>
    <row r="3" spans="1:10" x14ac:dyDescent="0.25">
      <c r="A3" t="s">
        <v>104</v>
      </c>
      <c r="B3" t="s">
        <v>103</v>
      </c>
      <c r="C3" t="s">
        <v>11</v>
      </c>
      <c r="D3">
        <v>1</v>
      </c>
      <c r="F3">
        <f>D3*(1-0.06)</f>
        <v>0.94</v>
      </c>
      <c r="H3" s="3">
        <f>F3*(1-0.06)</f>
        <v>0.88359999999999994</v>
      </c>
      <c r="I3" s="3"/>
      <c r="J3" s="3">
        <f>H3*(1-0.06)</f>
        <v>0.83058399999999988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tabSelected="1" workbookViewId="0">
      <selection activeCell="T12" sqref="T12"/>
    </sheetView>
  </sheetViews>
  <sheetFormatPr defaultRowHeight="15" x14ac:dyDescent="0.25"/>
  <cols>
    <col min="1" max="1" width="9.28515625" bestFit="1" customWidth="1"/>
    <col min="2" max="2" width="8" bestFit="1" customWidth="1"/>
    <col min="3" max="3" width="8.7109375" bestFit="1" customWidth="1"/>
    <col min="4" max="4" width="11" bestFit="1" customWidth="1"/>
    <col min="5" max="5" width="6" bestFit="1" customWidth="1"/>
    <col min="6" max="7" width="7" bestFit="1" customWidth="1"/>
  </cols>
  <sheetData>
    <row r="1" spans="1:7" x14ac:dyDescent="0.25">
      <c r="A1" s="1" t="s">
        <v>122</v>
      </c>
      <c r="B1" s="1" t="s">
        <v>98</v>
      </c>
      <c r="C1" s="1" t="s">
        <v>105</v>
      </c>
      <c r="D1" s="1" t="s">
        <v>1</v>
      </c>
      <c r="E1" s="1" t="s">
        <v>2</v>
      </c>
      <c r="F1" s="1" t="s">
        <v>3</v>
      </c>
      <c r="G1" s="1" t="s">
        <v>9</v>
      </c>
    </row>
    <row r="2" spans="1:7" x14ac:dyDescent="0.25">
      <c r="A2" t="s">
        <v>135</v>
      </c>
      <c r="B2" t="s">
        <v>99</v>
      </c>
      <c r="C2" t="s">
        <v>136</v>
      </c>
      <c r="D2" t="s">
        <v>121</v>
      </c>
      <c r="E2" t="s">
        <v>11</v>
      </c>
      <c r="F2" s="31">
        <v>1</v>
      </c>
      <c r="G2" s="31">
        <v>0.5</v>
      </c>
    </row>
    <row r="3" spans="1:7" x14ac:dyDescent="0.25">
      <c r="A3" t="s">
        <v>135</v>
      </c>
      <c r="C3" t="s">
        <v>123</v>
      </c>
      <c r="D3" t="s">
        <v>121</v>
      </c>
      <c r="E3" t="s">
        <v>11</v>
      </c>
      <c r="F3" s="31">
        <v>1</v>
      </c>
      <c r="G3" s="31">
        <v>0.5</v>
      </c>
    </row>
    <row r="4" spans="1:7" x14ac:dyDescent="0.25">
      <c r="F4" s="31"/>
      <c r="G4" s="31"/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"/>
  <sheetViews>
    <sheetView workbookViewId="0">
      <selection activeCell="B8" sqref="B8"/>
    </sheetView>
  </sheetViews>
  <sheetFormatPr defaultRowHeight="15" x14ac:dyDescent="0.25"/>
  <cols>
    <col min="1" max="1" width="15" bestFit="1" customWidth="1"/>
    <col min="2" max="2" width="15.85546875" bestFit="1" customWidth="1"/>
    <col min="3" max="3" width="20.140625" bestFit="1" customWidth="1"/>
    <col min="4" max="4" width="6" bestFit="1" customWidth="1"/>
    <col min="5" max="6" width="7" bestFit="1" customWidth="1"/>
  </cols>
  <sheetData>
    <row r="1" spans="1:9" x14ac:dyDescent="0.25">
      <c r="A1" s="1" t="s">
        <v>117</v>
      </c>
      <c r="B1" s="1" t="s">
        <v>118</v>
      </c>
      <c r="C1" s="1" t="s">
        <v>1</v>
      </c>
      <c r="D1" s="1" t="s">
        <v>2</v>
      </c>
      <c r="E1" s="1" t="s">
        <v>3</v>
      </c>
      <c r="F1" s="1" t="s">
        <v>9</v>
      </c>
      <c r="I1" s="1"/>
    </row>
    <row r="2" spans="1:9" x14ac:dyDescent="0.25">
      <c r="A2" t="s">
        <v>115</v>
      </c>
      <c r="B2" s="18" t="s">
        <v>131</v>
      </c>
      <c r="C2" s="29" t="s">
        <v>116</v>
      </c>
      <c r="D2" t="s">
        <v>97</v>
      </c>
      <c r="E2" s="32">
        <f>(241822577+237201100)/(241822577+237201100+5856000+8368914)*100</f>
        <v>97.116076100458642</v>
      </c>
      <c r="F2" s="31">
        <v>0</v>
      </c>
    </row>
    <row r="3" spans="1:9" x14ac:dyDescent="0.25">
      <c r="A3" t="s">
        <v>115</v>
      </c>
      <c r="B3" s="18" t="s">
        <v>132</v>
      </c>
      <c r="C3" s="29" t="s">
        <v>116</v>
      </c>
      <c r="D3" t="s">
        <v>97</v>
      </c>
      <c r="E3" s="32">
        <f>100-E2</f>
        <v>2.8839238995413581</v>
      </c>
      <c r="F3" s="31">
        <v>0</v>
      </c>
    </row>
    <row r="4" spans="1:9" x14ac:dyDescent="0.25">
      <c r="A4" t="s">
        <v>115</v>
      </c>
      <c r="B4" s="18" t="s">
        <v>133</v>
      </c>
      <c r="C4" s="29" t="s">
        <v>116</v>
      </c>
      <c r="D4" t="s">
        <v>97</v>
      </c>
      <c r="E4" s="32">
        <v>0</v>
      </c>
      <c r="F4" s="31">
        <v>0</v>
      </c>
    </row>
    <row r="5" spans="1:9" x14ac:dyDescent="0.25">
      <c r="A5" t="s">
        <v>115</v>
      </c>
      <c r="B5" s="29" t="s">
        <v>134</v>
      </c>
      <c r="C5" s="29" t="s">
        <v>116</v>
      </c>
      <c r="D5" t="s">
        <v>97</v>
      </c>
      <c r="E5" s="32">
        <v>0</v>
      </c>
      <c r="F5" s="31">
        <v>100</v>
      </c>
    </row>
    <row r="6" spans="1:9" x14ac:dyDescent="0.25">
      <c r="E6" s="30"/>
      <c r="F6" s="3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18"/>
  <sheetViews>
    <sheetView workbookViewId="0">
      <selection activeCell="O30" sqref="O30"/>
    </sheetView>
  </sheetViews>
  <sheetFormatPr defaultRowHeight="15" x14ac:dyDescent="0.25"/>
  <sheetData>
    <row r="2" spans="2:22" x14ac:dyDescent="0.25">
      <c r="B2" s="27" t="s">
        <v>107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</row>
    <row r="3" spans="2:22" ht="15.75" thickBot="1" x14ac:dyDescent="0.3"/>
    <row r="4" spans="2:22" x14ac:dyDescent="0.25">
      <c r="B4" s="14" t="s">
        <v>109</v>
      </c>
      <c r="C4" s="15"/>
      <c r="D4" s="15"/>
      <c r="E4" s="15"/>
      <c r="F4" s="15"/>
      <c r="G4" s="15"/>
      <c r="H4" s="16"/>
      <c r="J4" s="14" t="s">
        <v>108</v>
      </c>
      <c r="K4" s="15"/>
      <c r="L4" s="15"/>
      <c r="M4" s="15"/>
      <c r="N4" s="15"/>
      <c r="O4" s="15"/>
      <c r="P4" s="16"/>
    </row>
    <row r="5" spans="2:22" x14ac:dyDescent="0.25">
      <c r="B5" s="17"/>
      <c r="C5" s="18"/>
      <c r="D5" s="18"/>
      <c r="E5" s="18"/>
      <c r="F5" s="18"/>
      <c r="G5" s="18"/>
      <c r="H5" s="19"/>
      <c r="J5" s="17"/>
      <c r="K5" s="18"/>
      <c r="L5" s="18"/>
      <c r="M5" s="18"/>
      <c r="N5" s="18"/>
      <c r="O5" s="18"/>
      <c r="P5" s="19"/>
    </row>
    <row r="6" spans="2:22" x14ac:dyDescent="0.25">
      <c r="B6" s="17"/>
      <c r="C6" s="18" t="s">
        <v>106</v>
      </c>
      <c r="D6" s="18"/>
      <c r="E6" s="18"/>
      <c r="F6" s="18"/>
      <c r="G6" s="18"/>
      <c r="H6" s="19"/>
      <c r="J6" s="17"/>
      <c r="K6" s="18" t="s">
        <v>110</v>
      </c>
      <c r="L6" s="18"/>
      <c r="M6" s="18"/>
      <c r="N6" s="18"/>
      <c r="O6" s="18"/>
      <c r="P6" s="19"/>
    </row>
    <row r="7" spans="2:22" x14ac:dyDescent="0.25">
      <c r="B7" s="17">
        <v>2012</v>
      </c>
      <c r="C7" s="18">
        <v>26.2</v>
      </c>
      <c r="D7" s="18"/>
      <c r="E7" s="18"/>
      <c r="F7" s="18"/>
      <c r="G7" s="18"/>
      <c r="H7" s="19"/>
      <c r="J7" s="17">
        <v>2012</v>
      </c>
      <c r="K7" s="18">
        <v>1.7</v>
      </c>
      <c r="L7" s="18"/>
      <c r="M7" s="18"/>
      <c r="N7" s="18"/>
      <c r="O7" s="18"/>
      <c r="P7" s="19"/>
    </row>
    <row r="8" spans="2:22" x14ac:dyDescent="0.25">
      <c r="B8" s="17">
        <v>2013</v>
      </c>
      <c r="C8" s="18">
        <v>26.1</v>
      </c>
      <c r="D8" s="20"/>
      <c r="E8" s="18"/>
      <c r="F8" s="18"/>
      <c r="G8" s="18"/>
      <c r="H8" s="19"/>
      <c r="J8" s="17">
        <v>2013</v>
      </c>
      <c r="K8" s="18">
        <v>1.6</v>
      </c>
      <c r="L8" s="18"/>
      <c r="M8" s="18"/>
      <c r="N8" s="18"/>
      <c r="O8" s="18"/>
      <c r="P8" s="19"/>
    </row>
    <row r="9" spans="2:22" x14ac:dyDescent="0.25">
      <c r="B9" s="17">
        <v>2014</v>
      </c>
      <c r="C9" s="18">
        <v>26.7</v>
      </c>
      <c r="D9" s="20"/>
      <c r="E9" s="18"/>
      <c r="F9" s="18"/>
      <c r="G9" s="18"/>
      <c r="H9" s="19"/>
      <c r="J9" s="17">
        <v>2014</v>
      </c>
      <c r="K9" s="18">
        <v>1.6</v>
      </c>
      <c r="L9" s="18"/>
      <c r="M9" s="18"/>
      <c r="N9" s="18"/>
      <c r="O9" s="18"/>
      <c r="P9" s="19"/>
    </row>
    <row r="10" spans="2:22" x14ac:dyDescent="0.25">
      <c r="B10" s="17">
        <v>2015</v>
      </c>
      <c r="C10" s="18">
        <v>26.6</v>
      </c>
      <c r="D10" s="20"/>
      <c r="E10" s="18"/>
      <c r="F10" s="18"/>
      <c r="G10" s="18"/>
      <c r="H10" s="19"/>
      <c r="J10" s="17">
        <v>2015</v>
      </c>
      <c r="K10" s="18">
        <v>1.5</v>
      </c>
      <c r="L10" s="18"/>
      <c r="M10" s="18"/>
      <c r="N10" s="18"/>
      <c r="O10" s="18"/>
      <c r="P10" s="19"/>
    </row>
    <row r="11" spans="2:22" x14ac:dyDescent="0.25">
      <c r="B11" s="17">
        <v>2016</v>
      </c>
      <c r="C11" s="18">
        <v>27</v>
      </c>
      <c r="D11" s="20"/>
      <c r="E11" s="18"/>
      <c r="F11" s="18"/>
      <c r="G11" s="18"/>
      <c r="H11" s="19"/>
      <c r="J11" s="17">
        <v>2016</v>
      </c>
      <c r="K11" s="18">
        <v>1.7</v>
      </c>
      <c r="L11" s="18"/>
      <c r="M11" s="18"/>
      <c r="N11" s="18"/>
      <c r="O11" s="18"/>
      <c r="P11" s="19"/>
    </row>
    <row r="12" spans="2:22" x14ac:dyDescent="0.25">
      <c r="B12" s="17">
        <v>2017</v>
      </c>
      <c r="C12" s="18">
        <v>25.7</v>
      </c>
      <c r="D12" s="20"/>
      <c r="E12" s="18"/>
      <c r="F12" s="18"/>
      <c r="G12" s="18"/>
      <c r="H12" s="19"/>
      <c r="J12" s="17">
        <v>2017</v>
      </c>
      <c r="K12" s="18">
        <v>1.6</v>
      </c>
      <c r="L12" s="18"/>
      <c r="M12" s="18"/>
      <c r="N12" s="18"/>
      <c r="O12" s="18"/>
      <c r="P12" s="19"/>
    </row>
    <row r="13" spans="2:22" x14ac:dyDescent="0.25">
      <c r="B13" s="17">
        <v>2018</v>
      </c>
      <c r="C13" s="18">
        <v>25.4</v>
      </c>
      <c r="D13" s="20"/>
      <c r="E13" s="18"/>
      <c r="F13" s="18"/>
      <c r="G13" s="18"/>
      <c r="H13" s="19"/>
      <c r="J13" s="17">
        <v>2018</v>
      </c>
      <c r="K13" s="18">
        <v>1.8</v>
      </c>
      <c r="L13" s="18"/>
      <c r="M13" s="18"/>
      <c r="N13" s="18"/>
      <c r="O13" s="18"/>
      <c r="P13" s="19"/>
    </row>
    <row r="14" spans="2:22" x14ac:dyDescent="0.25">
      <c r="B14" s="17">
        <v>2019</v>
      </c>
      <c r="C14" s="18">
        <v>25.8</v>
      </c>
      <c r="D14" s="20"/>
      <c r="E14" s="18"/>
      <c r="F14" s="18"/>
      <c r="G14" s="18"/>
      <c r="H14" s="19"/>
      <c r="J14" s="17">
        <v>2019</v>
      </c>
      <c r="K14" s="18">
        <v>1.7</v>
      </c>
      <c r="L14" s="18"/>
      <c r="M14" s="18"/>
      <c r="N14" s="18"/>
      <c r="O14" s="18"/>
      <c r="P14" s="19"/>
    </row>
    <row r="15" spans="2:22" x14ac:dyDescent="0.25">
      <c r="B15" s="17">
        <v>2020</v>
      </c>
      <c r="C15" s="18">
        <v>25.3</v>
      </c>
      <c r="D15" s="20"/>
      <c r="E15" s="18"/>
      <c r="F15" s="18"/>
      <c r="G15" s="18"/>
      <c r="H15" s="19"/>
      <c r="J15" s="17">
        <v>2020</v>
      </c>
      <c r="K15" s="18">
        <v>1.7</v>
      </c>
      <c r="L15" s="18"/>
      <c r="M15" s="18"/>
      <c r="N15" s="18"/>
      <c r="O15" s="18"/>
      <c r="P15" s="19"/>
    </row>
    <row r="16" spans="2:22" x14ac:dyDescent="0.25">
      <c r="B16" s="17">
        <v>2021</v>
      </c>
      <c r="C16" s="18">
        <v>24.8</v>
      </c>
      <c r="D16" s="20"/>
      <c r="E16" s="18"/>
      <c r="F16" s="18"/>
      <c r="G16" s="18"/>
      <c r="H16" s="19"/>
      <c r="J16" s="17">
        <v>2021</v>
      </c>
      <c r="K16" s="18">
        <v>1.7</v>
      </c>
      <c r="L16" s="18"/>
      <c r="M16" s="18"/>
      <c r="N16" s="18"/>
      <c r="O16" s="18"/>
      <c r="P16" s="19"/>
    </row>
    <row r="17" spans="2:16" x14ac:dyDescent="0.25">
      <c r="B17" s="17">
        <v>2022</v>
      </c>
      <c r="C17" s="18">
        <v>24.6</v>
      </c>
      <c r="D17" s="20"/>
      <c r="E17" s="24">
        <f>(C17-C7)/C7</f>
        <v>-6.1068702290076257E-2</v>
      </c>
      <c r="F17" s="25" t="s">
        <v>101</v>
      </c>
      <c r="G17" s="26"/>
      <c r="H17" s="19"/>
      <c r="J17" s="17">
        <v>2022</v>
      </c>
      <c r="K17" s="18">
        <v>1.7</v>
      </c>
      <c r="L17" s="18"/>
      <c r="M17" s="18"/>
      <c r="N17" s="18"/>
      <c r="O17" s="18"/>
      <c r="P17" s="19"/>
    </row>
    <row r="18" spans="2:16" ht="15.75" thickBot="1" x14ac:dyDescent="0.3">
      <c r="B18" s="21"/>
      <c r="C18" s="22"/>
      <c r="D18" s="22"/>
      <c r="E18" s="22"/>
      <c r="F18" s="22"/>
      <c r="G18" s="22"/>
      <c r="H18" s="23"/>
      <c r="J18" s="21"/>
      <c r="K18" s="22"/>
      <c r="L18" s="22"/>
      <c r="M18" s="22"/>
      <c r="N18" s="22"/>
      <c r="O18" s="22"/>
      <c r="P18" s="23"/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Regions</vt:lpstr>
      <vt:lpstr>DemandAndConversions</vt:lpstr>
      <vt:lpstr>CropProduction</vt:lpstr>
      <vt:lpstr>CattleHerd</vt:lpstr>
      <vt:lpstr>PigHerd</vt:lpstr>
      <vt:lpstr>FeedMgmt</vt:lpstr>
      <vt:lpstr>MachineryAndEnergyMgmt</vt:lpstr>
      <vt:lpstr>motivations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2023-11-17T13:41:08Z</dcterms:modified>
</cp:coreProperties>
</file>