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6" i="1" l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4" i="1"/>
  <c r="K103" i="1"/>
  <c r="K102" i="1"/>
  <c r="J106" i="1"/>
  <c r="J105" i="1"/>
  <c r="J104" i="1"/>
  <c r="J103" i="1"/>
  <c r="J102" i="1"/>
  <c r="E103" i="1"/>
  <c r="E102" i="1"/>
  <c r="B102" i="1"/>
  <c r="A106" i="1"/>
  <c r="A105" i="1"/>
  <c r="A104" i="1"/>
  <c r="A103" i="1"/>
  <c r="N100" i="1"/>
  <c r="N99" i="1"/>
  <c r="N98" i="1"/>
  <c r="N97" i="1"/>
  <c r="N96" i="1"/>
  <c r="M98" i="1"/>
  <c r="M97" i="1"/>
  <c r="M96" i="1"/>
  <c r="L100" i="1"/>
  <c r="L99" i="1"/>
  <c r="L98" i="1"/>
  <c r="L97" i="1"/>
  <c r="L96" i="1"/>
  <c r="K100" i="1"/>
  <c r="K99" i="1"/>
  <c r="K98" i="1"/>
  <c r="K97" i="1"/>
  <c r="K96" i="1"/>
  <c r="E97" i="1"/>
  <c r="E96" i="1"/>
  <c r="B96" i="1"/>
  <c r="A100" i="1"/>
  <c r="A99" i="1"/>
  <c r="A98" i="1"/>
  <c r="A97" i="1"/>
  <c r="J100" i="1"/>
  <c r="J99" i="1"/>
  <c r="J98" i="1"/>
  <c r="J97" i="1"/>
  <c r="J96" i="1"/>
  <c r="A102" i="1"/>
  <c r="A96" i="1"/>
  <c r="N94" i="1"/>
  <c r="N93" i="1"/>
  <c r="N92" i="1"/>
  <c r="N91" i="1"/>
  <c r="N90" i="1"/>
  <c r="M92" i="1"/>
  <c r="M91" i="1"/>
  <c r="M90" i="1"/>
  <c r="L94" i="1"/>
  <c r="K94" i="1"/>
  <c r="L93" i="1"/>
  <c r="K93" i="1"/>
  <c r="L92" i="1"/>
  <c r="K92" i="1"/>
  <c r="L91" i="1"/>
  <c r="K91" i="1"/>
  <c r="L90" i="1"/>
  <c r="K90" i="1"/>
  <c r="J94" i="1"/>
  <c r="J93" i="1"/>
  <c r="J92" i="1"/>
  <c r="J91" i="1"/>
  <c r="J90" i="1"/>
  <c r="E91" i="1"/>
  <c r="E90" i="1"/>
  <c r="B90" i="1"/>
  <c r="A94" i="1"/>
  <c r="A93" i="1"/>
  <c r="A92" i="1"/>
  <c r="A91" i="1"/>
  <c r="A90" i="1"/>
  <c r="N81" i="1"/>
  <c r="N82" i="1"/>
  <c r="N83" i="1"/>
  <c r="N84" i="1"/>
  <c r="N85" i="1"/>
  <c r="N86" i="1"/>
  <c r="N87" i="1"/>
  <c r="N88" i="1"/>
  <c r="N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L88" i="1"/>
  <c r="M80" i="1"/>
  <c r="L80" i="1"/>
  <c r="K81" i="1"/>
  <c r="K82" i="1"/>
  <c r="K83" i="1"/>
  <c r="K84" i="1"/>
  <c r="K85" i="1"/>
  <c r="K86" i="1"/>
  <c r="K87" i="1"/>
  <c r="K88" i="1"/>
  <c r="K80" i="1"/>
  <c r="J81" i="1"/>
  <c r="J82" i="1"/>
  <c r="J83" i="1"/>
  <c r="J84" i="1"/>
  <c r="J85" i="1"/>
  <c r="J86" i="1"/>
  <c r="J87" i="1"/>
  <c r="J88" i="1"/>
  <c r="J80" i="1"/>
  <c r="E85" i="1"/>
  <c r="E84" i="1"/>
  <c r="B84" i="1"/>
  <c r="E80" i="1"/>
  <c r="B80" i="1"/>
  <c r="A81" i="1"/>
  <c r="A82" i="1"/>
  <c r="A83" i="1"/>
  <c r="A84" i="1"/>
  <c r="A85" i="1"/>
  <c r="A86" i="1"/>
  <c r="A87" i="1"/>
  <c r="A88" i="1"/>
  <c r="A80" i="1"/>
  <c r="K77" i="1"/>
  <c r="K72" i="1"/>
  <c r="K71" i="1"/>
  <c r="K109" i="1"/>
  <c r="K108" i="1"/>
  <c r="K145" i="1" l="1"/>
  <c r="C37" i="2"/>
  <c r="O37" i="2"/>
  <c r="N37" i="2"/>
  <c r="K116" i="1" l="1"/>
  <c r="K117" i="1"/>
  <c r="K118" i="1"/>
  <c r="K119" i="1"/>
  <c r="K120" i="1"/>
  <c r="K139" i="1"/>
  <c r="K115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70" i="1" l="1"/>
  <c r="K166" i="1"/>
  <c r="K176" i="1"/>
  <c r="K163" i="1"/>
  <c r="K29" i="1"/>
  <c r="J25" i="2"/>
  <c r="K25" i="2" s="1"/>
  <c r="C25" i="2" s="1"/>
  <c r="K17" i="2"/>
  <c r="C17" i="2" s="1"/>
  <c r="C31" i="2"/>
  <c r="J17" i="2"/>
  <c r="L17" i="2" s="1"/>
  <c r="E17" i="2"/>
  <c r="K14" i="1" l="1"/>
  <c r="K125" i="1"/>
  <c r="K23" i="1"/>
  <c r="K133" i="1"/>
  <c r="L25" i="2"/>
  <c r="K171" i="1" s="1"/>
  <c r="K236" i="1"/>
  <c r="K34" i="1"/>
  <c r="K9" i="1"/>
  <c r="K8" i="1"/>
  <c r="K5" i="1"/>
  <c r="K6" i="1"/>
  <c r="K7" i="1"/>
  <c r="K4" i="1"/>
  <c r="K154" i="1"/>
  <c r="K155" i="1"/>
  <c r="K156" i="1"/>
  <c r="K157" i="1"/>
  <c r="K153" i="1"/>
  <c r="E23" i="2"/>
  <c r="H23" i="2" s="1"/>
  <c r="K199" i="1" s="1"/>
  <c r="J36" i="2"/>
  <c r="K36" i="2" s="1"/>
  <c r="C36" i="2" s="1"/>
  <c r="K144" i="1" s="1"/>
  <c r="F23" i="2" l="1"/>
  <c r="C23" i="2" s="1"/>
  <c r="G23" i="2"/>
  <c r="K226" i="1" s="1"/>
  <c r="L36" i="2"/>
  <c r="K179" i="1" s="1"/>
  <c r="K20" i="1" l="1"/>
  <c r="K131" i="1"/>
  <c r="J40" i="2"/>
  <c r="L40" i="2" s="1"/>
  <c r="K182" i="1" s="1"/>
  <c r="J14" i="2"/>
  <c r="K14" i="2" s="1"/>
  <c r="J15" i="2"/>
  <c r="K15" i="2" s="1"/>
  <c r="J16" i="2"/>
  <c r="K16" i="2" s="1"/>
  <c r="J18" i="2"/>
  <c r="L18" i="2" s="1"/>
  <c r="K164" i="1" s="1"/>
  <c r="J19" i="2"/>
  <c r="K19" i="2" s="1"/>
  <c r="J21" i="2"/>
  <c r="K21" i="2" s="1"/>
  <c r="J22" i="2"/>
  <c r="K22" i="2" s="1"/>
  <c r="J24" i="2"/>
  <c r="L24" i="2" s="1"/>
  <c r="K169" i="1" s="1"/>
  <c r="J26" i="2"/>
  <c r="J28" i="2"/>
  <c r="K28" i="2" s="1"/>
  <c r="J29" i="2"/>
  <c r="K29" i="2" s="1"/>
  <c r="J30" i="2"/>
  <c r="L30" i="2" s="1"/>
  <c r="K175" i="1" s="1"/>
  <c r="J32" i="2"/>
  <c r="K32" i="2" s="1"/>
  <c r="J34" i="2"/>
  <c r="K34" i="2" s="1"/>
  <c r="J38" i="2"/>
  <c r="K38" i="2" s="1"/>
  <c r="J39" i="2"/>
  <c r="L39" i="2" s="1"/>
  <c r="K181" i="1" s="1"/>
  <c r="J42" i="2"/>
  <c r="K42" i="2" s="1"/>
  <c r="L13" i="2"/>
  <c r="K159" i="1" s="1"/>
  <c r="E13" i="2"/>
  <c r="K26" i="2" l="1"/>
  <c r="L26" i="2"/>
  <c r="K40" i="2"/>
  <c r="L34" i="2"/>
  <c r="K178" i="1" s="1"/>
  <c r="L28" i="2"/>
  <c r="K173" i="1" s="1"/>
  <c r="L21" i="2"/>
  <c r="K167" i="1" s="1"/>
  <c r="L15" i="2"/>
  <c r="K161" i="1" s="1"/>
  <c r="K39" i="2"/>
  <c r="K30" i="2"/>
  <c r="K24" i="2"/>
  <c r="C24" i="2" s="1"/>
  <c r="K18" i="2"/>
  <c r="L42" i="2"/>
  <c r="K183" i="1" s="1"/>
  <c r="L38" i="2"/>
  <c r="K180" i="1" s="1"/>
  <c r="L32" i="2"/>
  <c r="K177" i="1" s="1"/>
  <c r="L29" i="2"/>
  <c r="K174" i="1" s="1"/>
  <c r="K172" i="1"/>
  <c r="L22" i="2"/>
  <c r="K168" i="1" s="1"/>
  <c r="L19" i="2"/>
  <c r="K165" i="1" s="1"/>
  <c r="L16" i="2"/>
  <c r="K162" i="1" s="1"/>
  <c r="L14" i="2"/>
  <c r="K160" i="1" s="1"/>
  <c r="E43" i="2"/>
  <c r="H43" i="2" s="1"/>
  <c r="K215" i="1" s="1"/>
  <c r="E14" i="2"/>
  <c r="F14" i="2" s="1"/>
  <c r="C14" i="2" s="1"/>
  <c r="E15" i="2"/>
  <c r="G15" i="2" s="1"/>
  <c r="K219" i="1" s="1"/>
  <c r="E16" i="2"/>
  <c r="H16" i="2" s="1"/>
  <c r="K193" i="1" s="1"/>
  <c r="E18" i="2"/>
  <c r="F18" i="2" s="1"/>
  <c r="E19" i="2"/>
  <c r="F19" i="2" s="1"/>
  <c r="C19" i="2" s="1"/>
  <c r="E20" i="2"/>
  <c r="G20" i="2" s="1"/>
  <c r="K223" i="1" s="1"/>
  <c r="E21" i="2"/>
  <c r="H21" i="2" s="1"/>
  <c r="K197" i="1" s="1"/>
  <c r="E22" i="2"/>
  <c r="F22" i="2" s="1"/>
  <c r="C22" i="2" s="1"/>
  <c r="E26" i="2"/>
  <c r="F26" i="2" s="1"/>
  <c r="C26" i="2" s="1"/>
  <c r="E27" i="2"/>
  <c r="G27" i="2" s="1"/>
  <c r="K228" i="1" s="1"/>
  <c r="E28" i="2"/>
  <c r="H28" i="2" s="1"/>
  <c r="K202" i="1" s="1"/>
  <c r="E29" i="2"/>
  <c r="F29" i="2" s="1"/>
  <c r="C29" i="2" s="1"/>
  <c r="E30" i="2"/>
  <c r="F30" i="2" s="1"/>
  <c r="E32" i="2"/>
  <c r="G32" i="2" s="1"/>
  <c r="K232" i="1" s="1"/>
  <c r="E33" i="2"/>
  <c r="H33" i="2" s="1"/>
  <c r="K206" i="1" s="1"/>
  <c r="E34" i="2"/>
  <c r="F34" i="2" s="1"/>
  <c r="C34" i="2" s="1"/>
  <c r="K142" i="1" s="1"/>
  <c r="E35" i="2"/>
  <c r="F35" i="2" s="1"/>
  <c r="C35" i="2" s="1"/>
  <c r="K143" i="1" s="1"/>
  <c r="E38" i="2"/>
  <c r="G38" i="2" s="1"/>
  <c r="K237" i="1" s="1"/>
  <c r="E39" i="2"/>
  <c r="H39" i="2" s="1"/>
  <c r="K211" i="1" s="1"/>
  <c r="E40" i="2"/>
  <c r="F40" i="2" s="1"/>
  <c r="E41" i="2"/>
  <c r="F41" i="2" s="1"/>
  <c r="C41" i="2" s="1"/>
  <c r="K149" i="1" s="1"/>
  <c r="E42" i="2"/>
  <c r="G42" i="2" s="1"/>
  <c r="K241" i="1" s="1"/>
  <c r="G13" i="2"/>
  <c r="K217" i="1" s="1"/>
  <c r="K22" i="1" l="1"/>
  <c r="K132" i="1"/>
  <c r="K24" i="1"/>
  <c r="K134" i="1"/>
  <c r="K16" i="1"/>
  <c r="K127" i="1"/>
  <c r="K11" i="1"/>
  <c r="K122" i="1"/>
  <c r="K27" i="1"/>
  <c r="K137" i="1"/>
  <c r="K19" i="1"/>
  <c r="K130" i="1"/>
  <c r="K33" i="1"/>
  <c r="K32" i="1" s="1"/>
  <c r="C30" i="2"/>
  <c r="C40" i="2"/>
  <c r="K148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213" i="1" s="1"/>
  <c r="H35" i="2"/>
  <c r="K208" i="1" s="1"/>
  <c r="H30" i="2"/>
  <c r="K204" i="1" s="1"/>
  <c r="H26" i="2"/>
  <c r="K200" i="1" s="1"/>
  <c r="H19" i="2"/>
  <c r="K195" i="1" s="1"/>
  <c r="H14" i="2"/>
  <c r="K191" i="1" s="1"/>
  <c r="G43" i="2"/>
  <c r="K242" i="1" s="1"/>
  <c r="H40" i="2"/>
  <c r="K212" i="1" s="1"/>
  <c r="H34" i="2"/>
  <c r="H29" i="2"/>
  <c r="K203" i="1" s="1"/>
  <c r="H22" i="2"/>
  <c r="K198" i="1" s="1"/>
  <c r="H18" i="2"/>
  <c r="K194" i="1" s="1"/>
  <c r="F43" i="2"/>
  <c r="C43" i="2" s="1"/>
  <c r="G40" i="2"/>
  <c r="K239" i="1" s="1"/>
  <c r="G34" i="2"/>
  <c r="K234" i="1" s="1"/>
  <c r="G29" i="2"/>
  <c r="K230" i="1" s="1"/>
  <c r="G22" i="2"/>
  <c r="K225" i="1" s="1"/>
  <c r="G18" i="2"/>
  <c r="K221" i="1" s="1"/>
  <c r="F13" i="2"/>
  <c r="C13" i="2" s="1"/>
  <c r="G39" i="2"/>
  <c r="K238" i="1" s="1"/>
  <c r="F39" i="2"/>
  <c r="C39" i="2" s="1"/>
  <c r="F21" i="2"/>
  <c r="G33" i="2"/>
  <c r="K233" i="1" s="1"/>
  <c r="G16" i="2"/>
  <c r="K220" i="1" s="1"/>
  <c r="H13" i="2"/>
  <c r="K190" i="1" s="1"/>
  <c r="F16" i="2"/>
  <c r="C16" i="2" s="1"/>
  <c r="H42" i="2"/>
  <c r="K214" i="1" s="1"/>
  <c r="G41" i="2"/>
  <c r="K240" i="1" s="1"/>
  <c r="H38" i="2"/>
  <c r="K210" i="1" s="1"/>
  <c r="G35" i="2"/>
  <c r="K235" i="1" s="1"/>
  <c r="H32" i="2"/>
  <c r="K205" i="1" s="1"/>
  <c r="G30" i="2"/>
  <c r="K231" i="1" s="1"/>
  <c r="H27" i="2"/>
  <c r="K201" i="1" s="1"/>
  <c r="G26" i="2"/>
  <c r="K227" i="1" s="1"/>
  <c r="H20" i="2"/>
  <c r="K196" i="1" s="1"/>
  <c r="G19" i="2"/>
  <c r="K222" i="1" s="1"/>
  <c r="H15" i="2"/>
  <c r="K192" i="1" s="1"/>
  <c r="G14" i="2"/>
  <c r="K218" i="1" s="1"/>
  <c r="G28" i="2"/>
  <c r="K229" i="1" s="1"/>
  <c r="G21" i="2"/>
  <c r="K224" i="1" s="1"/>
  <c r="F33" i="2"/>
  <c r="C33" i="2" s="1"/>
  <c r="F28" i="2"/>
  <c r="C28" i="2" s="1"/>
  <c r="K26" i="1" l="1"/>
  <c r="K136" i="1"/>
  <c r="K15" i="1"/>
  <c r="K126" i="1"/>
  <c r="K30" i="1"/>
  <c r="K140" i="1"/>
  <c r="K25" i="1"/>
  <c r="K135" i="1"/>
  <c r="K36" i="1"/>
  <c r="K147" i="1"/>
  <c r="K12" i="1"/>
  <c r="K123" i="1"/>
  <c r="K35" i="1"/>
  <c r="K146" i="1"/>
  <c r="K28" i="1"/>
  <c r="K138" i="1"/>
  <c r="K13" i="1"/>
  <c r="K124" i="1"/>
  <c r="K31" i="1"/>
  <c r="K141" i="1"/>
  <c r="K40" i="1"/>
  <c r="K151" i="1"/>
  <c r="K10" i="1"/>
  <c r="K121" i="1"/>
  <c r="K17" i="1"/>
  <c r="K128" i="1"/>
  <c r="K39" i="1"/>
  <c r="K150" i="1"/>
  <c r="K18" i="1"/>
  <c r="C21" i="2"/>
  <c r="K129" i="1" s="1"/>
  <c r="K207" i="1"/>
  <c r="H36" i="2"/>
  <c r="K209" i="1" s="1"/>
  <c r="K37" i="1"/>
  <c r="K38" i="1" s="1"/>
</calcChain>
</file>

<file path=xl/sharedStrings.xml><?xml version="1.0" encoding="utf-8"?>
<sst xmlns="http://schemas.openxmlformats.org/spreadsheetml/2006/main" count="1212" uniqueCount="410">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</sst>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2"/>
  <sheetViews>
    <sheetView tabSelected="1" zoomScale="80" zoomScaleNormal="80" workbookViewId="0">
      <pane ySplit="1" topLeftCell="A78" activePane="bottomLeft" state="frozen"/>
      <selection pane="bottomLeft" activeCell="H102" sqref="H102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1.1363636363636365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H52" t="s">
        <v>40</v>
      </c>
      <c r="J52" t="s">
        <v>31</v>
      </c>
      <c r="K52" s="3">
        <v>50</v>
      </c>
      <c r="L52" t="s">
        <v>28</v>
      </c>
      <c r="M52" s="3" t="s">
        <v>394</v>
      </c>
    </row>
    <row r="53" spans="1:14" x14ac:dyDescent="0.25">
      <c r="A53" s="1" t="s">
        <v>336</v>
      </c>
      <c r="B53" s="1"/>
      <c r="C53" s="1"/>
      <c r="D53" s="1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t="s">
        <v>24</v>
      </c>
      <c r="B54" t="s">
        <v>326</v>
      </c>
      <c r="E54" t="s">
        <v>327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328</v>
      </c>
      <c r="G55" t="s">
        <v>334</v>
      </c>
      <c r="H55" t="s">
        <v>33</v>
      </c>
      <c r="J55" t="s">
        <v>335</v>
      </c>
      <c r="K55" s="3">
        <v>5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329</v>
      </c>
      <c r="G56" t="s">
        <v>334</v>
      </c>
      <c r="H56" t="s">
        <v>33</v>
      </c>
      <c r="J56" t="s">
        <v>335</v>
      </c>
      <c r="K56" s="3">
        <v>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330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331</v>
      </c>
      <c r="G58" t="s">
        <v>334</v>
      </c>
      <c r="H58" t="s">
        <v>33</v>
      </c>
      <c r="J58" t="s">
        <v>335</v>
      </c>
      <c r="K58" s="3">
        <v>90</v>
      </c>
      <c r="L58" t="s">
        <v>28</v>
      </c>
      <c r="M58" s="3"/>
    </row>
    <row r="59" spans="1:14" x14ac:dyDescent="0.25">
      <c r="A59" t="s">
        <v>24</v>
      </c>
      <c r="B59" t="s">
        <v>326</v>
      </c>
      <c r="E59" t="s">
        <v>332</v>
      </c>
      <c r="G59" t="s">
        <v>334</v>
      </c>
      <c r="H59" t="s">
        <v>33</v>
      </c>
      <c r="J59" t="s">
        <v>335</v>
      </c>
      <c r="K59" s="3">
        <v>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327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328</v>
      </c>
      <c r="G61" t="s">
        <v>334</v>
      </c>
      <c r="H61" t="s">
        <v>33</v>
      </c>
      <c r="J61" t="s">
        <v>335</v>
      </c>
      <c r="K61" s="3">
        <v>90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329</v>
      </c>
      <c r="G62" t="s">
        <v>334</v>
      </c>
      <c r="H62" t="s">
        <v>33</v>
      </c>
      <c r="J62" t="s">
        <v>335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330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331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333</v>
      </c>
      <c r="E65" t="s">
        <v>332</v>
      </c>
      <c r="G65" t="s">
        <v>334</v>
      </c>
      <c r="H65" t="s">
        <v>33</v>
      </c>
      <c r="J65" t="s">
        <v>335</v>
      </c>
      <c r="K65" s="3">
        <v>90</v>
      </c>
      <c r="L65" t="s">
        <v>28</v>
      </c>
      <c r="M65" s="3"/>
    </row>
    <row r="66" spans="1:14" x14ac:dyDescent="0.25">
      <c r="A66" t="s">
        <v>395</v>
      </c>
      <c r="G66" t="s">
        <v>334</v>
      </c>
      <c r="H66" t="s">
        <v>33</v>
      </c>
      <c r="J66" t="s">
        <v>335</v>
      </c>
      <c r="K66" s="3">
        <v>10</v>
      </c>
      <c r="L66" t="s">
        <v>28</v>
      </c>
      <c r="M66" s="3"/>
    </row>
    <row r="67" spans="1:14" x14ac:dyDescent="0.25">
      <c r="K67" s="3"/>
      <c r="M67" s="3"/>
    </row>
    <row r="68" spans="1:14" x14ac:dyDescent="0.25">
      <c r="A68" s="1" t="s">
        <v>400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J69" s="10" t="s">
        <v>397</v>
      </c>
      <c r="K69" s="10">
        <v>0</v>
      </c>
      <c r="L69" s="10" t="s">
        <v>28</v>
      </c>
      <c r="M69" s="10" t="s">
        <v>34</v>
      </c>
    </row>
    <row r="70" spans="1:14" x14ac:dyDescent="0.25">
      <c r="J70" s="10" t="s">
        <v>398</v>
      </c>
      <c r="K70" s="10">
        <v>0</v>
      </c>
      <c r="L70" s="10" t="s">
        <v>28</v>
      </c>
      <c r="M70" s="10" t="s">
        <v>34</v>
      </c>
    </row>
    <row r="71" spans="1:14" x14ac:dyDescent="0.25">
      <c r="A71" t="s">
        <v>24</v>
      </c>
      <c r="B71" t="s">
        <v>326</v>
      </c>
      <c r="E71" t="s">
        <v>327</v>
      </c>
      <c r="F71" t="s">
        <v>310</v>
      </c>
      <c r="J71" s="29" t="s">
        <v>397</v>
      </c>
      <c r="K71" s="29">
        <f>(0.8*20+0.2*2)</f>
        <v>16.399999999999999</v>
      </c>
      <c r="L71" s="29" t="s">
        <v>28</v>
      </c>
      <c r="M71" s="29" t="s">
        <v>403</v>
      </c>
      <c r="N71" t="s">
        <v>399</v>
      </c>
    </row>
    <row r="72" spans="1:14" x14ac:dyDescent="0.25">
      <c r="A72" t="s">
        <v>24</v>
      </c>
      <c r="F72" t="s">
        <v>310</v>
      </c>
      <c r="J72" s="29" t="s">
        <v>397</v>
      </c>
      <c r="K72" s="29">
        <f>(0.6*20+0.4*2)</f>
        <v>12.8</v>
      </c>
      <c r="L72" s="29" t="s">
        <v>28</v>
      </c>
      <c r="M72" s="29" t="s">
        <v>404</v>
      </c>
      <c r="N72" t="s">
        <v>399</v>
      </c>
    </row>
    <row r="73" spans="1:14" x14ac:dyDescent="0.25">
      <c r="A73" t="s">
        <v>402</v>
      </c>
      <c r="F73" t="s">
        <v>310</v>
      </c>
      <c r="J73" s="29" t="s">
        <v>397</v>
      </c>
      <c r="K73" s="29">
        <v>2</v>
      </c>
      <c r="L73" s="29" t="s">
        <v>28</v>
      </c>
      <c r="M73" s="29" t="s">
        <v>405</v>
      </c>
      <c r="N73" t="s">
        <v>399</v>
      </c>
    </row>
    <row r="74" spans="1:14" x14ac:dyDescent="0.25">
      <c r="A74" t="s">
        <v>395</v>
      </c>
      <c r="F74" t="s">
        <v>310</v>
      </c>
      <c r="J74" s="29" t="s">
        <v>397</v>
      </c>
      <c r="K74" s="29">
        <v>2</v>
      </c>
      <c r="L74" s="29" t="s">
        <v>28</v>
      </c>
      <c r="M74" s="29" t="s">
        <v>405</v>
      </c>
      <c r="N74" t="s">
        <v>399</v>
      </c>
    </row>
    <row r="75" spans="1:14" x14ac:dyDescent="0.25">
      <c r="A75" t="s">
        <v>24</v>
      </c>
      <c r="B75" t="s">
        <v>326</v>
      </c>
      <c r="E75" t="s">
        <v>327</v>
      </c>
      <c r="F75" t="s">
        <v>310</v>
      </c>
      <c r="J75" s="29" t="s">
        <v>398</v>
      </c>
      <c r="K75" s="29">
        <v>5</v>
      </c>
      <c r="L75" s="29" t="s">
        <v>28</v>
      </c>
      <c r="M75" s="29" t="s">
        <v>406</v>
      </c>
      <c r="N75" t="s">
        <v>399</v>
      </c>
    </row>
    <row r="76" spans="1:14" x14ac:dyDescent="0.25">
      <c r="A76" t="s">
        <v>24</v>
      </c>
      <c r="E76" t="s">
        <v>329</v>
      </c>
      <c r="F76" t="s">
        <v>310</v>
      </c>
      <c r="J76" s="29" t="s">
        <v>398</v>
      </c>
      <c r="K76" s="29">
        <v>5</v>
      </c>
      <c r="L76" s="29" t="s">
        <v>28</v>
      </c>
      <c r="M76" s="29" t="s">
        <v>406</v>
      </c>
      <c r="N76" t="s">
        <v>399</v>
      </c>
    </row>
    <row r="77" spans="1:14" x14ac:dyDescent="0.25">
      <c r="A77" t="s">
        <v>24</v>
      </c>
      <c r="F77" t="s">
        <v>310</v>
      </c>
      <c r="J77" s="29" t="s">
        <v>398</v>
      </c>
      <c r="K77" s="29">
        <f>0.9*5+0.1*15</f>
        <v>6</v>
      </c>
      <c r="L77" s="29" t="s">
        <v>28</v>
      </c>
      <c r="M77" s="29" t="s">
        <v>407</v>
      </c>
      <c r="N77" t="s">
        <v>399</v>
      </c>
    </row>
    <row r="78" spans="1:14" x14ac:dyDescent="0.25">
      <c r="A78" t="s">
        <v>402</v>
      </c>
      <c r="F78" t="s">
        <v>310</v>
      </c>
      <c r="J78" s="29" t="s">
        <v>398</v>
      </c>
      <c r="K78" s="29">
        <v>15</v>
      </c>
      <c r="L78" s="29" t="s">
        <v>28</v>
      </c>
      <c r="M78" s="29"/>
      <c r="N78" t="s">
        <v>399</v>
      </c>
    </row>
    <row r="79" spans="1:14" x14ac:dyDescent="0.25">
      <c r="A79" t="s">
        <v>395</v>
      </c>
      <c r="F79" t="s">
        <v>310</v>
      </c>
      <c r="J79" s="29" t="s">
        <v>398</v>
      </c>
      <c r="K79" s="29">
        <v>15</v>
      </c>
      <c r="L79" s="29" t="s">
        <v>28</v>
      </c>
      <c r="M79" s="29"/>
      <c r="N79" t="s">
        <v>399</v>
      </c>
    </row>
    <row r="80" spans="1:14" x14ac:dyDescent="0.25">
      <c r="A80" s="33" t="str">
        <f>A71</f>
        <v>cattle</v>
      </c>
      <c r="B80" s="33" t="str">
        <f>B71</f>
        <v>dairy</v>
      </c>
      <c r="E80" s="33" t="str">
        <f>E71</f>
        <v>cows</v>
      </c>
      <c r="F80" t="s">
        <v>311</v>
      </c>
      <c r="J80" s="33" t="str">
        <f>J71</f>
        <v>storage_losses</v>
      </c>
      <c r="K80" s="33">
        <f>K71</f>
        <v>16.399999999999999</v>
      </c>
      <c r="L80" s="33" t="str">
        <f>L71</f>
        <v>%</v>
      </c>
      <c r="M80" s="33" t="str">
        <f>M71</f>
        <v>80% in silo</v>
      </c>
      <c r="N80" s="33" t="str">
        <f>N71</f>
        <v>Cederberg &amp; Henriksson. 2020. Gräsmarkernas användning i jordbruket</v>
      </c>
    </row>
    <row r="81" spans="1:14" x14ac:dyDescent="0.25">
      <c r="A81" s="33" t="str">
        <f t="shared" ref="A81:A88" si="0">A72</f>
        <v>cattle</v>
      </c>
      <c r="F81" t="s">
        <v>311</v>
      </c>
      <c r="J81" s="33" t="str">
        <f t="shared" ref="J81:N88" si="1">J72</f>
        <v>storage_losses</v>
      </c>
      <c r="K81" s="33">
        <f t="shared" si="1"/>
        <v>12.8</v>
      </c>
      <c r="L81" s="33" t="str">
        <f t="shared" si="1"/>
        <v>%</v>
      </c>
      <c r="M81" s="33" t="str">
        <f t="shared" si="1"/>
        <v>60% in silo</v>
      </c>
      <c r="N81" s="33" t="str">
        <f t="shared" si="1"/>
        <v>Cederberg &amp; Henriksson. 2020. Gräsmarkernas användning i jordbruket</v>
      </c>
    </row>
    <row r="82" spans="1:14" x14ac:dyDescent="0.25">
      <c r="A82" s="33" t="str">
        <f t="shared" si="0"/>
        <v>sheep</v>
      </c>
      <c r="F82" t="s">
        <v>311</v>
      </c>
      <c r="J82" s="33" t="str">
        <f t="shared" si="1"/>
        <v>storage_losses</v>
      </c>
      <c r="K82" s="33">
        <f t="shared" si="1"/>
        <v>2</v>
      </c>
      <c r="L82" s="33" t="str">
        <f t="shared" si="1"/>
        <v>%</v>
      </c>
      <c r="M82" s="33" t="str">
        <f t="shared" si="1"/>
        <v>0% in silo</v>
      </c>
      <c r="N82" s="33" t="str">
        <f t="shared" si="1"/>
        <v>Cederberg &amp; Henriksson. 2020. Gräsmarkernas användning i jordbruket</v>
      </c>
    </row>
    <row r="83" spans="1:14" x14ac:dyDescent="0.25">
      <c r="A83" s="33" t="str">
        <f t="shared" si="0"/>
        <v>horses</v>
      </c>
      <c r="F83" t="s">
        <v>311</v>
      </c>
      <c r="J83" s="33" t="str">
        <f t="shared" si="1"/>
        <v>storage_losses</v>
      </c>
      <c r="K83" s="33">
        <f t="shared" si="1"/>
        <v>2</v>
      </c>
      <c r="L83" s="33" t="str">
        <f t="shared" si="1"/>
        <v>%</v>
      </c>
      <c r="M83" s="33" t="str">
        <f t="shared" si="1"/>
        <v>0% in silo</v>
      </c>
      <c r="N83" s="33" t="str">
        <f t="shared" si="1"/>
        <v>Cederberg &amp; Henriksson. 2020. Gräsmarkernas användning i jordbruket</v>
      </c>
    </row>
    <row r="84" spans="1:14" x14ac:dyDescent="0.25">
      <c r="A84" s="33" t="str">
        <f t="shared" si="0"/>
        <v>cattle</v>
      </c>
      <c r="B84" s="33" t="str">
        <f>B75</f>
        <v>dairy</v>
      </c>
      <c r="E84" s="33" t="str">
        <f>E75</f>
        <v>cows</v>
      </c>
      <c r="F84" t="s">
        <v>311</v>
      </c>
      <c r="J84" s="33" t="str">
        <f t="shared" si="1"/>
        <v>feeding_losses</v>
      </c>
      <c r="K84" s="33">
        <f t="shared" si="1"/>
        <v>5</v>
      </c>
      <c r="L84" s="33" t="str">
        <f t="shared" si="1"/>
        <v>%</v>
      </c>
      <c r="M84" s="33" t="str">
        <f t="shared" si="1"/>
        <v>No feeding on pasture</v>
      </c>
      <c r="N84" s="33" t="str">
        <f t="shared" si="1"/>
        <v>Cederberg &amp; Henriksson. 2020. Gräsmarkernas användning i jordbruket</v>
      </c>
    </row>
    <row r="85" spans="1:14" x14ac:dyDescent="0.25">
      <c r="A85" s="33" t="str">
        <f t="shared" si="0"/>
        <v>cattle</v>
      </c>
      <c r="E85" s="33" t="str">
        <f>E76</f>
        <v>bulls</v>
      </c>
      <c r="F85" t="s">
        <v>311</v>
      </c>
      <c r="J85" s="33" t="str">
        <f t="shared" si="1"/>
        <v>feeding_losses</v>
      </c>
      <c r="K85" s="33">
        <f t="shared" si="1"/>
        <v>5</v>
      </c>
      <c r="L85" s="33" t="str">
        <f t="shared" si="1"/>
        <v>%</v>
      </c>
      <c r="M85" s="33" t="str">
        <f t="shared" si="1"/>
        <v>No feeding on pasture</v>
      </c>
      <c r="N85" s="33" t="str">
        <f t="shared" si="1"/>
        <v>Cederberg &amp; Henriksson. 2020. Gräsmarkernas användning i jordbruket</v>
      </c>
    </row>
    <row r="86" spans="1:14" x14ac:dyDescent="0.25">
      <c r="A86" s="33" t="str">
        <f t="shared" si="0"/>
        <v>cattle</v>
      </c>
      <c r="F86" t="s">
        <v>311</v>
      </c>
      <c r="J86" s="33" t="str">
        <f t="shared" si="1"/>
        <v>feeding_losses</v>
      </c>
      <c r="K86" s="33">
        <f t="shared" si="1"/>
        <v>6</v>
      </c>
      <c r="L86" s="33" t="str">
        <f t="shared" si="1"/>
        <v>%</v>
      </c>
      <c r="M86" s="33" t="str">
        <f t="shared" si="1"/>
        <v>10% feeding on pasture</v>
      </c>
      <c r="N86" s="33" t="str">
        <f t="shared" si="1"/>
        <v>Cederberg &amp; Henriksson. 2020. Gräsmarkernas användning i jordbruket</v>
      </c>
    </row>
    <row r="87" spans="1:14" x14ac:dyDescent="0.25">
      <c r="A87" s="33" t="str">
        <f t="shared" si="0"/>
        <v>sheep</v>
      </c>
      <c r="F87" t="s">
        <v>311</v>
      </c>
      <c r="J87" s="33" t="str">
        <f t="shared" si="1"/>
        <v>feeding_losses</v>
      </c>
      <c r="K87" s="33">
        <f t="shared" si="1"/>
        <v>15</v>
      </c>
      <c r="L87" s="33" t="str">
        <f t="shared" si="1"/>
        <v>%</v>
      </c>
      <c r="M87" s="33"/>
      <c r="N87" s="33" t="str">
        <f t="shared" ref="N87:N88" si="2">N78</f>
        <v>Cederberg &amp; Henriksson. 2020. Gräsmarkernas användning i jordbruket</v>
      </c>
    </row>
    <row r="88" spans="1:14" x14ac:dyDescent="0.25">
      <c r="A88" s="33" t="str">
        <f t="shared" si="0"/>
        <v>horses</v>
      </c>
      <c r="F88" t="s">
        <v>311</v>
      </c>
      <c r="J88" s="33" t="str">
        <f t="shared" si="1"/>
        <v>feeding_losses</v>
      </c>
      <c r="K88" s="33">
        <f t="shared" si="1"/>
        <v>15</v>
      </c>
      <c r="L88" s="33" t="str">
        <f t="shared" si="1"/>
        <v>%</v>
      </c>
      <c r="M88" s="33"/>
      <c r="N88" s="33" t="str">
        <f t="shared" si="2"/>
        <v>Cederberg &amp; Henriksson. 2020. Gräsmarkernas användning i jordbruket</v>
      </c>
    </row>
    <row r="89" spans="1:14" x14ac:dyDescent="0.25">
      <c r="A89" s="33"/>
      <c r="B89" s="33"/>
      <c r="E89" s="33"/>
      <c r="F89" t="s">
        <v>312</v>
      </c>
      <c r="J89" s="29" t="s">
        <v>397</v>
      </c>
      <c r="K89" s="29">
        <v>5</v>
      </c>
      <c r="L89" s="29" t="s">
        <v>28</v>
      </c>
      <c r="M89" s="29"/>
      <c r="N89" t="s">
        <v>399</v>
      </c>
    </row>
    <row r="90" spans="1:14" x14ac:dyDescent="0.25">
      <c r="A90" s="33" t="str">
        <f>A75</f>
        <v>cattle</v>
      </c>
      <c r="B90" s="33" t="str">
        <f>B75</f>
        <v>dairy</v>
      </c>
      <c r="E90" s="33" t="str">
        <f t="shared" ref="E90:E91" si="3">E75</f>
        <v>cows</v>
      </c>
      <c r="F90" t="s">
        <v>312</v>
      </c>
      <c r="J90" s="33" t="str">
        <f t="shared" ref="J90:N94" si="4">J75</f>
        <v>feeding_losses</v>
      </c>
      <c r="K90" s="33">
        <f t="shared" si="4"/>
        <v>5</v>
      </c>
      <c r="L90" s="33" t="str">
        <f t="shared" si="4"/>
        <v>%</v>
      </c>
      <c r="M90" s="33" t="str">
        <f t="shared" si="4"/>
        <v>No feeding on pasture</v>
      </c>
      <c r="N90" s="33" t="str">
        <f t="shared" si="4"/>
        <v>Cederberg &amp; Henriksson. 2020. Gräsmarkernas användning i jordbruket</v>
      </c>
    </row>
    <row r="91" spans="1:14" x14ac:dyDescent="0.25">
      <c r="A91" s="33" t="str">
        <f t="shared" ref="A91:A94" si="5">A76</f>
        <v>cattle</v>
      </c>
      <c r="E91" s="33" t="str">
        <f t="shared" si="3"/>
        <v>bulls</v>
      </c>
      <c r="F91" t="s">
        <v>312</v>
      </c>
      <c r="J91" s="33" t="str">
        <f t="shared" si="4"/>
        <v>feeding_losses</v>
      </c>
      <c r="K91" s="33">
        <f t="shared" si="4"/>
        <v>5</v>
      </c>
      <c r="L91" s="33" t="str">
        <f t="shared" si="4"/>
        <v>%</v>
      </c>
      <c r="M91" s="33" t="str">
        <f t="shared" si="4"/>
        <v>No feeding on pasture</v>
      </c>
      <c r="N91" s="33" t="str">
        <f t="shared" si="4"/>
        <v>Cederberg &amp; Henriksson. 2020. Gräsmarkernas användning i jordbruket</v>
      </c>
    </row>
    <row r="92" spans="1:14" x14ac:dyDescent="0.25">
      <c r="A92" s="33" t="str">
        <f t="shared" si="5"/>
        <v>cattle</v>
      </c>
      <c r="F92" t="s">
        <v>312</v>
      </c>
      <c r="J92" s="33" t="str">
        <f t="shared" si="4"/>
        <v>feeding_losses</v>
      </c>
      <c r="K92" s="33">
        <f t="shared" si="4"/>
        <v>6</v>
      </c>
      <c r="L92" s="33" t="str">
        <f t="shared" si="4"/>
        <v>%</v>
      </c>
      <c r="M92" s="33" t="str">
        <f t="shared" si="4"/>
        <v>10% feeding on pasture</v>
      </c>
      <c r="N92" s="33" t="str">
        <f t="shared" si="4"/>
        <v>Cederberg &amp; Henriksson. 2020. Gräsmarkernas användning i jordbruket</v>
      </c>
    </row>
    <row r="93" spans="1:14" x14ac:dyDescent="0.25">
      <c r="A93" s="33" t="str">
        <f t="shared" si="5"/>
        <v>sheep</v>
      </c>
      <c r="F93" t="s">
        <v>312</v>
      </c>
      <c r="J93" s="33" t="str">
        <f t="shared" si="4"/>
        <v>feeding_losses</v>
      </c>
      <c r="K93" s="33">
        <f t="shared" si="4"/>
        <v>15</v>
      </c>
      <c r="L93" s="33" t="str">
        <f t="shared" si="4"/>
        <v>%</v>
      </c>
      <c r="M93" s="33"/>
      <c r="N93" s="33" t="str">
        <f t="shared" si="4"/>
        <v>Cederberg &amp; Henriksson. 2020. Gräsmarkernas användning i jordbruket</v>
      </c>
    </row>
    <row r="94" spans="1:14" x14ac:dyDescent="0.25">
      <c r="A94" s="33" t="str">
        <f t="shared" si="5"/>
        <v>horses</v>
      </c>
      <c r="F94" t="s">
        <v>312</v>
      </c>
      <c r="J94" s="33" t="str">
        <f t="shared" si="4"/>
        <v>feeding_losses</v>
      </c>
      <c r="K94" s="33">
        <f t="shared" si="4"/>
        <v>15</v>
      </c>
      <c r="L94" s="33" t="str">
        <f t="shared" si="4"/>
        <v>%</v>
      </c>
      <c r="M94" s="33"/>
      <c r="N94" s="33" t="str">
        <f t="shared" si="4"/>
        <v>Cederberg &amp; Henriksson. 2020. Gräsmarkernas användning i jordbruket</v>
      </c>
    </row>
    <row r="95" spans="1:14" x14ac:dyDescent="0.25">
      <c r="F95" t="s">
        <v>2</v>
      </c>
      <c r="J95" s="29" t="s">
        <v>397</v>
      </c>
      <c r="K95" s="29">
        <v>5</v>
      </c>
      <c r="L95" s="29" t="s">
        <v>28</v>
      </c>
      <c r="M95" s="29"/>
      <c r="N95" t="s">
        <v>399</v>
      </c>
    </row>
    <row r="96" spans="1:14" x14ac:dyDescent="0.25">
      <c r="A96" s="33" t="str">
        <f>A75</f>
        <v>cattle</v>
      </c>
      <c r="B96" s="33" t="str">
        <f>B75</f>
        <v>dairy</v>
      </c>
      <c r="E96" s="33" t="str">
        <f t="shared" ref="E96:E97" si="6">E75</f>
        <v>cows</v>
      </c>
      <c r="F96" t="s">
        <v>2</v>
      </c>
      <c r="J96" s="33" t="str">
        <f t="shared" ref="J96:N100" si="7">J75</f>
        <v>feeding_losses</v>
      </c>
      <c r="K96" s="33">
        <f t="shared" si="7"/>
        <v>5</v>
      </c>
      <c r="L96" s="33" t="str">
        <f t="shared" si="7"/>
        <v>%</v>
      </c>
      <c r="M96" s="33" t="str">
        <f t="shared" si="7"/>
        <v>No feeding on pasture</v>
      </c>
      <c r="N96" s="33" t="str">
        <f t="shared" si="7"/>
        <v>Cederberg &amp; Henriksson. 2020. Gräsmarkernas användning i jordbruket</v>
      </c>
    </row>
    <row r="97" spans="1:14" x14ac:dyDescent="0.25">
      <c r="A97" s="33" t="str">
        <f t="shared" ref="A97:A100" si="8">A76</f>
        <v>cattle</v>
      </c>
      <c r="E97" s="33" t="str">
        <f t="shared" si="6"/>
        <v>bulls</v>
      </c>
      <c r="F97" t="s">
        <v>2</v>
      </c>
      <c r="J97" s="33" t="str">
        <f t="shared" si="7"/>
        <v>feeding_losses</v>
      </c>
      <c r="K97" s="33">
        <f t="shared" si="7"/>
        <v>5</v>
      </c>
      <c r="L97" s="33" t="str">
        <f t="shared" si="7"/>
        <v>%</v>
      </c>
      <c r="M97" s="33" t="str">
        <f t="shared" si="7"/>
        <v>No feeding on pasture</v>
      </c>
      <c r="N97" s="33" t="str">
        <f t="shared" si="7"/>
        <v>Cederberg &amp; Henriksson. 2020. Gräsmarkernas användning i jordbruket</v>
      </c>
    </row>
    <row r="98" spans="1:14" x14ac:dyDescent="0.25">
      <c r="A98" s="33" t="str">
        <f t="shared" si="8"/>
        <v>cattle</v>
      </c>
      <c r="F98" t="s">
        <v>2</v>
      </c>
      <c r="J98" s="33" t="str">
        <f t="shared" si="7"/>
        <v>feeding_losses</v>
      </c>
      <c r="K98" s="33">
        <f t="shared" si="7"/>
        <v>6</v>
      </c>
      <c r="L98" s="33" t="str">
        <f t="shared" si="7"/>
        <v>%</v>
      </c>
      <c r="M98" s="33" t="str">
        <f t="shared" si="7"/>
        <v>10% feeding on pasture</v>
      </c>
      <c r="N98" s="33" t="str">
        <f t="shared" si="7"/>
        <v>Cederberg &amp; Henriksson. 2020. Gräsmarkernas användning i jordbruket</v>
      </c>
    </row>
    <row r="99" spans="1:14" x14ac:dyDescent="0.25">
      <c r="A99" s="33" t="str">
        <f t="shared" si="8"/>
        <v>sheep</v>
      </c>
      <c r="F99" t="s">
        <v>2</v>
      </c>
      <c r="J99" s="33" t="str">
        <f t="shared" si="7"/>
        <v>feeding_losses</v>
      </c>
      <c r="K99" s="33">
        <f t="shared" si="7"/>
        <v>15</v>
      </c>
      <c r="L99" s="33" t="str">
        <f t="shared" si="7"/>
        <v>%</v>
      </c>
      <c r="M99" s="29"/>
      <c r="N99" s="33" t="str">
        <f t="shared" ref="N99:N100" si="9">N78</f>
        <v>Cederberg &amp; Henriksson. 2020. Gräsmarkernas användning i jordbruket</v>
      </c>
    </row>
    <row r="100" spans="1:14" x14ac:dyDescent="0.25">
      <c r="A100" s="33" t="str">
        <f t="shared" si="8"/>
        <v>horses</v>
      </c>
      <c r="F100" t="s">
        <v>2</v>
      </c>
      <c r="J100" s="33" t="str">
        <f t="shared" si="7"/>
        <v>feeding_losses</v>
      </c>
      <c r="K100" s="33">
        <f t="shared" si="7"/>
        <v>15</v>
      </c>
      <c r="L100" s="33" t="str">
        <f t="shared" si="7"/>
        <v>%</v>
      </c>
      <c r="M100" s="29"/>
      <c r="N100" s="33" t="str">
        <f t="shared" si="9"/>
        <v>Cederberg &amp; Henriksson. 2020. Gräsmarkernas användning i jordbruket</v>
      </c>
    </row>
    <row r="101" spans="1:14" x14ac:dyDescent="0.25">
      <c r="F101" t="s">
        <v>12</v>
      </c>
      <c r="J101" s="29" t="s">
        <v>397</v>
      </c>
      <c r="K101" s="29">
        <v>5</v>
      </c>
      <c r="L101" s="29" t="s">
        <v>28</v>
      </c>
      <c r="M101" s="29"/>
      <c r="N101" t="s">
        <v>399</v>
      </c>
    </row>
    <row r="102" spans="1:14" x14ac:dyDescent="0.25">
      <c r="A102" s="33" t="str">
        <f>A75</f>
        <v>cattle</v>
      </c>
      <c r="B102" s="33" t="str">
        <f>B75</f>
        <v>dairy</v>
      </c>
      <c r="E102" s="33" t="str">
        <f t="shared" ref="E102:E103" si="10">E75</f>
        <v>cows</v>
      </c>
      <c r="F102" t="s">
        <v>12</v>
      </c>
      <c r="J102" s="33" t="str">
        <f t="shared" ref="J102:N106" si="11">J75</f>
        <v>feeding_losses</v>
      </c>
      <c r="K102" s="33">
        <f t="shared" si="11"/>
        <v>5</v>
      </c>
      <c r="L102" s="33" t="str">
        <f t="shared" si="11"/>
        <v>%</v>
      </c>
      <c r="M102" s="33" t="str">
        <f t="shared" si="11"/>
        <v>No feeding on pasture</v>
      </c>
      <c r="N102" s="33" t="str">
        <f t="shared" si="11"/>
        <v>Cederberg &amp; Henriksson. 2020. Gräsmarkernas användning i jordbruket</v>
      </c>
    </row>
    <row r="103" spans="1:14" x14ac:dyDescent="0.25">
      <c r="A103" s="33" t="str">
        <f t="shared" ref="A103:A106" si="12">A76</f>
        <v>cattle</v>
      </c>
      <c r="E103" s="33" t="str">
        <f t="shared" si="10"/>
        <v>bulls</v>
      </c>
      <c r="F103" t="s">
        <v>12</v>
      </c>
      <c r="J103" s="33" t="str">
        <f t="shared" si="11"/>
        <v>feeding_losses</v>
      </c>
      <c r="K103" s="33">
        <f t="shared" si="11"/>
        <v>5</v>
      </c>
      <c r="L103" s="33" t="str">
        <f t="shared" si="11"/>
        <v>%</v>
      </c>
      <c r="M103" s="33" t="str">
        <f t="shared" si="11"/>
        <v>No feeding on pasture</v>
      </c>
      <c r="N103" s="33" t="str">
        <f t="shared" si="11"/>
        <v>Cederberg &amp; Henriksson. 2020. Gräsmarkernas användning i jordbruket</v>
      </c>
    </row>
    <row r="104" spans="1:14" x14ac:dyDescent="0.25">
      <c r="A104" s="33" t="str">
        <f t="shared" si="12"/>
        <v>cattle</v>
      </c>
      <c r="F104" t="s">
        <v>12</v>
      </c>
      <c r="J104" s="33" t="str">
        <f t="shared" si="11"/>
        <v>feeding_losses</v>
      </c>
      <c r="K104" s="33">
        <f t="shared" si="11"/>
        <v>6</v>
      </c>
      <c r="L104" s="33" t="str">
        <f t="shared" si="11"/>
        <v>%</v>
      </c>
      <c r="M104" s="33" t="str">
        <f t="shared" si="11"/>
        <v>10% feeding on pasture</v>
      </c>
      <c r="N104" s="33" t="str">
        <f t="shared" si="11"/>
        <v>Cederberg &amp; Henriksson. 2020. Gräsmarkernas användning i jordbruket</v>
      </c>
    </row>
    <row r="105" spans="1:14" x14ac:dyDescent="0.25">
      <c r="A105" s="33" t="str">
        <f t="shared" si="12"/>
        <v>sheep</v>
      </c>
      <c r="F105" t="s">
        <v>12</v>
      </c>
      <c r="J105" s="33" t="str">
        <f t="shared" si="11"/>
        <v>feeding_losses</v>
      </c>
      <c r="K105" s="33">
        <f t="shared" si="11"/>
        <v>15</v>
      </c>
      <c r="L105" s="33" t="str">
        <f t="shared" si="11"/>
        <v>%</v>
      </c>
      <c r="M105" s="29"/>
      <c r="N105" s="33" t="str">
        <f t="shared" ref="N105:N106" si="13">N78</f>
        <v>Cederberg &amp; Henriksson. 2020. Gräsmarkernas användning i jordbruket</v>
      </c>
    </row>
    <row r="106" spans="1:14" x14ac:dyDescent="0.25">
      <c r="A106" s="33" t="str">
        <f t="shared" si="12"/>
        <v>horses</v>
      </c>
      <c r="F106" t="s">
        <v>12</v>
      </c>
      <c r="J106" s="33" t="str">
        <f t="shared" si="11"/>
        <v>feeding_losses</v>
      </c>
      <c r="K106" s="33">
        <f t="shared" si="11"/>
        <v>15</v>
      </c>
      <c r="L106" s="33" t="str">
        <f t="shared" si="11"/>
        <v>%</v>
      </c>
      <c r="M106" s="29"/>
      <c r="N106" s="33" t="str">
        <f t="shared" si="13"/>
        <v>Cederberg &amp; Henriksson. 2020. Gräsmarkernas användning i jordbruket</v>
      </c>
    </row>
    <row r="107" spans="1:14" x14ac:dyDescent="0.25">
      <c r="A107" s="33"/>
      <c r="F107" t="s">
        <v>33</v>
      </c>
      <c r="J107" s="29" t="s">
        <v>397</v>
      </c>
      <c r="K107" s="29">
        <v>0</v>
      </c>
      <c r="L107" t="s">
        <v>28</v>
      </c>
      <c r="M107" s="29" t="s">
        <v>409</v>
      </c>
      <c r="N107" s="33"/>
    </row>
    <row r="108" spans="1:14" x14ac:dyDescent="0.25">
      <c r="A108" t="s">
        <v>24</v>
      </c>
      <c r="F108" t="s">
        <v>33</v>
      </c>
      <c r="J108" t="s">
        <v>398</v>
      </c>
      <c r="K108" s="29">
        <f>100-55</f>
        <v>45</v>
      </c>
      <c r="L108" t="s">
        <v>28</v>
      </c>
      <c r="M108" s="29" t="s">
        <v>401</v>
      </c>
      <c r="N108" t="s">
        <v>399</v>
      </c>
    </row>
    <row r="109" spans="1:14" x14ac:dyDescent="0.25">
      <c r="A109" t="s">
        <v>395</v>
      </c>
      <c r="F109" t="s">
        <v>33</v>
      </c>
      <c r="J109" t="s">
        <v>398</v>
      </c>
      <c r="K109" s="29">
        <f>100-50</f>
        <v>50</v>
      </c>
      <c r="L109" t="s">
        <v>28</v>
      </c>
      <c r="M109" s="29" t="s">
        <v>401</v>
      </c>
      <c r="N109" t="s">
        <v>399</v>
      </c>
    </row>
    <row r="110" spans="1:14" x14ac:dyDescent="0.25">
      <c r="K110" s="3"/>
      <c r="M110" s="29"/>
    </row>
    <row r="111" spans="1:14" x14ac:dyDescent="0.25">
      <c r="A111" s="3" t="s">
        <v>408</v>
      </c>
      <c r="K111" s="3"/>
      <c r="M111" s="29"/>
    </row>
    <row r="112" spans="1:14" x14ac:dyDescent="0.25">
      <c r="K112" s="3"/>
      <c r="M112" s="29"/>
    </row>
    <row r="113" spans="1:14" x14ac:dyDescent="0.25">
      <c r="K113" s="3"/>
      <c r="M113" s="3"/>
    </row>
    <row r="114" spans="1:14" x14ac:dyDescent="0.25">
      <c r="A114" s="1" t="s">
        <v>26</v>
      </c>
      <c r="B114" s="1"/>
      <c r="C114" s="1"/>
      <c r="D114" s="1"/>
      <c r="E114" s="2"/>
      <c r="F114" s="2"/>
      <c r="G114" s="2"/>
      <c r="H114" s="2"/>
      <c r="I114" s="2"/>
      <c r="J114" s="2"/>
      <c r="K114" s="2"/>
      <c r="L114" s="2"/>
      <c r="M114" s="2" t="s">
        <v>303</v>
      </c>
      <c r="N114" s="2"/>
    </row>
    <row r="115" spans="1:14" x14ac:dyDescent="0.25">
      <c r="F115" t="s">
        <v>310</v>
      </c>
      <c r="J115" t="s">
        <v>390</v>
      </c>
      <c r="K115" s="26">
        <f>INDEX('feed pars'!C$6:C$43,MATCH(F115,'feed pars'!B$6:B$43,0))</f>
        <v>100</v>
      </c>
      <c r="L115" t="s">
        <v>28</v>
      </c>
      <c r="M115" s="29" t="s">
        <v>393</v>
      </c>
    </row>
    <row r="116" spans="1:14" x14ac:dyDescent="0.25">
      <c r="F116" t="s">
        <v>311</v>
      </c>
      <c r="J116" t="s">
        <v>390</v>
      </c>
      <c r="K116" s="26">
        <f>INDEX('feed pars'!C$6:C$43,MATCH(F116,'feed pars'!B$6:B$43,0))</f>
        <v>100</v>
      </c>
      <c r="L116" t="s">
        <v>28</v>
      </c>
      <c r="M116" s="3"/>
    </row>
    <row r="117" spans="1:14" x14ac:dyDescent="0.25">
      <c r="F117" t="s">
        <v>312</v>
      </c>
      <c r="J117" t="s">
        <v>390</v>
      </c>
      <c r="K117" s="26">
        <f>INDEX('feed pars'!C$6:C$43,MATCH(F117,'feed pars'!B$6:B$43,0))</f>
        <v>100</v>
      </c>
      <c r="L117" t="s">
        <v>28</v>
      </c>
      <c r="M117" s="3"/>
    </row>
    <row r="118" spans="1:14" x14ac:dyDescent="0.25">
      <c r="F118" t="s">
        <v>2</v>
      </c>
      <c r="J118" t="s">
        <v>390</v>
      </c>
      <c r="K118" s="26">
        <f>INDEX('feed pars'!C$6:C$43,MATCH(F118,'feed pars'!B$6:B$43,0))</f>
        <v>100</v>
      </c>
      <c r="L118" t="s">
        <v>28</v>
      </c>
      <c r="M118" s="3"/>
    </row>
    <row r="119" spans="1:14" x14ac:dyDescent="0.25">
      <c r="F119" t="s">
        <v>12</v>
      </c>
      <c r="J119" t="s">
        <v>390</v>
      </c>
      <c r="K119" s="26">
        <f>INDEX('feed pars'!C$6:C$43,MATCH(F119,'feed pars'!B$6:B$43,0))</f>
        <v>100</v>
      </c>
      <c r="L119" t="s">
        <v>28</v>
      </c>
      <c r="M119" s="3"/>
    </row>
    <row r="120" spans="1:14" x14ac:dyDescent="0.25">
      <c r="F120" t="s">
        <v>33</v>
      </c>
      <c r="J120" t="s">
        <v>390</v>
      </c>
      <c r="K120" s="26">
        <f>INDEX('feed pars'!C$6:C$43,MATCH(F120,'feed pars'!B$6:B$43,0))</f>
        <v>100</v>
      </c>
      <c r="L120" t="s">
        <v>28</v>
      </c>
      <c r="M120" s="3"/>
    </row>
    <row r="121" spans="1:14" x14ac:dyDescent="0.25">
      <c r="F121" t="s">
        <v>17</v>
      </c>
      <c r="J121" t="s">
        <v>390</v>
      </c>
      <c r="K121" s="26">
        <f>INDEX('feed pars'!C$6:C$43,MATCH(F121,'feed pars'!B$6:B$43,0))</f>
        <v>87</v>
      </c>
      <c r="L121" t="s">
        <v>28</v>
      </c>
      <c r="M121" s="3"/>
    </row>
    <row r="122" spans="1:14" x14ac:dyDescent="0.25">
      <c r="F122" t="s">
        <v>37</v>
      </c>
      <c r="J122" t="s">
        <v>390</v>
      </c>
      <c r="K122" s="26">
        <f>INDEX('feed pars'!C$6:C$43,MATCH(F122,'feed pars'!B$6:B$43,0))</f>
        <v>87</v>
      </c>
      <c r="L122" t="s">
        <v>28</v>
      </c>
      <c r="M122" s="3"/>
    </row>
    <row r="123" spans="1:14" x14ac:dyDescent="0.25">
      <c r="F123" t="s">
        <v>38</v>
      </c>
      <c r="J123" t="s">
        <v>390</v>
      </c>
      <c r="K123" s="26">
        <f>INDEX('feed pars'!C$6:C$43,MATCH(F123,'feed pars'!B$6:B$43,0))</f>
        <v>86</v>
      </c>
      <c r="L123" t="s">
        <v>28</v>
      </c>
      <c r="M123" s="3"/>
    </row>
    <row r="124" spans="1:14" x14ac:dyDescent="0.25">
      <c r="F124" t="s">
        <v>39</v>
      </c>
      <c r="J124" t="s">
        <v>390</v>
      </c>
      <c r="K124" s="26">
        <f>INDEX('feed pars'!C$6:C$43,MATCH(F124,'feed pars'!B$6:B$43,0))</f>
        <v>87</v>
      </c>
      <c r="L124" t="s">
        <v>28</v>
      </c>
      <c r="M124" s="3"/>
    </row>
    <row r="125" spans="1:14" x14ac:dyDescent="0.25">
      <c r="F125" t="s">
        <v>317</v>
      </c>
      <c r="J125" t="s">
        <v>390</v>
      </c>
      <c r="K125" s="26">
        <f>INDEX('feed pars'!C$6:C$43,MATCH(F125,'feed pars'!B$6:B$43,0))</f>
        <v>87</v>
      </c>
      <c r="L125" t="s">
        <v>28</v>
      </c>
      <c r="M125" s="3"/>
    </row>
    <row r="126" spans="1:14" x14ac:dyDescent="0.25">
      <c r="F126" t="s">
        <v>40</v>
      </c>
      <c r="J126" t="s">
        <v>390</v>
      </c>
      <c r="K126" s="26">
        <f>INDEX('feed pars'!C$6:C$43,MATCH(F126,'feed pars'!B$6:B$43,0))</f>
        <v>67.5</v>
      </c>
      <c r="L126" t="s">
        <v>28</v>
      </c>
      <c r="M126" s="3"/>
    </row>
    <row r="127" spans="1:14" x14ac:dyDescent="0.25">
      <c r="F127" t="s">
        <v>41</v>
      </c>
      <c r="J127" t="s">
        <v>390</v>
      </c>
      <c r="K127" s="26">
        <f>INDEX('feed pars'!C$6:C$43,MATCH(F127,'feed pars'!B$6:B$43,0))</f>
        <v>87</v>
      </c>
      <c r="L127" t="s">
        <v>28</v>
      </c>
      <c r="M127" s="3"/>
    </row>
    <row r="128" spans="1:14" x14ac:dyDescent="0.25">
      <c r="F128" t="s">
        <v>42</v>
      </c>
      <c r="J128" t="s">
        <v>390</v>
      </c>
      <c r="K128" s="26">
        <f>INDEX('feed pars'!C$6:C$43,MATCH(F128,'feed pars'!B$6:B$43,0))</f>
        <v>86.8</v>
      </c>
      <c r="L128" t="s">
        <v>28</v>
      </c>
      <c r="M128" s="3"/>
    </row>
    <row r="129" spans="6:13" x14ac:dyDescent="0.25">
      <c r="F129" t="s">
        <v>35</v>
      </c>
      <c r="J129" t="s">
        <v>390</v>
      </c>
      <c r="K129" s="26">
        <f>INDEX('feed pars'!C$6:C$43,MATCH(F129,'feed pars'!B$6:B$43,0))</f>
        <v>92.5</v>
      </c>
      <c r="L129" t="s">
        <v>28</v>
      </c>
      <c r="M129" s="3"/>
    </row>
    <row r="130" spans="6:13" x14ac:dyDescent="0.25">
      <c r="F130" t="s">
        <v>43</v>
      </c>
      <c r="J130" t="s">
        <v>390</v>
      </c>
      <c r="K130" s="26">
        <f>INDEX('feed pars'!C$6:C$43,MATCH(F130,'feed pars'!B$6:B$43,0))</f>
        <v>92</v>
      </c>
      <c r="L130" t="s">
        <v>28</v>
      </c>
      <c r="M130" s="3"/>
    </row>
    <row r="131" spans="6:13" x14ac:dyDescent="0.25">
      <c r="F131" t="s">
        <v>314</v>
      </c>
      <c r="J131" t="s">
        <v>390</v>
      </c>
      <c r="K131" s="26">
        <f>INDEX('feed pars'!C$6:C$43,MATCH(F131,'feed pars'!B$6:B$43,0))</f>
        <v>100</v>
      </c>
      <c r="L131" t="s">
        <v>28</v>
      </c>
      <c r="M131" s="3"/>
    </row>
    <row r="132" spans="6:13" x14ac:dyDescent="0.25">
      <c r="F132" t="s">
        <v>305</v>
      </c>
      <c r="J132" t="s">
        <v>390</v>
      </c>
      <c r="K132" s="26">
        <f>INDEX('feed pars'!C$6:C$43,MATCH(F132,'feed pars'!B$6:B$43,0))</f>
        <v>85</v>
      </c>
      <c r="L132" t="s">
        <v>28</v>
      </c>
      <c r="M132" s="3"/>
    </row>
    <row r="133" spans="6:13" x14ac:dyDescent="0.25">
      <c r="F133" t="s">
        <v>318</v>
      </c>
      <c r="J133" t="s">
        <v>390</v>
      </c>
      <c r="K133" s="26">
        <f>INDEX('feed pars'!C$6:C$43,MATCH(F133,'feed pars'!B$6:B$43,0))</f>
        <v>87</v>
      </c>
      <c r="L133" t="s">
        <v>28</v>
      </c>
      <c r="M133" s="3"/>
    </row>
    <row r="134" spans="6:13" x14ac:dyDescent="0.25">
      <c r="F134" t="s">
        <v>44</v>
      </c>
      <c r="J134" t="s">
        <v>390</v>
      </c>
      <c r="K134" s="26">
        <f>INDEX('feed pars'!C$6:C$43,MATCH(F134,'feed pars'!B$6:B$43,0))</f>
        <v>87.5</v>
      </c>
      <c r="L134" t="s">
        <v>28</v>
      </c>
      <c r="M134" s="3"/>
    </row>
    <row r="135" spans="6:13" x14ac:dyDescent="0.25">
      <c r="F135" t="s">
        <v>45</v>
      </c>
      <c r="J135" t="s">
        <v>390</v>
      </c>
      <c r="K135" s="26">
        <f>INDEX('feed pars'!C$6:C$43,MATCH(F135,'feed pars'!B$6:B$43,0))</f>
        <v>87</v>
      </c>
      <c r="L135" t="s">
        <v>28</v>
      </c>
      <c r="M135" s="3"/>
    </row>
    <row r="136" spans="6:13" x14ac:dyDescent="0.25">
      <c r="F136" t="s">
        <v>36</v>
      </c>
      <c r="J136" t="s">
        <v>390</v>
      </c>
      <c r="K136" s="26">
        <f>INDEX('feed pars'!C$6:C$43,MATCH(F136,'feed pars'!B$6:B$43,0))</f>
        <v>89.5</v>
      </c>
      <c r="L136" t="s">
        <v>28</v>
      </c>
      <c r="M136" s="3"/>
    </row>
    <row r="137" spans="6:13" x14ac:dyDescent="0.25">
      <c r="F137" t="s">
        <v>46</v>
      </c>
      <c r="J137" t="s">
        <v>390</v>
      </c>
      <c r="K137" s="26">
        <f>INDEX('feed pars'!C$6:C$43,MATCH(F137,'feed pars'!B$6:B$43,0))</f>
        <v>91</v>
      </c>
      <c r="L137" t="s">
        <v>28</v>
      </c>
      <c r="M137" s="3"/>
    </row>
    <row r="138" spans="6:13" x14ac:dyDescent="0.25">
      <c r="F138" t="s">
        <v>47</v>
      </c>
      <c r="J138" t="s">
        <v>390</v>
      </c>
      <c r="K138" s="26">
        <f>INDEX('feed pars'!C$6:C$43,MATCH(F138,'feed pars'!B$6:B$43,0))</f>
        <v>91</v>
      </c>
      <c r="L138" t="s">
        <v>28</v>
      </c>
      <c r="M138" s="3"/>
    </row>
    <row r="139" spans="6:13" x14ac:dyDescent="0.25">
      <c r="F139" t="s">
        <v>319</v>
      </c>
      <c r="J139" t="s">
        <v>390</v>
      </c>
      <c r="K139" s="26">
        <f>INDEX('feed pars'!C$6:C$43,MATCH(F139,'feed pars'!B$6:B$43,0))</f>
        <v>90</v>
      </c>
      <c r="L139" t="s">
        <v>28</v>
      </c>
      <c r="M139" s="3"/>
    </row>
    <row r="140" spans="6:13" x14ac:dyDescent="0.25">
      <c r="F140" t="s">
        <v>48</v>
      </c>
      <c r="J140" t="s">
        <v>390</v>
      </c>
      <c r="K140" s="26">
        <f>INDEX('feed pars'!C$6:C$43,MATCH(F140,'feed pars'!B$6:B$43,0))</f>
        <v>87</v>
      </c>
      <c r="L140" t="s">
        <v>28</v>
      </c>
      <c r="M140" s="3"/>
    </row>
    <row r="141" spans="6:13" x14ac:dyDescent="0.25">
      <c r="F141" t="s">
        <v>49</v>
      </c>
      <c r="J141" t="s">
        <v>390</v>
      </c>
      <c r="K141" s="26">
        <f>INDEX('feed pars'!C$6:C$43,MATCH(F141,'feed pars'!B$6:B$43,0))</f>
        <v>88</v>
      </c>
      <c r="L141" t="s">
        <v>28</v>
      </c>
      <c r="M141" s="3"/>
    </row>
    <row r="142" spans="6:13" x14ac:dyDescent="0.25">
      <c r="F142" t="s">
        <v>50</v>
      </c>
      <c r="J142" t="s">
        <v>390</v>
      </c>
      <c r="K142" s="26">
        <f>INDEX('feed pars'!C$6:C$43,MATCH(F142,'feed pars'!B$6:B$43,0))</f>
        <v>90</v>
      </c>
      <c r="L142" t="s">
        <v>28</v>
      </c>
      <c r="M142" s="3"/>
    </row>
    <row r="143" spans="6:13" x14ac:dyDescent="0.25">
      <c r="F143" t="s">
        <v>51</v>
      </c>
      <c r="J143" t="s">
        <v>390</v>
      </c>
      <c r="K143" s="26">
        <f>INDEX('feed pars'!C$6:C$43,MATCH(F143,'feed pars'!B$6:B$43,0))</f>
        <v>11</v>
      </c>
      <c r="L143" t="s">
        <v>28</v>
      </c>
      <c r="M143" s="3"/>
    </row>
    <row r="144" spans="6:13" x14ac:dyDescent="0.25">
      <c r="F144" t="s">
        <v>313</v>
      </c>
      <c r="J144" t="s">
        <v>390</v>
      </c>
      <c r="K144" s="26">
        <f>INDEX('feed pars'!C$6:C$43,MATCH(F144,'feed pars'!B$6:B$43,0))</f>
        <v>90</v>
      </c>
      <c r="L144" t="s">
        <v>28</v>
      </c>
      <c r="M144" s="3"/>
    </row>
    <row r="145" spans="1:14" x14ac:dyDescent="0.25">
      <c r="F145" t="s">
        <v>388</v>
      </c>
      <c r="J145" t="s">
        <v>390</v>
      </c>
      <c r="K145" s="26">
        <f>INDEX('feed pars'!C$6:C$43,MATCH(F145,'feed pars'!B$6:B$43,0))</f>
        <v>87</v>
      </c>
      <c r="L145" t="s">
        <v>28</v>
      </c>
      <c r="M145" s="3"/>
    </row>
    <row r="146" spans="1:14" x14ac:dyDescent="0.25">
      <c r="F146" t="s">
        <v>52</v>
      </c>
      <c r="J146" t="s">
        <v>390</v>
      </c>
      <c r="K146" s="26">
        <f>INDEX('feed pars'!C$6:C$43,MATCH(F146,'feed pars'!B$6:B$43,0))</f>
        <v>75.5</v>
      </c>
      <c r="L146" t="s">
        <v>28</v>
      </c>
      <c r="M146" s="3"/>
    </row>
    <row r="147" spans="1:14" x14ac:dyDescent="0.25">
      <c r="F147" t="s">
        <v>53</v>
      </c>
      <c r="J147" t="s">
        <v>390</v>
      </c>
      <c r="K147" s="26">
        <f>INDEX('feed pars'!C$6:C$43,MATCH(F147,'feed pars'!B$6:B$43,0))</f>
        <v>89.5</v>
      </c>
      <c r="L147" t="s">
        <v>28</v>
      </c>
      <c r="M147" s="3"/>
    </row>
    <row r="148" spans="1:14" x14ac:dyDescent="0.25">
      <c r="F148" t="s">
        <v>54</v>
      </c>
      <c r="J148" t="s">
        <v>390</v>
      </c>
      <c r="K148" s="26">
        <f>INDEX('feed pars'!C$6:C$43,MATCH(F148,'feed pars'!B$6:B$43,0))</f>
        <v>6.25</v>
      </c>
      <c r="L148" t="s">
        <v>28</v>
      </c>
      <c r="M148" s="3"/>
    </row>
    <row r="149" spans="1:14" x14ac:dyDescent="0.25">
      <c r="F149" t="s">
        <v>55</v>
      </c>
      <c r="J149" t="s">
        <v>390</v>
      </c>
      <c r="K149" s="26">
        <f>INDEX('feed pars'!C$6:C$43,MATCH(F149,'feed pars'!B$6:B$43,0))</f>
        <v>97</v>
      </c>
      <c r="L149" t="s">
        <v>28</v>
      </c>
      <c r="M149" s="3"/>
    </row>
    <row r="150" spans="1:14" x14ac:dyDescent="0.25">
      <c r="F150" t="s">
        <v>56</v>
      </c>
      <c r="J150" t="s">
        <v>390</v>
      </c>
      <c r="K150" s="26">
        <f>INDEX('feed pars'!C$6:C$43,MATCH(F150,'feed pars'!B$6:B$43,0))</f>
        <v>91</v>
      </c>
      <c r="L150" t="s">
        <v>28</v>
      </c>
      <c r="M150" s="3"/>
    </row>
    <row r="151" spans="1:14" x14ac:dyDescent="0.25">
      <c r="F151" t="s">
        <v>57</v>
      </c>
      <c r="J151" t="s">
        <v>390</v>
      </c>
      <c r="K151" s="26">
        <f>INDEX('feed pars'!C$6:C$43,MATCH(F151,'feed pars'!B$6:B$43,0))</f>
        <v>92</v>
      </c>
      <c r="L151" t="s">
        <v>28</v>
      </c>
      <c r="M151" s="3"/>
    </row>
    <row r="152" spans="1:14" x14ac:dyDescent="0.25">
      <c r="A152" s="7" t="s">
        <v>20</v>
      </c>
      <c r="B152" s="7"/>
      <c r="C152" s="6"/>
      <c r="D152" s="6"/>
      <c r="E152" s="6"/>
      <c r="F152" s="6"/>
      <c r="G152" s="6"/>
      <c r="H152" s="6"/>
      <c r="I152" s="6"/>
      <c r="J152" s="6"/>
      <c r="K152" s="6"/>
      <c r="L152" s="6" t="s">
        <v>19</v>
      </c>
      <c r="M152" s="6"/>
      <c r="N152" s="6"/>
    </row>
    <row r="153" spans="1:14" x14ac:dyDescent="0.25">
      <c r="A153" t="s">
        <v>24</v>
      </c>
      <c r="F153" t="s">
        <v>310</v>
      </c>
      <c r="J153" t="s">
        <v>18</v>
      </c>
      <c r="K153" s="26">
        <f>INDEX('feed pars'!L$6:L$43,MATCH(F153,'feed pars'!B$6:B$43,0))</f>
        <v>11.5</v>
      </c>
      <c r="M153" s="3"/>
    </row>
    <row r="154" spans="1:14" x14ac:dyDescent="0.25">
      <c r="A154" t="s">
        <v>24</v>
      </c>
      <c r="F154" t="s">
        <v>311</v>
      </c>
      <c r="J154" t="s">
        <v>18</v>
      </c>
      <c r="K154" s="26">
        <f>INDEX('feed pars'!L$6:L$43,MATCH(F154,'feed pars'!B$6:B$43,0))</f>
        <v>10.4</v>
      </c>
      <c r="M154" s="3"/>
    </row>
    <row r="155" spans="1:14" x14ac:dyDescent="0.25">
      <c r="A155" t="s">
        <v>24</v>
      </c>
      <c r="F155" t="s">
        <v>312</v>
      </c>
      <c r="J155" t="s">
        <v>18</v>
      </c>
      <c r="K155" s="26">
        <f>INDEX('feed pars'!L$6:L$43,MATCH(F155,'feed pars'!B$6:B$43,0))</f>
        <v>10</v>
      </c>
      <c r="M155" s="3"/>
    </row>
    <row r="156" spans="1:14" x14ac:dyDescent="0.25">
      <c r="A156" t="s">
        <v>24</v>
      </c>
      <c r="F156" t="s">
        <v>12</v>
      </c>
      <c r="J156" t="s">
        <v>18</v>
      </c>
      <c r="K156" s="26">
        <f>INDEX('feed pars'!L$6:L$43,MATCH(F156,'feed pars'!B$6:B$43,0))</f>
        <v>11.3</v>
      </c>
    </row>
    <row r="157" spans="1:14" x14ac:dyDescent="0.25">
      <c r="A157" t="s">
        <v>24</v>
      </c>
      <c r="F157" t="s">
        <v>33</v>
      </c>
      <c r="J157" t="s">
        <v>18</v>
      </c>
      <c r="K157" s="26">
        <f>INDEX('feed pars'!L$6:L$43,MATCH(F157,'feed pars'!B$6:B$43,0))</f>
        <v>10</v>
      </c>
    </row>
    <row r="158" spans="1:14" x14ac:dyDescent="0.25">
      <c r="K158" s="3"/>
    </row>
    <row r="159" spans="1:14" x14ac:dyDescent="0.25">
      <c r="A159" t="s">
        <v>24</v>
      </c>
      <c r="F159" t="s">
        <v>17</v>
      </c>
      <c r="J159" t="s">
        <v>18</v>
      </c>
      <c r="K159" s="26">
        <f>INDEX('feed pars'!L$6:L$43,MATCH(F159,'feed pars'!B$6:B$43,0))</f>
        <v>14.1</v>
      </c>
    </row>
    <row r="160" spans="1:14" x14ac:dyDescent="0.25">
      <c r="A160" t="s">
        <v>24</v>
      </c>
      <c r="F160" t="s">
        <v>37</v>
      </c>
      <c r="J160" t="s">
        <v>18</v>
      </c>
      <c r="K160" s="26">
        <f>INDEX('feed pars'!L$6:L$43,MATCH(F160,'feed pars'!B$6:B$43,0))</f>
        <v>13.2</v>
      </c>
    </row>
    <row r="161" spans="1:11" x14ac:dyDescent="0.25">
      <c r="A161" t="s">
        <v>24</v>
      </c>
      <c r="F161" t="s">
        <v>38</v>
      </c>
      <c r="J161" t="s">
        <v>18</v>
      </c>
      <c r="K161" s="26">
        <f>INDEX('feed pars'!L$6:L$43,MATCH(F161,'feed pars'!B$6:B$43,0))</f>
        <v>11.7</v>
      </c>
    </row>
    <row r="162" spans="1:11" x14ac:dyDescent="0.25">
      <c r="A162" t="s">
        <v>24</v>
      </c>
      <c r="F162" t="s">
        <v>39</v>
      </c>
      <c r="J162" t="s">
        <v>18</v>
      </c>
      <c r="K162" s="26">
        <f>INDEX('feed pars'!L$6:L$43,MATCH(F162,'feed pars'!B$6:B$43,0))</f>
        <v>14</v>
      </c>
    </row>
    <row r="163" spans="1:11" x14ac:dyDescent="0.25">
      <c r="A163" t="s">
        <v>24</v>
      </c>
      <c r="F163" t="s">
        <v>317</v>
      </c>
      <c r="J163" t="s">
        <v>18</v>
      </c>
      <c r="K163" s="26">
        <f>INDEX('feed pars'!L$6:L$43,MATCH(F163,'feed pars'!B$6:B$43,0))</f>
        <v>13.9</v>
      </c>
    </row>
    <row r="164" spans="1:11" x14ac:dyDescent="0.25">
      <c r="A164" t="s">
        <v>24</v>
      </c>
      <c r="F164" t="s">
        <v>40</v>
      </c>
      <c r="J164" t="s">
        <v>18</v>
      </c>
      <c r="K164" s="26">
        <f>INDEX('feed pars'!L$6:L$43,MATCH(F164,'feed pars'!B$6:B$43,0))</f>
        <v>12.8</v>
      </c>
    </row>
    <row r="165" spans="1:11" x14ac:dyDescent="0.25">
      <c r="A165" t="s">
        <v>24</v>
      </c>
      <c r="F165" t="s">
        <v>41</v>
      </c>
      <c r="J165" t="s">
        <v>18</v>
      </c>
      <c r="K165" s="26">
        <f>INDEX('feed pars'!L$6:L$43,MATCH(F165,'feed pars'!B$6:B$43,0))</f>
        <v>13.8</v>
      </c>
    </row>
    <row r="166" spans="1:11" x14ac:dyDescent="0.25">
      <c r="A166" t="s">
        <v>24</v>
      </c>
      <c r="F166" t="s">
        <v>42</v>
      </c>
      <c r="J166" t="s">
        <v>18</v>
      </c>
      <c r="K166" s="26">
        <f>INDEX('feed pars'!L$6:L$43,MATCH(F166,'feed pars'!B$6:B$43,0))</f>
        <v>13.3</v>
      </c>
    </row>
    <row r="167" spans="1:11" x14ac:dyDescent="0.25">
      <c r="A167" t="s">
        <v>24</v>
      </c>
      <c r="F167" t="s">
        <v>35</v>
      </c>
      <c r="J167" t="s">
        <v>18</v>
      </c>
      <c r="K167" s="26">
        <f>INDEX('feed pars'!L$6:L$43,MATCH(F167,'feed pars'!B$6:B$43,0))</f>
        <v>22.1</v>
      </c>
    </row>
    <row r="168" spans="1:11" x14ac:dyDescent="0.25">
      <c r="A168" t="s">
        <v>24</v>
      </c>
      <c r="F168" t="s">
        <v>43</v>
      </c>
      <c r="J168" t="s">
        <v>18</v>
      </c>
      <c r="K168" s="26">
        <f>INDEX('feed pars'!L$6:L$43,MATCH(F168,'feed pars'!B$6:B$43,0))</f>
        <v>20.100000000000001</v>
      </c>
    </row>
    <row r="169" spans="1:11" x14ac:dyDescent="0.25">
      <c r="A169" t="s">
        <v>24</v>
      </c>
      <c r="F169" t="s">
        <v>305</v>
      </c>
      <c r="J169" t="s">
        <v>18</v>
      </c>
      <c r="K169" s="26">
        <f>INDEX('feed pars'!L$6:L$43,MATCH(F169,'feed pars'!B$6:B$43,0))</f>
        <v>6.6</v>
      </c>
    </row>
    <row r="170" spans="1:11" x14ac:dyDescent="0.25">
      <c r="A170" t="s">
        <v>24</v>
      </c>
      <c r="F170" t="s">
        <v>314</v>
      </c>
      <c r="J170" t="s">
        <v>18</v>
      </c>
      <c r="K170" s="26">
        <f>INDEX('feed pars'!L$6:L$43,MATCH(F170,'feed pars'!B$6:B$43,0))</f>
        <v>36.6</v>
      </c>
    </row>
    <row r="171" spans="1:11" x14ac:dyDescent="0.25">
      <c r="A171" t="s">
        <v>24</v>
      </c>
      <c r="F171" t="s">
        <v>318</v>
      </c>
      <c r="J171" t="s">
        <v>18</v>
      </c>
      <c r="K171" s="26">
        <f>INDEX('feed pars'!L$6:L$43,MATCH(F171,'feed pars'!B$6:B$43,0))</f>
        <v>16.399999999999999</v>
      </c>
    </row>
    <row r="172" spans="1:11" x14ac:dyDescent="0.25">
      <c r="A172" t="s">
        <v>24</v>
      </c>
      <c r="F172" t="s">
        <v>44</v>
      </c>
      <c r="J172" t="s">
        <v>18</v>
      </c>
      <c r="K172" s="26">
        <f>INDEX('feed pars'!L$6:L$43,MATCH(F172,'feed pars'!B$6:B$43,0))</f>
        <v>14.6</v>
      </c>
    </row>
    <row r="173" spans="1:11" x14ac:dyDescent="0.25">
      <c r="A173" t="s">
        <v>24</v>
      </c>
      <c r="F173" t="s">
        <v>36</v>
      </c>
      <c r="J173" t="s">
        <v>18</v>
      </c>
      <c r="K173" s="26">
        <f>INDEX('feed pars'!L$6:L$43,MATCH(F173,'feed pars'!B$6:B$43,0))</f>
        <v>12.2</v>
      </c>
    </row>
    <row r="174" spans="1:11" x14ac:dyDescent="0.25">
      <c r="A174" t="s">
        <v>24</v>
      </c>
      <c r="F174" t="s">
        <v>46</v>
      </c>
      <c r="J174" t="s">
        <v>18</v>
      </c>
      <c r="K174" s="26">
        <f>INDEX('feed pars'!L$6:L$43,MATCH(F174,'feed pars'!B$6:B$43,0))</f>
        <v>11.4</v>
      </c>
    </row>
    <row r="175" spans="1:11" x14ac:dyDescent="0.25">
      <c r="A175" t="s">
        <v>24</v>
      </c>
      <c r="F175" t="s">
        <v>47</v>
      </c>
      <c r="J175" t="s">
        <v>18</v>
      </c>
      <c r="K175" s="26">
        <f>INDEX('feed pars'!L$6:L$43,MATCH(F175,'feed pars'!B$6:B$43,0))</f>
        <v>13.4</v>
      </c>
    </row>
    <row r="176" spans="1:11" x14ac:dyDescent="0.25">
      <c r="A176" t="s">
        <v>24</v>
      </c>
      <c r="F176" t="s">
        <v>319</v>
      </c>
      <c r="J176" t="s">
        <v>18</v>
      </c>
      <c r="K176" s="26">
        <f>INDEX('feed pars'!L$6:L$43,MATCH(F176,'feed pars'!B$6:B$43,0))</f>
        <v>8.5</v>
      </c>
    </row>
    <row r="177" spans="1:14" x14ac:dyDescent="0.25">
      <c r="A177" t="s">
        <v>24</v>
      </c>
      <c r="F177" t="s">
        <v>48</v>
      </c>
      <c r="J177" t="s">
        <v>18</v>
      </c>
      <c r="K177" s="26">
        <f>INDEX('feed pars'!L$6:L$43,MATCH(F177,'feed pars'!B$6:B$43,0))</f>
        <v>11</v>
      </c>
    </row>
    <row r="178" spans="1:14" x14ac:dyDescent="0.25">
      <c r="A178" t="s">
        <v>24</v>
      </c>
      <c r="F178" t="s">
        <v>50</v>
      </c>
      <c r="J178" t="s">
        <v>18</v>
      </c>
      <c r="K178" s="26">
        <f>INDEX('feed pars'!L$6:L$43,MATCH(F178,'feed pars'!B$6:B$43,0))</f>
        <v>13.3</v>
      </c>
    </row>
    <row r="179" spans="1:14" x14ac:dyDescent="0.25">
      <c r="A179" t="s">
        <v>24</v>
      </c>
      <c r="F179" t="s">
        <v>313</v>
      </c>
      <c r="J179" t="s">
        <v>18</v>
      </c>
      <c r="K179" s="26">
        <f>INDEX('feed pars'!L$6:L$43,MATCH(F179,'feed pars'!B$6:B$43,0))</f>
        <v>11.6</v>
      </c>
    </row>
    <row r="180" spans="1:14" x14ac:dyDescent="0.25">
      <c r="A180" t="s">
        <v>24</v>
      </c>
      <c r="F180" t="s">
        <v>52</v>
      </c>
      <c r="J180" t="s">
        <v>18</v>
      </c>
      <c r="K180" s="26">
        <f>INDEX('feed pars'!L$6:L$43,MATCH(F180,'feed pars'!B$6:B$43,0))</f>
        <v>12.4</v>
      </c>
    </row>
    <row r="181" spans="1:14" x14ac:dyDescent="0.25">
      <c r="A181" t="s">
        <v>24</v>
      </c>
      <c r="F181" t="s">
        <v>53</v>
      </c>
      <c r="J181" t="s">
        <v>18</v>
      </c>
      <c r="K181" s="26">
        <f>INDEX('feed pars'!L$6:L$43,MATCH(F181,'feed pars'!B$6:B$43,0))</f>
        <v>12.3</v>
      </c>
    </row>
    <row r="182" spans="1:14" x14ac:dyDescent="0.25">
      <c r="A182" t="s">
        <v>24</v>
      </c>
      <c r="F182" t="s">
        <v>54</v>
      </c>
      <c r="J182" t="s">
        <v>18</v>
      </c>
      <c r="K182" s="26">
        <f>INDEX('feed pars'!L$6:L$43,MATCH(F182,'feed pars'!B$6:B$43,0))</f>
        <v>13.6</v>
      </c>
    </row>
    <row r="183" spans="1:14" x14ac:dyDescent="0.25">
      <c r="A183" t="s">
        <v>24</v>
      </c>
      <c r="F183" t="s">
        <v>56</v>
      </c>
      <c r="J183" t="s">
        <v>18</v>
      </c>
      <c r="K183" s="26">
        <f>INDEX('feed pars'!L$6:L$43,MATCH(F183,'feed pars'!B$6:B$43,0))</f>
        <v>15.5</v>
      </c>
    </row>
    <row r="184" spans="1:14" x14ac:dyDescent="0.25">
      <c r="A184" t="s">
        <v>24</v>
      </c>
      <c r="F184" t="s">
        <v>324</v>
      </c>
      <c r="J184" t="s">
        <v>18</v>
      </c>
      <c r="K184" s="3">
        <v>0</v>
      </c>
    </row>
    <row r="185" spans="1:14" x14ac:dyDescent="0.25">
      <c r="A185" s="7" t="s">
        <v>396</v>
      </c>
      <c r="B185" s="7"/>
      <c r="C185" s="6"/>
      <c r="D185" s="6"/>
      <c r="E185" s="6"/>
      <c r="F185" s="6"/>
      <c r="G185" s="6"/>
      <c r="H185" s="6"/>
      <c r="I185" s="6"/>
      <c r="J185" s="6"/>
      <c r="K185" s="6"/>
      <c r="L185" s="6" t="s">
        <v>19</v>
      </c>
      <c r="M185" s="6"/>
      <c r="N185" s="6"/>
    </row>
    <row r="186" spans="1:14" x14ac:dyDescent="0.25">
      <c r="A186" t="s">
        <v>395</v>
      </c>
      <c r="F186" t="s">
        <v>2</v>
      </c>
      <c r="J186" t="s">
        <v>18</v>
      </c>
      <c r="K186" s="3">
        <v>10</v>
      </c>
    </row>
    <row r="187" spans="1:14" x14ac:dyDescent="0.25">
      <c r="A187" t="s">
        <v>395</v>
      </c>
      <c r="F187" t="s">
        <v>33</v>
      </c>
      <c r="J187" t="s">
        <v>18</v>
      </c>
      <c r="K187" s="3">
        <v>10</v>
      </c>
    </row>
    <row r="188" spans="1:14" x14ac:dyDescent="0.25">
      <c r="A188" s="8" t="s">
        <v>21</v>
      </c>
      <c r="B188" s="8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</row>
    <row r="189" spans="1:14" x14ac:dyDescent="0.25">
      <c r="A189" s="30" t="s">
        <v>391</v>
      </c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 t="s">
        <v>300</v>
      </c>
      <c r="M189" s="32"/>
      <c r="N189" s="32"/>
    </row>
    <row r="190" spans="1:14" x14ac:dyDescent="0.25">
      <c r="A190" t="s">
        <v>25</v>
      </c>
      <c r="E190" t="s">
        <v>299</v>
      </c>
      <c r="F190" t="s">
        <v>17</v>
      </c>
      <c r="J190" t="s">
        <v>18</v>
      </c>
      <c r="K190" s="26">
        <f>INDEX('feed pars'!H$6:H$43,MATCH(F190,'feed pars'!B$6:B$43,0))</f>
        <v>12.3</v>
      </c>
    </row>
    <row r="191" spans="1:14" x14ac:dyDescent="0.25">
      <c r="A191" t="s">
        <v>25</v>
      </c>
      <c r="E191" t="s">
        <v>299</v>
      </c>
      <c r="F191" t="s">
        <v>37</v>
      </c>
      <c r="J191" t="s">
        <v>18</v>
      </c>
      <c r="K191" s="26">
        <f>INDEX('feed pars'!H$6:H$43,MATCH(F191,'feed pars'!B$6:B$43,0))</f>
        <v>11.2</v>
      </c>
    </row>
    <row r="192" spans="1:14" x14ac:dyDescent="0.25">
      <c r="A192" t="s">
        <v>25</v>
      </c>
      <c r="E192" t="s">
        <v>299</v>
      </c>
      <c r="F192" t="s">
        <v>38</v>
      </c>
      <c r="J192" t="s">
        <v>18</v>
      </c>
      <c r="K192" s="26">
        <f>INDEX('feed pars'!H$6:H$43,MATCH(F192,'feed pars'!B$6:B$43,0))</f>
        <v>9.4</v>
      </c>
    </row>
    <row r="193" spans="1:11" x14ac:dyDescent="0.25">
      <c r="A193" t="s">
        <v>25</v>
      </c>
      <c r="E193" t="s">
        <v>299</v>
      </c>
      <c r="F193" t="s">
        <v>39</v>
      </c>
      <c r="J193" t="s">
        <v>18</v>
      </c>
      <c r="K193" s="26">
        <f>INDEX('feed pars'!H$6:H$43,MATCH(F193,'feed pars'!B$6:B$43,0))</f>
        <v>12</v>
      </c>
    </row>
    <row r="194" spans="1:11" x14ac:dyDescent="0.25">
      <c r="A194" t="s">
        <v>25</v>
      </c>
      <c r="E194" t="s">
        <v>299</v>
      </c>
      <c r="F194" t="s">
        <v>40</v>
      </c>
      <c r="J194" t="s">
        <v>18</v>
      </c>
      <c r="K194" s="26">
        <f>INDEX('feed pars'!H$6:H$43,MATCH(F194,'feed pars'!B$6:B$43,0))</f>
        <v>13.2</v>
      </c>
    </row>
    <row r="195" spans="1:11" x14ac:dyDescent="0.25">
      <c r="A195" t="s">
        <v>25</v>
      </c>
      <c r="E195" t="s">
        <v>299</v>
      </c>
      <c r="F195" t="s">
        <v>41</v>
      </c>
      <c r="J195" t="s">
        <v>18</v>
      </c>
      <c r="K195" s="26">
        <f>INDEX('feed pars'!H$6:H$43,MATCH(F195,'feed pars'!B$6:B$43,0))</f>
        <v>11.5</v>
      </c>
    </row>
    <row r="196" spans="1:11" x14ac:dyDescent="0.25">
      <c r="A196" t="s">
        <v>25</v>
      </c>
      <c r="E196" t="s">
        <v>299</v>
      </c>
      <c r="F196" t="s">
        <v>42</v>
      </c>
      <c r="J196" t="s">
        <v>18</v>
      </c>
      <c r="K196" s="26">
        <f>INDEX('feed pars'!H$6:H$43,MATCH(F196,'feed pars'!B$6:B$43,0))</f>
        <v>10.9</v>
      </c>
    </row>
    <row r="197" spans="1:11" x14ac:dyDescent="0.25">
      <c r="A197" t="s">
        <v>25</v>
      </c>
      <c r="E197" t="s">
        <v>299</v>
      </c>
      <c r="F197" t="s">
        <v>35</v>
      </c>
      <c r="J197" t="s">
        <v>18</v>
      </c>
      <c r="K197" s="26">
        <f>INDEX('feed pars'!H$6:H$43,MATCH(F197,'feed pars'!B$6:B$43,0))</f>
        <v>18.5</v>
      </c>
    </row>
    <row r="198" spans="1:11" x14ac:dyDescent="0.25">
      <c r="A198" t="s">
        <v>25</v>
      </c>
      <c r="E198" t="s">
        <v>299</v>
      </c>
      <c r="F198" t="s">
        <v>43</v>
      </c>
      <c r="J198" t="s">
        <v>18</v>
      </c>
      <c r="K198" s="26">
        <f>INDEX('feed pars'!H$6:H$43,MATCH(F198,'feed pars'!B$6:B$43,0))</f>
        <v>17.5</v>
      </c>
    </row>
    <row r="199" spans="1:11" x14ac:dyDescent="0.25">
      <c r="A199" t="s">
        <v>25</v>
      </c>
      <c r="E199" t="s">
        <v>299</v>
      </c>
      <c r="F199" t="s">
        <v>314</v>
      </c>
      <c r="J199" t="s">
        <v>18</v>
      </c>
      <c r="K199" s="26">
        <f>INDEX('feed pars'!H$6:H$43,MATCH(F199,'feed pars'!B$6:B$43,0))</f>
        <v>29.8</v>
      </c>
    </row>
    <row r="200" spans="1:11" x14ac:dyDescent="0.25">
      <c r="A200" t="s">
        <v>25</v>
      </c>
      <c r="E200" t="s">
        <v>299</v>
      </c>
      <c r="F200" t="s">
        <v>44</v>
      </c>
      <c r="J200" t="s">
        <v>18</v>
      </c>
      <c r="K200" s="26">
        <f>INDEX('feed pars'!H$6:H$43,MATCH(F200,'feed pars'!B$6:B$43,0))</f>
        <v>9.9</v>
      </c>
    </row>
    <row r="201" spans="1:11" x14ac:dyDescent="0.25">
      <c r="A201" t="s">
        <v>25</v>
      </c>
      <c r="E201" t="s">
        <v>299</v>
      </c>
      <c r="F201" t="s">
        <v>45</v>
      </c>
      <c r="J201" t="s">
        <v>18</v>
      </c>
      <c r="K201" s="26">
        <f>INDEX('feed pars'!H$6:H$43,MATCH(F201,'feed pars'!B$6:B$43,0))</f>
        <v>10.3</v>
      </c>
    </row>
    <row r="202" spans="1:11" x14ac:dyDescent="0.25">
      <c r="A202" t="s">
        <v>25</v>
      </c>
      <c r="E202" t="s">
        <v>299</v>
      </c>
      <c r="F202" t="s">
        <v>36</v>
      </c>
      <c r="J202" t="s">
        <v>18</v>
      </c>
      <c r="K202" s="26">
        <f>INDEX('feed pars'!H$6:H$43,MATCH(F202,'feed pars'!B$6:B$43,0))</f>
        <v>7.7</v>
      </c>
    </row>
    <row r="203" spans="1:11" x14ac:dyDescent="0.25">
      <c r="A203" t="s">
        <v>25</v>
      </c>
      <c r="E203" t="s">
        <v>299</v>
      </c>
      <c r="F203" t="s">
        <v>46</v>
      </c>
      <c r="J203" t="s">
        <v>18</v>
      </c>
      <c r="K203" s="26">
        <f>INDEX('feed pars'!H$6:H$43,MATCH(F203,'feed pars'!B$6:B$43,0))</f>
        <v>6.5</v>
      </c>
    </row>
    <row r="204" spans="1:11" x14ac:dyDescent="0.25">
      <c r="A204" t="s">
        <v>25</v>
      </c>
      <c r="E204" t="s">
        <v>299</v>
      </c>
      <c r="F204" t="s">
        <v>47</v>
      </c>
      <c r="J204" t="s">
        <v>18</v>
      </c>
      <c r="K204" s="26">
        <f>INDEX('feed pars'!H$6:H$43,MATCH(F204,'feed pars'!B$6:B$43,0))</f>
        <v>6.2</v>
      </c>
    </row>
    <row r="205" spans="1:11" x14ac:dyDescent="0.25">
      <c r="A205" t="s">
        <v>25</v>
      </c>
      <c r="E205" t="s">
        <v>299</v>
      </c>
      <c r="F205" t="s">
        <v>48</v>
      </c>
      <c r="J205" t="s">
        <v>18</v>
      </c>
      <c r="K205" s="26">
        <f>INDEX('feed pars'!H$6:H$43,MATCH(F205,'feed pars'!B$6:B$43,0))</f>
        <v>7.8</v>
      </c>
    </row>
    <row r="206" spans="1:11" x14ac:dyDescent="0.25">
      <c r="A206" t="s">
        <v>25</v>
      </c>
      <c r="E206" t="s">
        <v>299</v>
      </c>
      <c r="F206" t="s">
        <v>49</v>
      </c>
      <c r="J206" t="s">
        <v>18</v>
      </c>
      <c r="K206" s="26">
        <f>INDEX('feed pars'!H$6:H$43,MATCH(F206,'feed pars'!B$6:B$43,0))</f>
        <v>9.1999999999999993</v>
      </c>
    </row>
    <row r="207" spans="1:11" x14ac:dyDescent="0.25">
      <c r="A207" t="s">
        <v>25</v>
      </c>
      <c r="E207" t="s">
        <v>299</v>
      </c>
      <c r="F207" t="s">
        <v>50</v>
      </c>
      <c r="J207" t="s">
        <v>18</v>
      </c>
      <c r="K207" s="26">
        <f>INDEX('feed pars'!H$6:H$43,MATCH(F207,'feed pars'!B$6:B$43,0))</f>
        <v>8.6999999999999993</v>
      </c>
    </row>
    <row r="208" spans="1:11" x14ac:dyDescent="0.25">
      <c r="A208" t="s">
        <v>25</v>
      </c>
      <c r="E208" t="s">
        <v>299</v>
      </c>
      <c r="F208" t="s">
        <v>51</v>
      </c>
      <c r="J208" t="s">
        <v>18</v>
      </c>
      <c r="K208" s="26">
        <f>INDEX('feed pars'!H$6:H$43,MATCH(F208,'feed pars'!B$6:B$43,0))</f>
        <v>8.9</v>
      </c>
    </row>
    <row r="209" spans="1:14" x14ac:dyDescent="0.25">
      <c r="A209" t="s">
        <v>25</v>
      </c>
      <c r="E209" t="s">
        <v>299</v>
      </c>
      <c r="F209" t="s">
        <v>313</v>
      </c>
      <c r="J209" t="s">
        <v>18</v>
      </c>
      <c r="K209" s="26">
        <f>INDEX('feed pars'!H$6:H$43,MATCH(F209,'feed pars'!B$6:B$43,0))</f>
        <v>7.0888888888888877</v>
      </c>
    </row>
    <row r="210" spans="1:14" x14ac:dyDescent="0.25">
      <c r="A210" t="s">
        <v>25</v>
      </c>
      <c r="E210" t="s">
        <v>299</v>
      </c>
      <c r="F210" t="s">
        <v>52</v>
      </c>
      <c r="J210" t="s">
        <v>18</v>
      </c>
      <c r="K210" s="26">
        <f>INDEX('feed pars'!H$6:H$43,MATCH(F210,'feed pars'!B$6:B$43,0))</f>
        <v>9</v>
      </c>
    </row>
    <row r="211" spans="1:14" x14ac:dyDescent="0.25">
      <c r="A211" t="s">
        <v>25</v>
      </c>
      <c r="E211" t="s">
        <v>299</v>
      </c>
      <c r="F211" t="s">
        <v>53</v>
      </c>
      <c r="J211" t="s">
        <v>18</v>
      </c>
      <c r="K211" s="26">
        <f>INDEX('feed pars'!H$6:H$43,MATCH(F211,'feed pars'!B$6:B$43,0))</f>
        <v>8</v>
      </c>
    </row>
    <row r="212" spans="1:14" x14ac:dyDescent="0.25">
      <c r="A212" t="s">
        <v>25</v>
      </c>
      <c r="E212" t="s">
        <v>299</v>
      </c>
      <c r="F212" t="s">
        <v>54</v>
      </c>
      <c r="J212" t="s">
        <v>18</v>
      </c>
      <c r="K212" s="26">
        <f>INDEX('feed pars'!H$6:H$43,MATCH(F212,'feed pars'!B$6:B$43,0))</f>
        <v>12.2</v>
      </c>
    </row>
    <row r="213" spans="1:14" x14ac:dyDescent="0.25">
      <c r="A213" t="s">
        <v>25</v>
      </c>
      <c r="E213" t="s">
        <v>299</v>
      </c>
      <c r="F213" t="s">
        <v>55</v>
      </c>
      <c r="J213" t="s">
        <v>18</v>
      </c>
      <c r="K213" s="26">
        <f>INDEX('feed pars'!H$6:H$43,MATCH(F213,'feed pars'!B$6:B$43,0))</f>
        <v>12.2</v>
      </c>
    </row>
    <row r="214" spans="1:14" x14ac:dyDescent="0.25">
      <c r="A214" t="s">
        <v>25</v>
      </c>
      <c r="E214" t="s">
        <v>299</v>
      </c>
      <c r="F214" t="s">
        <v>56</v>
      </c>
      <c r="J214" t="s">
        <v>18</v>
      </c>
      <c r="K214" s="26">
        <f>INDEX('feed pars'!H$6:H$43,MATCH(F214,'feed pars'!B$6:B$43,0))</f>
        <v>11.3</v>
      </c>
    </row>
    <row r="215" spans="1:14" x14ac:dyDescent="0.25">
      <c r="A215" t="s">
        <v>25</v>
      </c>
      <c r="E215" t="s">
        <v>299</v>
      </c>
      <c r="F215" t="s">
        <v>57</v>
      </c>
      <c r="J215" t="s">
        <v>18</v>
      </c>
      <c r="K215" s="26">
        <f>INDEX('feed pars'!H$6:H$43,MATCH(F215,'feed pars'!B$6:B$43,0))</f>
        <v>10.8</v>
      </c>
    </row>
    <row r="216" spans="1:14" x14ac:dyDescent="0.25">
      <c r="A216" s="30" t="s">
        <v>392</v>
      </c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 t="s">
        <v>22</v>
      </c>
      <c r="M216" s="32"/>
      <c r="N216" s="32"/>
    </row>
    <row r="217" spans="1:14" x14ac:dyDescent="0.25">
      <c r="A217" t="s">
        <v>25</v>
      </c>
      <c r="F217" t="s">
        <v>17</v>
      </c>
      <c r="J217" t="s">
        <v>18</v>
      </c>
      <c r="K217" s="26">
        <f>INDEX('feed pars'!G$6:G$43,MATCH(F217,'feed pars'!B$6:B$43,0))</f>
        <v>12.1</v>
      </c>
    </row>
    <row r="218" spans="1:14" x14ac:dyDescent="0.25">
      <c r="A218" t="s">
        <v>25</v>
      </c>
      <c r="F218" t="s">
        <v>37</v>
      </c>
      <c r="J218" t="s">
        <v>18</v>
      </c>
      <c r="K218" s="26">
        <f>INDEX('feed pars'!G$6:G$43,MATCH(F218,'feed pars'!B$6:B$43,0))</f>
        <v>11</v>
      </c>
    </row>
    <row r="219" spans="1:14" x14ac:dyDescent="0.25">
      <c r="A219" t="s">
        <v>25</v>
      </c>
      <c r="F219" t="s">
        <v>38</v>
      </c>
      <c r="J219" t="s">
        <v>18</v>
      </c>
      <c r="K219" s="26">
        <f>INDEX('feed pars'!G$6:G$43,MATCH(F219,'feed pars'!B$6:B$43,0))</f>
        <v>9</v>
      </c>
    </row>
    <row r="220" spans="1:14" x14ac:dyDescent="0.25">
      <c r="A220" t="s">
        <v>25</v>
      </c>
      <c r="F220" t="s">
        <v>39</v>
      </c>
      <c r="J220" t="s">
        <v>18</v>
      </c>
      <c r="K220" s="26">
        <f>INDEX('feed pars'!G$6:G$43,MATCH(F220,'feed pars'!B$6:B$43,0))</f>
        <v>11.9</v>
      </c>
    </row>
    <row r="221" spans="1:14" x14ac:dyDescent="0.25">
      <c r="A221" t="s">
        <v>25</v>
      </c>
      <c r="F221" t="s">
        <v>40</v>
      </c>
      <c r="J221" t="s">
        <v>18</v>
      </c>
      <c r="K221" s="26">
        <f>INDEX('feed pars'!G$6:G$43,MATCH(F221,'feed pars'!B$6:B$43,0))</f>
        <v>12.8</v>
      </c>
    </row>
    <row r="222" spans="1:14" x14ac:dyDescent="0.25">
      <c r="A222" t="s">
        <v>25</v>
      </c>
      <c r="F222" t="s">
        <v>41</v>
      </c>
      <c r="J222" t="s">
        <v>18</v>
      </c>
      <c r="K222" s="26">
        <f>INDEX('feed pars'!G$6:G$43,MATCH(F222,'feed pars'!B$6:B$43,0))</f>
        <v>11.2</v>
      </c>
    </row>
    <row r="223" spans="1:14" x14ac:dyDescent="0.25">
      <c r="A223" t="s">
        <v>25</v>
      </c>
      <c r="F223" t="s">
        <v>42</v>
      </c>
      <c r="J223" t="s">
        <v>18</v>
      </c>
      <c r="K223" s="26">
        <f>INDEX('feed pars'!G$6:G$43,MATCH(F223,'feed pars'!B$6:B$43,0))</f>
        <v>10.7</v>
      </c>
    </row>
    <row r="224" spans="1:14" x14ac:dyDescent="0.25">
      <c r="A224" t="s">
        <v>25</v>
      </c>
      <c r="F224" t="s">
        <v>35</v>
      </c>
      <c r="J224" t="s">
        <v>18</v>
      </c>
      <c r="K224" s="26">
        <f>INDEX('feed pars'!G$6:G$43,MATCH(F224,'feed pars'!B$6:B$43,0))</f>
        <v>18</v>
      </c>
    </row>
    <row r="225" spans="1:11" x14ac:dyDescent="0.25">
      <c r="A225" t="s">
        <v>25</v>
      </c>
      <c r="F225" t="s">
        <v>43</v>
      </c>
      <c r="J225" t="s">
        <v>18</v>
      </c>
      <c r="K225" s="26">
        <f>INDEX('feed pars'!G$6:G$43,MATCH(F225,'feed pars'!B$6:B$43,0))</f>
        <v>17.3</v>
      </c>
    </row>
    <row r="226" spans="1:11" x14ac:dyDescent="0.25">
      <c r="A226" t="s">
        <v>25</v>
      </c>
      <c r="F226" t="s">
        <v>314</v>
      </c>
      <c r="J226" t="s">
        <v>18</v>
      </c>
      <c r="K226" s="26">
        <f>INDEX('feed pars'!G$6:G$43,MATCH(F226,'feed pars'!B$6:B$43,0))</f>
        <v>29.8</v>
      </c>
    </row>
    <row r="227" spans="1:11" x14ac:dyDescent="0.25">
      <c r="A227" t="s">
        <v>25</v>
      </c>
      <c r="F227" t="s">
        <v>44</v>
      </c>
      <c r="J227" t="s">
        <v>18</v>
      </c>
      <c r="K227" s="26">
        <f>INDEX('feed pars'!G$6:G$43,MATCH(F227,'feed pars'!B$6:B$43,0))</f>
        <v>9.3000000000000007</v>
      </c>
    </row>
    <row r="228" spans="1:11" x14ac:dyDescent="0.25">
      <c r="A228" t="s">
        <v>25</v>
      </c>
      <c r="F228" t="s">
        <v>45</v>
      </c>
      <c r="J228" t="s">
        <v>18</v>
      </c>
      <c r="K228" s="26">
        <f>INDEX('feed pars'!G$6:G$43,MATCH(F228,'feed pars'!B$6:B$43,0))</f>
        <v>9.6999999999999993</v>
      </c>
    </row>
    <row r="229" spans="1:11" x14ac:dyDescent="0.25">
      <c r="A229" t="s">
        <v>25</v>
      </c>
      <c r="F229" t="s">
        <v>36</v>
      </c>
      <c r="J229" t="s">
        <v>18</v>
      </c>
      <c r="K229" s="26">
        <f>INDEX('feed pars'!G$6:G$43,MATCH(F229,'feed pars'!B$6:B$43,0))</f>
        <v>7.1</v>
      </c>
    </row>
    <row r="230" spans="1:11" x14ac:dyDescent="0.25">
      <c r="A230" t="s">
        <v>25</v>
      </c>
      <c r="F230" t="s">
        <v>46</v>
      </c>
      <c r="J230" t="s">
        <v>18</v>
      </c>
      <c r="K230" s="26">
        <f>INDEX('feed pars'!G$6:G$43,MATCH(F230,'feed pars'!B$6:B$43,0))</f>
        <v>5.9</v>
      </c>
    </row>
    <row r="231" spans="1:11" x14ac:dyDescent="0.25">
      <c r="A231" t="s">
        <v>25</v>
      </c>
      <c r="F231" t="s">
        <v>47</v>
      </c>
      <c r="J231" t="s">
        <v>18</v>
      </c>
      <c r="K231" s="26">
        <f>INDEX('feed pars'!G$6:G$43,MATCH(F231,'feed pars'!B$6:B$43,0))</f>
        <v>5.4</v>
      </c>
    </row>
    <row r="232" spans="1:11" x14ac:dyDescent="0.25">
      <c r="A232" t="s">
        <v>25</v>
      </c>
      <c r="F232" t="s">
        <v>48</v>
      </c>
      <c r="J232" t="s">
        <v>18</v>
      </c>
      <c r="K232" s="26">
        <f>INDEX('feed pars'!G$6:G$43,MATCH(F232,'feed pars'!B$6:B$43,0))</f>
        <v>7.2</v>
      </c>
    </row>
    <row r="233" spans="1:11" x14ac:dyDescent="0.25">
      <c r="A233" t="s">
        <v>25</v>
      </c>
      <c r="F233" t="s">
        <v>49</v>
      </c>
      <c r="J233" t="s">
        <v>18</v>
      </c>
      <c r="K233" s="26">
        <f>INDEX('feed pars'!G$6:G$43,MATCH(F233,'feed pars'!B$6:B$43,0))</f>
        <v>8.6999999999999993</v>
      </c>
    </row>
    <row r="234" spans="1:11" x14ac:dyDescent="0.25">
      <c r="A234" t="s">
        <v>25</v>
      </c>
      <c r="F234" t="s">
        <v>50</v>
      </c>
      <c r="J234" t="s">
        <v>18</v>
      </c>
      <c r="K234" s="26">
        <f>INDEX('feed pars'!G$6:G$43,MATCH(F234,'feed pars'!B$6:B$43,0))</f>
        <v>8.1</v>
      </c>
    </row>
    <row r="235" spans="1:11" x14ac:dyDescent="0.25">
      <c r="A235" t="s">
        <v>25</v>
      </c>
      <c r="F235" t="s">
        <v>51</v>
      </c>
      <c r="J235" t="s">
        <v>18</v>
      </c>
      <c r="K235" s="26">
        <f>INDEX('feed pars'!G$6:G$43,MATCH(F235,'feed pars'!B$6:B$43,0))</f>
        <v>8.1999999999999993</v>
      </c>
    </row>
    <row r="236" spans="1:11" x14ac:dyDescent="0.25">
      <c r="A236" t="s">
        <v>25</v>
      </c>
      <c r="F236" t="s">
        <v>313</v>
      </c>
      <c r="J236" t="s">
        <v>18</v>
      </c>
      <c r="K236" s="26">
        <f>INDEX('feed pars'!G$6:G$43,MATCH(F236,'feed pars'!B$6:B$43,0))</f>
        <v>6.6</v>
      </c>
    </row>
    <row r="237" spans="1:11" x14ac:dyDescent="0.25">
      <c r="A237" t="s">
        <v>25</v>
      </c>
      <c r="F237" t="s">
        <v>52</v>
      </c>
      <c r="J237" t="s">
        <v>18</v>
      </c>
      <c r="K237" s="26">
        <f>INDEX('feed pars'!G$6:G$43,MATCH(F237,'feed pars'!B$6:B$43,0))</f>
        <v>8.6999999999999993</v>
      </c>
    </row>
    <row r="238" spans="1:11" x14ac:dyDescent="0.25">
      <c r="A238" t="s">
        <v>25</v>
      </c>
      <c r="F238" t="s">
        <v>53</v>
      </c>
      <c r="J238" t="s">
        <v>18</v>
      </c>
      <c r="K238" s="26">
        <f>INDEX('feed pars'!G$6:G$43,MATCH(F238,'feed pars'!B$6:B$43,0))</f>
        <v>6.9</v>
      </c>
    </row>
    <row r="239" spans="1:11" x14ac:dyDescent="0.25">
      <c r="A239" t="s">
        <v>25</v>
      </c>
      <c r="F239" t="s">
        <v>54</v>
      </c>
      <c r="J239" t="s">
        <v>18</v>
      </c>
      <c r="K239" s="26">
        <f>INDEX('feed pars'!G$6:G$43,MATCH(F239,'feed pars'!B$6:B$43,0))</f>
        <v>12.4</v>
      </c>
    </row>
    <row r="240" spans="1:11" x14ac:dyDescent="0.25">
      <c r="A240" t="s">
        <v>25</v>
      </c>
      <c r="F240" t="s">
        <v>55</v>
      </c>
      <c r="J240" t="s">
        <v>18</v>
      </c>
      <c r="K240" s="26">
        <f>INDEX('feed pars'!G$6:G$43,MATCH(F240,'feed pars'!B$6:B$43,0))</f>
        <v>12.4</v>
      </c>
    </row>
    <row r="241" spans="1:11" x14ac:dyDescent="0.25">
      <c r="A241" t="s">
        <v>25</v>
      </c>
      <c r="F241" t="s">
        <v>56</v>
      </c>
      <c r="J241" t="s">
        <v>18</v>
      </c>
      <c r="K241" s="26">
        <f>INDEX('feed pars'!G$6:G$43,MATCH(F241,'feed pars'!B$6:B$43,0))</f>
        <v>11.1</v>
      </c>
    </row>
    <row r="242" spans="1:11" x14ac:dyDescent="0.25">
      <c r="A242" t="s">
        <v>25</v>
      </c>
      <c r="F242" t="s">
        <v>57</v>
      </c>
      <c r="J242" t="s">
        <v>18</v>
      </c>
      <c r="K242" s="26">
        <f>INDEX('feed pars'!G$6:G$43,MATCH(F242,'feed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25" workbookViewId="0">
      <selection activeCell="B37" sqref="B37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L33" s="27"/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03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2023-06-14T06:21:16Z</dcterms:modified>
</cp:coreProperties>
</file>