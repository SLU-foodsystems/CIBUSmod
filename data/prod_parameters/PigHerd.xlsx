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288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2" i="8" l="1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M32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8" i="8"/>
  <c r="P32" i="8"/>
  <c r="N32" i="8"/>
  <c r="L32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L22" i="8"/>
  <c r="L28" i="8"/>
  <c r="L25" i="8"/>
  <c r="L24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3" i="8"/>
  <c r="L26" i="8"/>
  <c r="L27" i="8"/>
  <c r="L29" i="8"/>
  <c r="L30" i="8"/>
  <c r="L31" i="8"/>
  <c r="L8" i="8"/>
  <c r="H45" i="8"/>
  <c r="I41" i="8" s="1"/>
  <c r="F45" i="8"/>
  <c r="G40" i="8" s="1"/>
  <c r="D45" i="8"/>
  <c r="E8" i="8" s="1"/>
  <c r="G14" i="8" l="1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E52" i="1" l="1"/>
  <c r="E51" i="1"/>
  <c r="S20" i="5" l="1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<sst xmlns="http://schemas.openxmlformats.org/spreadsheetml/2006/main" count="676" uniqueCount="253">
  <si>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</si>
  <si>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</si>
  <si>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</si>
  <si>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</si>
  <si>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</si>
  <si>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</si>
  <si>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</si>
  <si>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</si>
  <si>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</si>
  <si>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</si>
  <si>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</si>
  <si>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</si>
  <si>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</si>
  <si>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</si>
  <si>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</si>
  <si>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</si>
  <si>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</si>
  <si>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</si>
  <si>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</si>
  <si>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</si>
  <si>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</si>
  <si>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</si>
  <si>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</si>
  <si>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</si>
  <si>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</si>
  <si>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</si>
  <si>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</si>
  <si>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</si>
  <si>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</si>
  <si>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</si>
  <si>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</si>
  <si>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</si>
  <si>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</si>
  <si>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</si>
  <si>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</si>
  <si>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</si>
  <si>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</si>
  <si>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</si>
  <si>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</si>
  <si>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</si>
  <si>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</si>
  <si>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</si>
  <si>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</si>
  <si>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</si>
  <si>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</si>
  <si>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</si>
  <si>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</si>
  <si>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</si>
  <si>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</si>
  <si>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</si>
  <si>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</si>
  <si>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</si>
  <si>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</si>
  <si>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</si>
  <si>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</si>
  <si>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</si>
  <si>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</si>
  <si>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</si>
  <si>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</si>
  <si>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</si>
  <si>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</si>
  <si>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</si>
  <si>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</si>
  <si>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</si>
  <si>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</si>
  <si>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</si>
  <si>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</si>
  <si>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</si>
  <si>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</si>
  <si>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</si>
  <si>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</si>
  <si>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</si>
  <si>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</si>
  <si>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</si>
  <si>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</si>
  <si>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</si>
  <si>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</si>
  <si>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</si>
  <si>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</si>
  <si>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</si>
  <si>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</si>
  <si>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</si>
  <si>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</si>
  <si>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</si>
  <si>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</si>
  <si>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</si>
  <si>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</si>
  <si>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</si>
  <si>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</si>
  <si>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</si>
  <si>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</si>
  <si>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</si>
  <si>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</si>
  <si>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</si>
  <si>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</si>
  <si>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</si>
  <si>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</si>
  <si>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</si>
  <si>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</si>
  <si>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</si>
  <si>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</si>
  <si>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</si>
  <si>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</si>
  <si>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</si>
  <si>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</si>
  <si>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</si>
  <si>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</si>
  <si>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</si>
  <si>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</si>
  <si>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</si>
  <si>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</si>
  <si>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</si>
  <si>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</si>
  <si>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</si>
  <si>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</si>
  <si>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</si>
  <si>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</si>
  <si>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</si>
  <si>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</si>
  <si>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</si>
  <si>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</si>
  <si>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</si>
  <si>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</si>
  <si>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</si>
  <si>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</si>
  <si>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</si>
  <si>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</si>
  <si>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</si>
  <si>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</si>
  <si>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</si>
  <si>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</si>
  <si>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</si>
  <si>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</si>
  <si>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</si>
  <si>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</si>
  <si>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</si>
  <si>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</si>
  <si>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</si>
  <si>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</si>
  <si>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</si>
  <si>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</si>
  <si>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</si>
  <si>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</si>
  <si>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</si>
  <si>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</si>
  <si>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</si>
  <si>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</si>
  <si>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</si>
  <si>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</si>
  <si>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</si>
  <si>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</si>
  <si>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</si>
  <si>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</si>
  <si>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</si>
  <si>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</si>
  <si>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</si>
  <si>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</si>
  <si>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</si>
  <si>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</si>
  <si>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Landquist et al. 2020. Uppdaterad och utökad livscykelanalys av svensk grisproduktion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</si>
  <si>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</si>
  <si>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</si>
  <si>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</si>
  <si>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</si>
  <si>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</si>
  <si>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</si>
  <si>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</si>
  <si>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</si>
  <si>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</si>
  <si>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</si>
  <si>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</si>
  <si>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</si>
  <si>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</si>
  <si>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</si>
  <si>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</si>
  <si>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</si>
  <si>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</si>
  <si>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</si>
  <si>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</si>
  <si>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</si>
  <si>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</si>
  <si>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</si>
  <si>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</si>
  <si>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</si>
  <si>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</si>
  <si>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</si>
  <si>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</si>
  <si>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</si>
  <si>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</si>
  <si>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</si>
  <si>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</si>
  <si>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</si>
  <si>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</si>
  <si>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</si>
  <si>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</si>
  <si>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</si>
  <si>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</si>
  <si>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</si>
  <si>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</si>
  <si>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</si>
  <si>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</si>
  <si>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</si>
  <si>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</si>
  <si>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</si>
  <si>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</si>
  <si>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</si>
  <si>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</si>
  <si>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</si>
  <si>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</si>
  <si>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</si>
  <si>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</si>
  <si>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</si>
  <si>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</si>
  <si>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</si>
  <si>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</si>
  <si>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</si>
  <si>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</si>
  <si>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antar havre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</si>
  <si>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</si>
  <si>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</si>
  <si>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</si>
  <si>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</si>
  <si>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</si>
  <si>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</si>
  <si>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</si>
  <si>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</si>
  <si>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</si>
  <si>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</si>
  <si>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</si>
  <si>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</si>
  <si>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vad är dessa?</t>
  </si>
  <si>
    <t>barley brewers grain</t>
  </si>
  <si>
    <t>potatoe pulp</t>
  </si>
  <si>
    <t>Sojamjöl, 45% Rp i vara</t>
  </si>
  <si>
    <t>Sojaprotein-Hamlet 310</t>
  </si>
  <si>
    <t>http://www2.freefarm.se/fodertabell/fodtab.pl?djur=gris</t>
  </si>
  <si>
    <t>Palmkärnkaka</t>
  </si>
  <si>
    <t>Agrodrank10</t>
  </si>
  <si>
    <t>Agrodrank90</t>
  </si>
  <si>
    <t>NEv</t>
  </si>
  <si>
    <t>NEs</t>
  </si>
  <si>
    <t>Betfiber, omelasserad</t>
  </si>
  <si>
    <t>Vasslepulver, söt vassle</t>
  </si>
  <si>
    <t>Potatisproteinkoncentrat</t>
  </si>
  <si>
    <t>Potato protein concentrate is a byproduct of potato starch production</t>
  </si>
  <si>
    <t>sows, gilts</t>
  </si>
  <si>
    <t>growing, finishing</t>
  </si>
  <si>
    <t>total</t>
  </si>
  <si>
    <t>whey powder</t>
  </si>
  <si>
    <t>Sows, gilts and boars</t>
  </si>
  <si>
    <t>Piglets</t>
  </si>
  <si>
    <t>Grpwing and finishing pigs</t>
  </si>
  <si>
    <t>see feed rations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</si>
</sst>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5" borderId="0" xfId="0" applyFill="1"/>
    <xf numFmtId="0" fontId="0" fillId="6" borderId="0" xfId="0" applyFill="1"/>
    <xf numFmtId="0" fontId="16" fillId="6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2.freefarm.se/fodertabell/fodtab.pl?djur=gri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7"/>
  <sheetViews>
    <sheetView tabSelected="1" topLeftCell="A57" zoomScale="80" zoomScaleNormal="80" workbookViewId="0">
      <selection activeCell="K72" sqref="K72"/>
    </sheetView>
  </sheetViews>
  <sheetFormatPr defaultRowHeight="15" x14ac:dyDescent="0.25"/>
  <cols>
    <col min="1" max="1" width="14.28515625" bestFit="1" customWidth="1"/>
    <col min="2" max="2" width="12.7109375" bestFit="1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8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8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8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8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8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8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8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8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8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8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8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8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</row>
    <row r="13" spans="1:8" x14ac:dyDescent="0.25">
      <c r="D13" t="s">
        <v>153</v>
      </c>
      <c r="E13" s="13">
        <v>115</v>
      </c>
      <c r="F13" t="s">
        <v>37</v>
      </c>
    </row>
    <row r="14" spans="1:8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8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159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252</v>
      </c>
      <c r="H54" s="8" t="s">
        <v>159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A56" s="106" t="s">
        <v>249</v>
      </c>
      <c r="B56" s="106"/>
      <c r="C56" s="106"/>
      <c r="D56" s="107"/>
      <c r="E56" s="107"/>
      <c r="F56" s="107"/>
      <c r="G56" s="107"/>
      <c r="H56" s="106"/>
    </row>
    <row r="57" spans="1:8" x14ac:dyDescent="0.25">
      <c r="C57" t="s">
        <v>70</v>
      </c>
      <c r="D57" t="s">
        <v>71</v>
      </c>
      <c r="E57">
        <v>40.178411304260166</v>
      </c>
      <c r="F57" t="s">
        <v>23</v>
      </c>
    </row>
    <row r="58" spans="1:8" x14ac:dyDescent="0.25">
      <c r="C58" t="s">
        <v>160</v>
      </c>
      <c r="D58" t="s">
        <v>71</v>
      </c>
      <c r="E58">
        <v>33.789919707775212</v>
      </c>
      <c r="F58" t="s">
        <v>23</v>
      </c>
    </row>
    <row r="59" spans="1:8" x14ac:dyDescent="0.25">
      <c r="C59" t="s">
        <v>161</v>
      </c>
      <c r="D59" t="s">
        <v>71</v>
      </c>
      <c r="E59">
        <v>4.9058647496700978</v>
      </c>
      <c r="F59" t="s">
        <v>23</v>
      </c>
    </row>
    <row r="60" spans="1:8" x14ac:dyDescent="0.25">
      <c r="C60" t="s">
        <v>162</v>
      </c>
      <c r="D60" t="s">
        <v>71</v>
      </c>
      <c r="E60">
        <v>0.45022176500136973</v>
      </c>
      <c r="F60" t="s">
        <v>23</v>
      </c>
    </row>
    <row r="61" spans="1:8" x14ac:dyDescent="0.25">
      <c r="C61" t="s">
        <v>165</v>
      </c>
      <c r="D61" t="s">
        <v>71</v>
      </c>
      <c r="E61">
        <v>0.22511088250068487</v>
      </c>
      <c r="F61" t="s">
        <v>23</v>
      </c>
    </row>
    <row r="62" spans="1:8" x14ac:dyDescent="0.25">
      <c r="C62" t="s">
        <v>219</v>
      </c>
      <c r="D62" t="s">
        <v>71</v>
      </c>
      <c r="E62">
        <v>0.79953175508863938</v>
      </c>
      <c r="F62" t="s">
        <v>23</v>
      </c>
    </row>
    <row r="63" spans="1:8" x14ac:dyDescent="0.25">
      <c r="C63" t="s">
        <v>220</v>
      </c>
      <c r="D63" t="s">
        <v>71</v>
      </c>
      <c r="E63">
        <v>0.10091177491410011</v>
      </c>
      <c r="F63" t="s">
        <v>23</v>
      </c>
    </row>
    <row r="64" spans="1:8" x14ac:dyDescent="0.25">
      <c r="C64" t="s">
        <v>163</v>
      </c>
      <c r="D64" t="s">
        <v>71</v>
      </c>
      <c r="E64">
        <v>0.35296815345727672</v>
      </c>
      <c r="F64" t="s">
        <v>23</v>
      </c>
    </row>
    <row r="65" spans="1:8" x14ac:dyDescent="0.25">
      <c r="C65" t="s">
        <v>164</v>
      </c>
      <c r="D65" t="s">
        <v>71</v>
      </c>
      <c r="E65">
        <v>0.12990941138366913</v>
      </c>
      <c r="F65" t="s">
        <v>23</v>
      </c>
    </row>
    <row r="66" spans="1:8" x14ac:dyDescent="0.25">
      <c r="C66" t="s">
        <v>221</v>
      </c>
      <c r="D66" t="s">
        <v>71</v>
      </c>
      <c r="E66">
        <v>6.9565776007980151</v>
      </c>
      <c r="F66" t="s">
        <v>23</v>
      </c>
    </row>
    <row r="67" spans="1:8" x14ac:dyDescent="0.25">
      <c r="C67" t="s">
        <v>222</v>
      </c>
      <c r="D67" t="s">
        <v>71</v>
      </c>
      <c r="E67">
        <v>3.2319427256529165</v>
      </c>
      <c r="F67" t="s">
        <v>23</v>
      </c>
    </row>
    <row r="68" spans="1:8" x14ac:dyDescent="0.25">
      <c r="C68" t="s">
        <v>218</v>
      </c>
      <c r="D68" t="s">
        <v>71</v>
      </c>
      <c r="E68">
        <v>0.44165630930574318</v>
      </c>
      <c r="F68" t="s">
        <v>23</v>
      </c>
    </row>
    <row r="69" spans="1:8" x14ac:dyDescent="0.25">
      <c r="C69" t="s">
        <v>213</v>
      </c>
      <c r="D69" t="s">
        <v>71</v>
      </c>
      <c r="E69">
        <v>0.12990941138366913</v>
      </c>
      <c r="F69" t="s">
        <v>23</v>
      </c>
    </row>
    <row r="70" spans="1:8" x14ac:dyDescent="0.25">
      <c r="C70" t="s">
        <v>214</v>
      </c>
      <c r="D70" t="s">
        <v>71</v>
      </c>
      <c r="E70">
        <v>3.0972152454404571</v>
      </c>
      <c r="F70" t="s">
        <v>23</v>
      </c>
    </row>
    <row r="71" spans="1:8" x14ac:dyDescent="0.25">
      <c r="C71" t="s">
        <v>216</v>
      </c>
      <c r="D71" t="s">
        <v>71</v>
      </c>
      <c r="E71">
        <v>2.331945313134324</v>
      </c>
      <c r="F71" t="s">
        <v>23</v>
      </c>
    </row>
    <row r="72" spans="1:8" x14ac:dyDescent="0.25">
      <c r="C72" t="s">
        <v>226</v>
      </c>
      <c r="D72" t="s">
        <v>71</v>
      </c>
      <c r="E72">
        <v>0.13651195014904788</v>
      </c>
      <c r="F72" t="s">
        <v>23</v>
      </c>
    </row>
    <row r="73" spans="1:8" x14ac:dyDescent="0.25">
      <c r="C73" t="s">
        <v>227</v>
      </c>
      <c r="D73" t="s">
        <v>71</v>
      </c>
      <c r="E73">
        <v>0.59280091293481973</v>
      </c>
      <c r="F73" t="s">
        <v>23</v>
      </c>
    </row>
    <row r="74" spans="1:8" x14ac:dyDescent="0.25">
      <c r="C74" t="s">
        <v>211</v>
      </c>
      <c r="D74" t="s">
        <v>71</v>
      </c>
      <c r="E74">
        <v>0.35261125946995903</v>
      </c>
      <c r="F74" t="s">
        <v>23</v>
      </c>
    </row>
    <row r="75" spans="1:8" x14ac:dyDescent="0.25">
      <c r="C75" t="s">
        <v>212</v>
      </c>
      <c r="D75" t="s">
        <v>71</v>
      </c>
      <c r="E75">
        <v>0.69085753595037758</v>
      </c>
      <c r="F75" t="s">
        <v>23</v>
      </c>
    </row>
    <row r="76" spans="1:8" x14ac:dyDescent="0.25">
      <c r="C76" t="s">
        <v>228</v>
      </c>
      <c r="D76" t="s">
        <v>71</v>
      </c>
      <c r="E76">
        <v>0.92453387414668897</v>
      </c>
      <c r="F76" t="s">
        <v>23</v>
      </c>
    </row>
    <row r="77" spans="1:8" x14ac:dyDescent="0.25">
      <c r="C77" t="s">
        <v>225</v>
      </c>
      <c r="D77" t="s">
        <v>71</v>
      </c>
      <c r="E77">
        <v>0.18058835758279279</v>
      </c>
      <c r="F77" t="s">
        <v>23</v>
      </c>
    </row>
    <row r="78" spans="1:8" x14ac:dyDescent="0.25">
      <c r="A78" s="106" t="s">
        <v>250</v>
      </c>
      <c r="B78" s="106"/>
      <c r="C78" s="106"/>
      <c r="D78" s="107"/>
      <c r="E78" s="107"/>
      <c r="F78" s="107"/>
      <c r="G78" s="107"/>
      <c r="H78" s="106"/>
    </row>
    <row r="79" spans="1:8" x14ac:dyDescent="0.25">
      <c r="B79" s="88" t="s">
        <v>15</v>
      </c>
      <c r="D79" s="88" t="s">
        <v>71</v>
      </c>
      <c r="E79" s="88">
        <v>0</v>
      </c>
      <c r="F79" s="88"/>
      <c r="G79" s="88" t="s">
        <v>158</v>
      </c>
    </row>
    <row r="80" spans="1:8" x14ac:dyDescent="0.25">
      <c r="B80" t="s">
        <v>15</v>
      </c>
      <c r="C80" t="s">
        <v>70</v>
      </c>
      <c r="D80" t="s">
        <v>71</v>
      </c>
      <c r="E80">
        <v>38.250221304219536</v>
      </c>
      <c r="F80" t="s">
        <v>23</v>
      </c>
    </row>
    <row r="81" spans="1:8" x14ac:dyDescent="0.25">
      <c r="B81" t="s">
        <v>15</v>
      </c>
      <c r="C81" t="s">
        <v>160</v>
      </c>
      <c r="D81" t="s">
        <v>71</v>
      </c>
      <c r="E81">
        <v>34.656240778990849</v>
      </c>
      <c r="F81" t="s">
        <v>23</v>
      </c>
    </row>
    <row r="82" spans="1:8" x14ac:dyDescent="0.25">
      <c r="B82" t="s">
        <v>15</v>
      </c>
      <c r="C82" t="s">
        <v>161</v>
      </c>
      <c r="D82" t="s">
        <v>71</v>
      </c>
      <c r="E82">
        <v>6.9312481557981709</v>
      </c>
      <c r="F82" t="s">
        <v>23</v>
      </c>
    </row>
    <row r="83" spans="1:8" x14ac:dyDescent="0.25">
      <c r="B83" t="s">
        <v>15</v>
      </c>
      <c r="C83" t="s">
        <v>165</v>
      </c>
      <c r="D83" t="s">
        <v>71</v>
      </c>
      <c r="E83">
        <v>1.7969902626143404</v>
      </c>
      <c r="F83" t="s">
        <v>23</v>
      </c>
    </row>
    <row r="84" spans="1:8" x14ac:dyDescent="0.25">
      <c r="B84" t="s">
        <v>15</v>
      </c>
      <c r="C84" t="s">
        <v>219</v>
      </c>
      <c r="D84" t="s">
        <v>71</v>
      </c>
      <c r="E84">
        <v>0.2567128946591915</v>
      </c>
      <c r="F84" t="s">
        <v>23</v>
      </c>
    </row>
    <row r="85" spans="1:8" x14ac:dyDescent="0.25">
      <c r="B85" t="s">
        <v>15</v>
      </c>
      <c r="C85" t="s">
        <v>220</v>
      </c>
      <c r="D85" t="s">
        <v>71</v>
      </c>
      <c r="E85">
        <v>0.77013868397757457</v>
      </c>
      <c r="F85" t="s">
        <v>23</v>
      </c>
    </row>
    <row r="86" spans="1:8" x14ac:dyDescent="0.25">
      <c r="B86" t="s">
        <v>15</v>
      </c>
      <c r="C86" t="s">
        <v>221</v>
      </c>
      <c r="D86" t="s">
        <v>71</v>
      </c>
      <c r="E86">
        <v>7.270581292416642</v>
      </c>
      <c r="F86" t="s">
        <v>23</v>
      </c>
    </row>
    <row r="87" spans="1:8" x14ac:dyDescent="0.25">
      <c r="B87" t="s">
        <v>15</v>
      </c>
      <c r="C87" t="s">
        <v>223</v>
      </c>
      <c r="D87" t="s">
        <v>71</v>
      </c>
      <c r="E87">
        <v>2.3104160519327235</v>
      </c>
      <c r="F87" t="s">
        <v>23</v>
      </c>
    </row>
    <row r="88" spans="1:8" x14ac:dyDescent="0.25">
      <c r="B88" t="s">
        <v>15</v>
      </c>
      <c r="C88" t="s">
        <v>216</v>
      </c>
      <c r="D88" t="s">
        <v>71</v>
      </c>
      <c r="E88">
        <v>1.2983180879315432</v>
      </c>
      <c r="F88" t="s">
        <v>23</v>
      </c>
    </row>
    <row r="89" spans="1:8" x14ac:dyDescent="0.25">
      <c r="B89" t="s">
        <v>15</v>
      </c>
      <c r="C89" t="s">
        <v>228</v>
      </c>
      <c r="D89" t="s">
        <v>71</v>
      </c>
      <c r="E89">
        <v>1.557981705517852</v>
      </c>
      <c r="F89" t="s">
        <v>23</v>
      </c>
    </row>
    <row r="90" spans="1:8" x14ac:dyDescent="0.25">
      <c r="B90" t="s">
        <v>15</v>
      </c>
      <c r="C90" t="s">
        <v>248</v>
      </c>
      <c r="D90" t="s">
        <v>71</v>
      </c>
      <c r="E90">
        <v>0.28622012393036295</v>
      </c>
      <c r="F90" t="s">
        <v>23</v>
      </c>
    </row>
    <row r="91" spans="1:8" x14ac:dyDescent="0.25">
      <c r="B91" t="s">
        <v>15</v>
      </c>
      <c r="C91" t="s">
        <v>224</v>
      </c>
      <c r="D91" t="s">
        <v>71</v>
      </c>
      <c r="E91">
        <v>1.3573325464738861</v>
      </c>
      <c r="F91" t="s">
        <v>23</v>
      </c>
    </row>
    <row r="92" spans="1:8" x14ac:dyDescent="0.25">
      <c r="B92" t="s">
        <v>15</v>
      </c>
      <c r="C92" t="s">
        <v>225</v>
      </c>
      <c r="D92" t="s">
        <v>71</v>
      </c>
      <c r="E92">
        <v>3.2575981115373271</v>
      </c>
      <c r="F92" t="s">
        <v>23</v>
      </c>
    </row>
    <row r="93" spans="1:8" x14ac:dyDescent="0.25">
      <c r="A93" s="106" t="s">
        <v>251</v>
      </c>
      <c r="B93" s="106"/>
      <c r="C93" s="106"/>
      <c r="D93" s="107"/>
      <c r="E93" s="107"/>
      <c r="F93" s="107"/>
      <c r="G93" s="107"/>
      <c r="H93" s="106"/>
    </row>
    <row r="94" spans="1:8" x14ac:dyDescent="0.25">
      <c r="B94" s="88" t="s">
        <v>24</v>
      </c>
      <c r="D94" s="88" t="s">
        <v>71</v>
      </c>
      <c r="E94" s="88">
        <v>0</v>
      </c>
      <c r="F94" s="88"/>
      <c r="G94" s="88" t="s">
        <v>158</v>
      </c>
    </row>
    <row r="95" spans="1:8" x14ac:dyDescent="0.25">
      <c r="B95" t="s">
        <v>24</v>
      </c>
      <c r="C95" t="s">
        <v>70</v>
      </c>
      <c r="D95" t="s">
        <v>71</v>
      </c>
      <c r="E95">
        <v>32.548570057825053</v>
      </c>
      <c r="F95" t="s">
        <v>23</v>
      </c>
    </row>
    <row r="96" spans="1:8" x14ac:dyDescent="0.25">
      <c r="B96" t="s">
        <v>24</v>
      </c>
      <c r="C96" t="s">
        <v>160</v>
      </c>
      <c r="D96" t="s">
        <v>71</v>
      </c>
      <c r="E96">
        <v>25.003402152928501</v>
      </c>
      <c r="F96" t="s">
        <v>23</v>
      </c>
    </row>
    <row r="97" spans="2:7" x14ac:dyDescent="0.25">
      <c r="B97" t="s">
        <v>24</v>
      </c>
      <c r="C97" t="s">
        <v>161</v>
      </c>
      <c r="D97" t="s">
        <v>71</v>
      </c>
      <c r="E97">
        <v>4.2140565426283985</v>
      </c>
      <c r="F97" t="s">
        <v>23</v>
      </c>
    </row>
    <row r="98" spans="2:7" x14ac:dyDescent="0.25">
      <c r="B98" t="s">
        <v>24</v>
      </c>
      <c r="C98" t="s">
        <v>162</v>
      </c>
      <c r="D98" t="s">
        <v>71</v>
      </c>
      <c r="E98">
        <v>3.9331194397865055</v>
      </c>
      <c r="F98" t="s">
        <v>23</v>
      </c>
    </row>
    <row r="99" spans="2:7" x14ac:dyDescent="0.25">
      <c r="B99" t="s">
        <v>24</v>
      </c>
      <c r="C99" t="s">
        <v>165</v>
      </c>
      <c r="D99" t="s">
        <v>71</v>
      </c>
      <c r="E99">
        <v>8.0267743669112365E-2</v>
      </c>
      <c r="F99" t="s">
        <v>23</v>
      </c>
    </row>
    <row r="100" spans="2:7" x14ac:dyDescent="0.25">
      <c r="B100" t="s">
        <v>24</v>
      </c>
      <c r="C100" t="s">
        <v>219</v>
      </c>
      <c r="D100" t="s">
        <v>71</v>
      </c>
      <c r="E100">
        <v>0.48160646201467416</v>
      </c>
      <c r="F100" t="s">
        <v>23</v>
      </c>
    </row>
    <row r="101" spans="2:7" x14ac:dyDescent="0.25">
      <c r="B101" t="s">
        <v>24</v>
      </c>
      <c r="C101" t="s">
        <v>220</v>
      </c>
      <c r="D101" t="s">
        <v>71</v>
      </c>
      <c r="E101">
        <v>8.1471759824149039</v>
      </c>
      <c r="F101" t="s">
        <v>23</v>
      </c>
    </row>
    <row r="102" spans="2:7" x14ac:dyDescent="0.25">
      <c r="B102" t="s">
        <v>24</v>
      </c>
      <c r="C102" t="s">
        <v>221</v>
      </c>
      <c r="D102" t="s">
        <v>71</v>
      </c>
      <c r="E102">
        <v>2.9228530108476773</v>
      </c>
      <c r="F102" t="s">
        <v>23</v>
      </c>
    </row>
    <row r="103" spans="2:7" x14ac:dyDescent="0.25">
      <c r="B103" t="s">
        <v>24</v>
      </c>
      <c r="C103" t="s">
        <v>222</v>
      </c>
      <c r="D103" t="s">
        <v>71</v>
      </c>
      <c r="E103">
        <v>3.5719145932754999</v>
      </c>
      <c r="F103" t="s">
        <v>23</v>
      </c>
    </row>
    <row r="104" spans="2:7" x14ac:dyDescent="0.25">
      <c r="B104" t="s">
        <v>24</v>
      </c>
      <c r="C104" t="s">
        <v>218</v>
      </c>
      <c r="D104" t="s">
        <v>71</v>
      </c>
      <c r="E104">
        <v>0.16607119379816351</v>
      </c>
      <c r="F104" t="s">
        <v>23</v>
      </c>
    </row>
    <row r="105" spans="2:7" x14ac:dyDescent="0.25">
      <c r="B105" t="s">
        <v>24</v>
      </c>
      <c r="C105" t="s">
        <v>214</v>
      </c>
      <c r="D105" t="s">
        <v>71</v>
      </c>
      <c r="E105">
        <v>8.5083808289259082</v>
      </c>
      <c r="F105" t="s">
        <v>23</v>
      </c>
    </row>
    <row r="106" spans="2:7" x14ac:dyDescent="0.25">
      <c r="B106" t="s">
        <v>24</v>
      </c>
      <c r="C106" t="s">
        <v>216</v>
      </c>
      <c r="D106" t="s">
        <v>71</v>
      </c>
      <c r="E106">
        <v>0.89309397553679037</v>
      </c>
      <c r="F106" t="s">
        <v>23</v>
      </c>
    </row>
    <row r="107" spans="2:7" x14ac:dyDescent="0.25">
      <c r="B107" t="s">
        <v>24</v>
      </c>
      <c r="C107" t="s">
        <v>226</v>
      </c>
      <c r="D107" t="s">
        <v>71</v>
      </c>
      <c r="E107">
        <v>0.16607119379816351</v>
      </c>
      <c r="F107" t="s">
        <v>23</v>
      </c>
    </row>
    <row r="108" spans="2:7" x14ac:dyDescent="0.25">
      <c r="B108" t="s">
        <v>24</v>
      </c>
      <c r="C108" t="s">
        <v>227</v>
      </c>
      <c r="D108" t="s">
        <v>71</v>
      </c>
      <c r="E108">
        <v>6.0994259011092158</v>
      </c>
      <c r="F108" t="s">
        <v>23</v>
      </c>
    </row>
    <row r="109" spans="2:7" x14ac:dyDescent="0.25">
      <c r="B109" t="s">
        <v>24</v>
      </c>
      <c r="C109" t="s">
        <v>211</v>
      </c>
      <c r="D109" t="s">
        <v>71</v>
      </c>
      <c r="E109">
        <v>0.10517842273883686</v>
      </c>
      <c r="F109" t="s">
        <v>23</v>
      </c>
    </row>
    <row r="110" spans="2:7" x14ac:dyDescent="0.25">
      <c r="B110" t="s">
        <v>24</v>
      </c>
      <c r="C110" t="s">
        <v>228</v>
      </c>
      <c r="D110" t="s">
        <v>71</v>
      </c>
      <c r="E110">
        <v>3.1588124987025679</v>
      </c>
      <c r="F110" t="s">
        <v>23</v>
      </c>
    </row>
    <row r="111" spans="2:7" x14ac:dyDescent="0.25">
      <c r="B111" s="88" t="s">
        <v>25</v>
      </c>
      <c r="D111" s="88" t="s">
        <v>71</v>
      </c>
      <c r="E111" s="88">
        <v>0</v>
      </c>
      <c r="F111" s="88"/>
      <c r="G111" s="88" t="s">
        <v>158</v>
      </c>
    </row>
    <row r="112" spans="2:7" x14ac:dyDescent="0.25">
      <c r="B112" t="s">
        <v>25</v>
      </c>
      <c r="C112" t="s">
        <v>70</v>
      </c>
      <c r="D112" t="s">
        <v>71</v>
      </c>
      <c r="E112">
        <v>32.548570057825053</v>
      </c>
      <c r="F112" t="s">
        <v>23</v>
      </c>
    </row>
    <row r="113" spans="2:6" x14ac:dyDescent="0.25">
      <c r="B113" t="s">
        <v>25</v>
      </c>
      <c r="C113" t="s">
        <v>160</v>
      </c>
      <c r="D113" t="s">
        <v>71</v>
      </c>
      <c r="E113">
        <v>25.003402152928501</v>
      </c>
      <c r="F113" t="s">
        <v>23</v>
      </c>
    </row>
    <row r="114" spans="2:6" x14ac:dyDescent="0.25">
      <c r="B114" t="s">
        <v>25</v>
      </c>
      <c r="C114" t="s">
        <v>161</v>
      </c>
      <c r="D114" t="s">
        <v>71</v>
      </c>
      <c r="E114">
        <v>4.2140565426283985</v>
      </c>
      <c r="F114" t="s">
        <v>23</v>
      </c>
    </row>
    <row r="115" spans="2:6" x14ac:dyDescent="0.25">
      <c r="B115" t="s">
        <v>25</v>
      </c>
      <c r="C115" t="s">
        <v>162</v>
      </c>
      <c r="D115" t="s">
        <v>71</v>
      </c>
      <c r="E115">
        <v>3.9331194397865055</v>
      </c>
      <c r="F115" t="s">
        <v>23</v>
      </c>
    </row>
    <row r="116" spans="2:6" x14ac:dyDescent="0.25">
      <c r="B116" t="s">
        <v>25</v>
      </c>
      <c r="C116" t="s">
        <v>165</v>
      </c>
      <c r="D116" t="s">
        <v>71</v>
      </c>
      <c r="E116">
        <v>8.0267743669112365E-2</v>
      </c>
      <c r="F116" t="s">
        <v>23</v>
      </c>
    </row>
    <row r="117" spans="2:6" x14ac:dyDescent="0.25">
      <c r="B117" t="s">
        <v>25</v>
      </c>
      <c r="C117" t="s">
        <v>219</v>
      </c>
      <c r="D117" t="s">
        <v>71</v>
      </c>
      <c r="E117">
        <v>0.48160646201467416</v>
      </c>
      <c r="F117" t="s">
        <v>23</v>
      </c>
    </row>
    <row r="118" spans="2:6" x14ac:dyDescent="0.25">
      <c r="B118" t="s">
        <v>25</v>
      </c>
      <c r="C118" t="s">
        <v>220</v>
      </c>
      <c r="D118" t="s">
        <v>71</v>
      </c>
      <c r="E118">
        <v>8.1471759824149039</v>
      </c>
      <c r="F118" t="s">
        <v>23</v>
      </c>
    </row>
    <row r="119" spans="2:6" x14ac:dyDescent="0.25">
      <c r="B119" t="s">
        <v>25</v>
      </c>
      <c r="C119" t="s">
        <v>221</v>
      </c>
      <c r="D119" t="s">
        <v>71</v>
      </c>
      <c r="E119">
        <v>2.9228530108476773</v>
      </c>
      <c r="F119" t="s">
        <v>23</v>
      </c>
    </row>
    <row r="120" spans="2:6" x14ac:dyDescent="0.25">
      <c r="B120" t="s">
        <v>25</v>
      </c>
      <c r="C120" t="s">
        <v>222</v>
      </c>
      <c r="D120" t="s">
        <v>71</v>
      </c>
      <c r="E120">
        <v>3.5719145932754999</v>
      </c>
      <c r="F120" t="s">
        <v>23</v>
      </c>
    </row>
    <row r="121" spans="2:6" x14ac:dyDescent="0.25">
      <c r="B121" t="s">
        <v>25</v>
      </c>
      <c r="C121" t="s">
        <v>218</v>
      </c>
      <c r="D121" t="s">
        <v>71</v>
      </c>
      <c r="E121">
        <v>0.16607119379816351</v>
      </c>
      <c r="F121" t="s">
        <v>23</v>
      </c>
    </row>
    <row r="122" spans="2:6" x14ac:dyDescent="0.25">
      <c r="B122" t="s">
        <v>25</v>
      </c>
      <c r="C122" t="s">
        <v>214</v>
      </c>
      <c r="D122" t="s">
        <v>71</v>
      </c>
      <c r="E122">
        <v>8.5083808289259082</v>
      </c>
      <c r="F122" t="s">
        <v>23</v>
      </c>
    </row>
    <row r="123" spans="2:6" x14ac:dyDescent="0.25">
      <c r="B123" t="s">
        <v>25</v>
      </c>
      <c r="C123" t="s">
        <v>216</v>
      </c>
      <c r="D123" t="s">
        <v>71</v>
      </c>
      <c r="E123">
        <v>0.89309397553679037</v>
      </c>
      <c r="F123" t="s">
        <v>23</v>
      </c>
    </row>
    <row r="124" spans="2:6" x14ac:dyDescent="0.25">
      <c r="B124" t="s">
        <v>25</v>
      </c>
      <c r="C124" t="s">
        <v>226</v>
      </c>
      <c r="D124" t="s">
        <v>71</v>
      </c>
      <c r="E124">
        <v>0.16607119379816351</v>
      </c>
      <c r="F124" t="s">
        <v>23</v>
      </c>
    </row>
    <row r="125" spans="2:6" x14ac:dyDescent="0.25">
      <c r="B125" t="s">
        <v>25</v>
      </c>
      <c r="C125" t="s">
        <v>227</v>
      </c>
      <c r="D125" t="s">
        <v>71</v>
      </c>
      <c r="E125">
        <v>6.0994259011092158</v>
      </c>
      <c r="F125" t="s">
        <v>23</v>
      </c>
    </row>
    <row r="126" spans="2:6" x14ac:dyDescent="0.25">
      <c r="B126" t="s">
        <v>25</v>
      </c>
      <c r="C126" t="s">
        <v>211</v>
      </c>
      <c r="D126" t="s">
        <v>71</v>
      </c>
      <c r="E126">
        <v>0.10517842273883686</v>
      </c>
      <c r="F126" t="s">
        <v>23</v>
      </c>
    </row>
    <row r="127" spans="2:6" x14ac:dyDescent="0.25">
      <c r="B127" t="s">
        <v>25</v>
      </c>
      <c r="C127" t="s">
        <v>228</v>
      </c>
      <c r="D127" t="s">
        <v>71</v>
      </c>
      <c r="E127">
        <v>3.1588124987025679</v>
      </c>
      <c r="F127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Z45"/>
  <sheetViews>
    <sheetView topLeftCell="A7" workbookViewId="0">
      <selection activeCell="K31" sqref="K8:K31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1" max="11" width="27.7109375" customWidth="1"/>
    <col min="12" max="13" width="13.28515625" customWidth="1"/>
    <col min="14" max="17" width="12.140625" customWidth="1"/>
  </cols>
  <sheetData>
    <row r="5" spans="3:22" ht="15" customHeight="1" x14ac:dyDescent="0.25">
      <c r="C5" s="102" t="s">
        <v>166</v>
      </c>
    </row>
    <row r="6" spans="3:22" x14ac:dyDescent="0.25">
      <c r="C6" s="4" t="s">
        <v>167</v>
      </c>
      <c r="D6" s="4" t="s">
        <v>168</v>
      </c>
      <c r="E6" s="4"/>
      <c r="F6" s="4"/>
      <c r="G6" s="4"/>
      <c r="H6" s="4"/>
      <c r="I6" s="4"/>
    </row>
    <row r="7" spans="3:22" ht="36.75" customHeight="1" x14ac:dyDescent="0.25">
      <c r="C7" s="4"/>
      <c r="D7" s="103" t="s">
        <v>169</v>
      </c>
      <c r="E7" s="103"/>
      <c r="F7" s="103" t="s">
        <v>170</v>
      </c>
      <c r="G7" s="103"/>
      <c r="H7" s="103" t="s">
        <v>171</v>
      </c>
      <c r="I7" s="103"/>
      <c r="K7" s="103" t="s">
        <v>210</v>
      </c>
      <c r="L7" s="103" t="s">
        <v>245</v>
      </c>
      <c r="M7" s="103" t="s">
        <v>23</v>
      </c>
      <c r="N7" s="103" t="s">
        <v>15</v>
      </c>
      <c r="O7" s="103" t="s">
        <v>23</v>
      </c>
      <c r="P7" s="103" t="s">
        <v>246</v>
      </c>
      <c r="Q7" s="103" t="s">
        <v>23</v>
      </c>
      <c r="R7" s="103" t="s">
        <v>209</v>
      </c>
      <c r="S7" s="103" t="s">
        <v>239</v>
      </c>
      <c r="T7" s="103" t="s">
        <v>240</v>
      </c>
      <c r="U7" s="103"/>
      <c r="V7" s="104" t="s">
        <v>235</v>
      </c>
    </row>
    <row r="8" spans="3:22" x14ac:dyDescent="0.25">
      <c r="C8" s="105" t="s">
        <v>173</v>
      </c>
      <c r="D8">
        <v>517.6</v>
      </c>
      <c r="E8" s="5">
        <f>D8/D$45</f>
        <v>0.31776045183866414</v>
      </c>
      <c r="F8">
        <v>14.9</v>
      </c>
      <c r="G8" s="5">
        <f>F8/F$45</f>
        <v>0.27090909090909093</v>
      </c>
      <c r="H8">
        <v>81.099999999999994</v>
      </c>
      <c r="I8" s="5">
        <f>H8/H$45</f>
        <v>0.15836750634641669</v>
      </c>
      <c r="K8" t="s">
        <v>70</v>
      </c>
      <c r="L8" s="13">
        <f>(D8)*($R8/100)</f>
        <v>450.31200000000001</v>
      </c>
      <c r="M8" s="13">
        <f>L8/L$32*100</f>
        <v>40.178411304260166</v>
      </c>
      <c r="N8" s="13">
        <f>(F8)*($R8/100)</f>
        <v>12.963000000000001</v>
      </c>
      <c r="O8" s="13">
        <f>N8/N$32*100</f>
        <v>38.250221304219536</v>
      </c>
      <c r="P8" s="13">
        <f>(H8)*($R8/100)</f>
        <v>70.556999999999988</v>
      </c>
      <c r="Q8" s="13">
        <f>P8/P$32*100</f>
        <v>32.548570057825053</v>
      </c>
      <c r="R8">
        <v>87</v>
      </c>
    </row>
    <row r="9" spans="3:22" x14ac:dyDescent="0.25">
      <c r="C9" s="105" t="s">
        <v>174</v>
      </c>
      <c r="D9">
        <v>435.3</v>
      </c>
      <c r="E9" s="5">
        <f>D9/D$45</f>
        <v>0.267235557738351</v>
      </c>
      <c r="F9">
        <v>13.5</v>
      </c>
      <c r="G9" s="5">
        <f>F9/F$45</f>
        <v>0.24545454545454545</v>
      </c>
      <c r="H9">
        <v>62.3</v>
      </c>
      <c r="I9" s="5">
        <f>H9/H$45</f>
        <v>0.12165592657684045</v>
      </c>
      <c r="K9" t="s">
        <v>160</v>
      </c>
      <c r="L9" s="13">
        <f>(D9)*($R9/100)</f>
        <v>378.71100000000001</v>
      </c>
      <c r="M9" s="13">
        <f t="shared" ref="M9:O31" si="0">L9/L$32*100</f>
        <v>33.789919707775212</v>
      </c>
      <c r="N9" s="13">
        <f>(F9)*($R9/100)</f>
        <v>11.744999999999999</v>
      </c>
      <c r="O9" s="13">
        <f t="shared" si="0"/>
        <v>34.656240778990849</v>
      </c>
      <c r="P9" s="13">
        <f>(H9)*($R9/100)</f>
        <v>54.201000000000001</v>
      </c>
      <c r="Q9" s="13">
        <f t="shared" ref="Q9" si="1">P9/P$32*100</f>
        <v>25.003402152928501</v>
      </c>
      <c r="R9">
        <v>87</v>
      </c>
    </row>
    <row r="10" spans="3:22" x14ac:dyDescent="0.25">
      <c r="C10" s="105" t="s">
        <v>175</v>
      </c>
      <c r="D10">
        <v>63.2</v>
      </c>
      <c r="E10" s="5">
        <f>D10/D$45</f>
        <v>3.8799189637178461E-2</v>
      </c>
      <c r="F10">
        <v>2.7</v>
      </c>
      <c r="G10" s="5">
        <f>F10/F$45</f>
        <v>4.9090909090909095E-2</v>
      </c>
      <c r="H10">
        <v>10.5</v>
      </c>
      <c r="I10" s="5">
        <f>H10/H$45</f>
        <v>2.0503807850029289E-2</v>
      </c>
      <c r="K10" t="s">
        <v>161</v>
      </c>
      <c r="L10" s="13">
        <f>(D10)*($R10/100)</f>
        <v>54.984000000000002</v>
      </c>
      <c r="M10" s="3">
        <f t="shared" si="0"/>
        <v>4.9058647496700978</v>
      </c>
      <c r="N10" s="13">
        <f>(F10)*($R10/100)</f>
        <v>2.3490000000000002</v>
      </c>
      <c r="O10" s="3">
        <f t="shared" si="0"/>
        <v>6.9312481557981709</v>
      </c>
      <c r="P10" s="13">
        <f>(H10)*($R10/100)</f>
        <v>9.1349999999999998</v>
      </c>
      <c r="Q10" s="3">
        <f t="shared" ref="Q10" si="2">P10/P$32*100</f>
        <v>4.2140565426283985</v>
      </c>
      <c r="R10">
        <v>87</v>
      </c>
    </row>
    <row r="11" spans="3:22" x14ac:dyDescent="0.25">
      <c r="C11" s="105" t="s">
        <v>176</v>
      </c>
      <c r="D11">
        <v>5.8</v>
      </c>
      <c r="E11" s="5">
        <f>D11/D$45</f>
        <v>3.5606851249309346E-3</v>
      </c>
      <c r="F11">
        <v>0</v>
      </c>
      <c r="G11" s="5">
        <f>F11/F$45</f>
        <v>0</v>
      </c>
      <c r="H11">
        <v>9.8000000000000007</v>
      </c>
      <c r="I11" s="5">
        <f>H11/H$45</f>
        <v>1.9136887326694007E-2</v>
      </c>
      <c r="K11" t="s">
        <v>162</v>
      </c>
      <c r="L11" s="13">
        <f>(D11)*($R11/100)</f>
        <v>5.0460000000000003</v>
      </c>
      <c r="M11" s="3">
        <f t="shared" si="0"/>
        <v>0.45022176500136973</v>
      </c>
      <c r="N11" s="13">
        <f>(F11)*($R11/100)</f>
        <v>0</v>
      </c>
      <c r="O11" s="3">
        <f t="shared" si="0"/>
        <v>0</v>
      </c>
      <c r="P11" s="13">
        <f>(H11)*($R11/100)</f>
        <v>8.5259999999999998</v>
      </c>
      <c r="Q11" s="3">
        <f t="shared" ref="Q11" si="3">P11/P$32*100</f>
        <v>3.9331194397865055</v>
      </c>
      <c r="R11">
        <v>87</v>
      </c>
    </row>
    <row r="12" spans="3:22" x14ac:dyDescent="0.25">
      <c r="C12" s="105" t="s">
        <v>182</v>
      </c>
      <c r="D12">
        <v>2.9</v>
      </c>
      <c r="E12" s="5">
        <f>D12/D$45</f>
        <v>1.7803425624654673E-3</v>
      </c>
      <c r="F12">
        <v>0.7</v>
      </c>
      <c r="G12" s="5">
        <f>F12/F$45</f>
        <v>1.2727272727272726E-2</v>
      </c>
      <c r="H12">
        <v>0.2</v>
      </c>
      <c r="I12" s="5">
        <f>H12/H$45</f>
        <v>3.905487209529389E-4</v>
      </c>
      <c r="K12" t="s">
        <v>165</v>
      </c>
      <c r="L12" s="13">
        <f>(D12)*($R12/100)</f>
        <v>2.5230000000000001</v>
      </c>
      <c r="M12" s="3">
        <f t="shared" si="0"/>
        <v>0.22511088250068487</v>
      </c>
      <c r="N12" s="13">
        <f>(F12)*($R12/100)</f>
        <v>0.60899999999999999</v>
      </c>
      <c r="O12" s="3">
        <f t="shared" si="0"/>
        <v>1.7969902626143404</v>
      </c>
      <c r="P12" s="13">
        <f>(H12)*($R12/100)</f>
        <v>0.17400000000000002</v>
      </c>
      <c r="Q12" s="3">
        <f t="shared" ref="Q12" si="4">P12/P$32*100</f>
        <v>8.0267743669112365E-2</v>
      </c>
      <c r="R12">
        <v>87</v>
      </c>
    </row>
    <row r="13" spans="3:22" x14ac:dyDescent="0.25">
      <c r="C13" s="105" t="s">
        <v>188</v>
      </c>
      <c r="D13">
        <v>10.3</v>
      </c>
      <c r="E13" s="5">
        <f>D13/D$45</f>
        <v>6.3232856528945914E-3</v>
      </c>
      <c r="F13">
        <v>0.1</v>
      </c>
      <c r="G13" s="5">
        <f>F13/F$45</f>
        <v>1.8181818181818182E-3</v>
      </c>
      <c r="H13">
        <v>1.2</v>
      </c>
      <c r="I13" s="5">
        <f>H13/H$45</f>
        <v>2.3432923257176333E-3</v>
      </c>
      <c r="K13" t="s">
        <v>219</v>
      </c>
      <c r="L13" s="13">
        <f>(D13)*($R13/100)</f>
        <v>8.9610000000000003</v>
      </c>
      <c r="M13" s="3">
        <f t="shared" si="0"/>
        <v>0.79953175508863938</v>
      </c>
      <c r="N13" s="13">
        <f>(F13)*($R13/100)</f>
        <v>8.7000000000000008E-2</v>
      </c>
      <c r="O13" s="3">
        <f t="shared" si="0"/>
        <v>0.2567128946591915</v>
      </c>
      <c r="P13" s="13">
        <f>(H13)*($R13/100)</f>
        <v>1.044</v>
      </c>
      <c r="Q13" s="3">
        <f t="shared" ref="Q13" si="5">P13/P$32*100</f>
        <v>0.48160646201467416</v>
      </c>
      <c r="R13">
        <v>87</v>
      </c>
    </row>
    <row r="14" spans="3:22" x14ac:dyDescent="0.25">
      <c r="C14" s="105" t="s">
        <v>189</v>
      </c>
      <c r="D14">
        <v>1.3</v>
      </c>
      <c r="E14" s="5">
        <f>D14/D$45</f>
        <v>7.9808459696727846E-4</v>
      </c>
      <c r="F14">
        <v>0.3</v>
      </c>
      <c r="G14" s="5">
        <f>F14/F$45</f>
        <v>5.4545454545454541E-3</v>
      </c>
      <c r="H14">
        <v>20.3</v>
      </c>
      <c r="I14" s="5">
        <f>H14/H$45</f>
        <v>3.9640695176723299E-2</v>
      </c>
      <c r="K14" t="s">
        <v>220</v>
      </c>
      <c r="L14" s="13">
        <f>(D14)*($R14/100)</f>
        <v>1.131</v>
      </c>
      <c r="M14" s="3">
        <f t="shared" si="0"/>
        <v>0.10091177491410011</v>
      </c>
      <c r="N14" s="13">
        <f>(F14)*($R14/100)</f>
        <v>0.26100000000000001</v>
      </c>
      <c r="O14" s="3">
        <f t="shared" si="0"/>
        <v>0.77013868397757457</v>
      </c>
      <c r="P14" s="13">
        <f>(H14)*($R14/100)</f>
        <v>17.661000000000001</v>
      </c>
      <c r="Q14" s="3">
        <f t="shared" ref="Q14" si="6">P14/P$32*100</f>
        <v>8.1471759824149039</v>
      </c>
      <c r="R14">
        <v>87</v>
      </c>
    </row>
    <row r="15" spans="3:22" x14ac:dyDescent="0.25">
      <c r="C15" s="105" t="s">
        <v>180</v>
      </c>
      <c r="D15">
        <v>4.3</v>
      </c>
      <c r="E15" s="5">
        <f>D15/D$45</f>
        <v>2.6398182822763828E-3</v>
      </c>
      <c r="F15">
        <v>0</v>
      </c>
      <c r="G15" s="5">
        <f>F15/F$45</f>
        <v>0</v>
      </c>
      <c r="H15">
        <v>0</v>
      </c>
      <c r="I15" s="5">
        <f>H15/H$45</f>
        <v>0</v>
      </c>
      <c r="K15" t="s">
        <v>163</v>
      </c>
      <c r="L15" s="13">
        <f>(D15)*($R15/100)</f>
        <v>3.956</v>
      </c>
      <c r="M15" s="3">
        <f t="shared" si="0"/>
        <v>0.35296815345727672</v>
      </c>
      <c r="N15" s="13">
        <f>(F15)*($R15/100)</f>
        <v>0</v>
      </c>
      <c r="O15" s="3">
        <f t="shared" si="0"/>
        <v>0</v>
      </c>
      <c r="P15" s="13">
        <f>(H15)*($R15/100)</f>
        <v>0</v>
      </c>
      <c r="Q15" s="3">
        <f t="shared" ref="Q15" si="7">P15/P$32*100</f>
        <v>0</v>
      </c>
      <c r="R15">
        <v>92</v>
      </c>
    </row>
    <row r="16" spans="3:22" x14ac:dyDescent="0.25">
      <c r="C16" s="105" t="s">
        <v>181</v>
      </c>
      <c r="D16">
        <v>1.6</v>
      </c>
      <c r="E16" s="5">
        <f>D16/D$45</f>
        <v>9.8225796549818905E-4</v>
      </c>
      <c r="F16">
        <v>0</v>
      </c>
      <c r="G16" s="5">
        <f>F16/F$45</f>
        <v>0</v>
      </c>
      <c r="H16">
        <v>0</v>
      </c>
      <c r="I16" s="5">
        <f>H16/H$45</f>
        <v>0</v>
      </c>
      <c r="K16" t="s">
        <v>164</v>
      </c>
      <c r="L16" s="13">
        <f>(D16)*($R16/100)</f>
        <v>1.4560000000000002</v>
      </c>
      <c r="M16" s="3">
        <f t="shared" si="0"/>
        <v>0.12990941138366913</v>
      </c>
      <c r="N16" s="13">
        <f>(F16)*($R16/100)</f>
        <v>0</v>
      </c>
      <c r="O16" s="3">
        <f t="shared" si="0"/>
        <v>0</v>
      </c>
      <c r="P16" s="13">
        <f>(H16)*($R16/100)</f>
        <v>0</v>
      </c>
      <c r="Q16" s="3">
        <f t="shared" ref="Q16" si="8">P16/P$32*100</f>
        <v>0</v>
      </c>
      <c r="R16">
        <v>91</v>
      </c>
    </row>
    <row r="17" spans="2:26" x14ac:dyDescent="0.25">
      <c r="C17" s="105" t="s">
        <v>190</v>
      </c>
      <c r="D17">
        <v>88.6</v>
      </c>
      <c r="E17" s="5">
        <f>D17/D$45</f>
        <v>5.4392534839462207E-2</v>
      </c>
      <c r="F17">
        <v>2.8</v>
      </c>
      <c r="G17" s="5">
        <f>F17/F$45</f>
        <v>5.0909090909090904E-2</v>
      </c>
      <c r="H17">
        <v>7.2</v>
      </c>
      <c r="I17" s="5">
        <f>H17/H$45</f>
        <v>1.4059753954305799E-2</v>
      </c>
      <c r="K17" t="s">
        <v>221</v>
      </c>
      <c r="L17" s="13">
        <f>(D17)*($R17/100)</f>
        <v>77.967999999999989</v>
      </c>
      <c r="M17" s="3">
        <f t="shared" si="0"/>
        <v>6.9565776007980151</v>
      </c>
      <c r="N17" s="13">
        <f>(F17)*($R17/100)</f>
        <v>2.464</v>
      </c>
      <c r="O17" s="3">
        <f t="shared" si="0"/>
        <v>7.270581292416642</v>
      </c>
      <c r="P17" s="13">
        <f>(H17)*($R17/100)</f>
        <v>6.3360000000000003</v>
      </c>
      <c r="Q17" s="3">
        <f t="shared" ref="Q17" si="9">P17/P$32*100</f>
        <v>2.9228530108476773</v>
      </c>
      <c r="R17">
        <v>88</v>
      </c>
      <c r="V17" t="s">
        <v>233</v>
      </c>
    </row>
    <row r="18" spans="2:26" x14ac:dyDescent="0.25">
      <c r="C18" s="105" t="s">
        <v>194</v>
      </c>
      <c r="D18">
        <v>0</v>
      </c>
      <c r="E18" s="5">
        <f>D18/D$45</f>
        <v>0</v>
      </c>
      <c r="F18">
        <v>0.9</v>
      </c>
      <c r="G18" s="5">
        <f>F18/F$45</f>
        <v>1.6363636363636365E-2</v>
      </c>
      <c r="H18">
        <v>0</v>
      </c>
      <c r="I18" s="5">
        <f>H18/H$45</f>
        <v>0</v>
      </c>
      <c r="K18" t="s">
        <v>223</v>
      </c>
      <c r="L18" s="13">
        <f>(D18)*($R18/100)</f>
        <v>0</v>
      </c>
      <c r="M18" s="3">
        <f t="shared" si="0"/>
        <v>0</v>
      </c>
      <c r="N18" s="13">
        <f>(F18)*($R18/100)</f>
        <v>0.78300000000000003</v>
      </c>
      <c r="O18" s="3">
        <f t="shared" si="0"/>
        <v>2.3104160519327235</v>
      </c>
      <c r="P18" s="13">
        <f>(H18)*($R18/100)</f>
        <v>0</v>
      </c>
      <c r="Q18" s="3">
        <f t="shared" ref="Q18" si="10">P18/P$32*100</f>
        <v>0</v>
      </c>
      <c r="R18">
        <v>87</v>
      </c>
      <c r="V18" t="s">
        <v>234</v>
      </c>
    </row>
    <row r="19" spans="2:26" x14ac:dyDescent="0.25">
      <c r="C19" s="105" t="s">
        <v>191</v>
      </c>
      <c r="D19">
        <v>40.700000000000003</v>
      </c>
      <c r="E19" s="5">
        <f>D19/D$45</f>
        <v>2.4986186997360181E-2</v>
      </c>
      <c r="F19">
        <v>0</v>
      </c>
      <c r="G19" s="5">
        <f>F19/F$45</f>
        <v>0</v>
      </c>
      <c r="H19">
        <v>8.6999999999999993</v>
      </c>
      <c r="I19" s="5">
        <f>H19/H$45</f>
        <v>1.698886936145284E-2</v>
      </c>
      <c r="K19" t="s">
        <v>222</v>
      </c>
      <c r="L19" s="13">
        <f>(D19)*($R19/100)</f>
        <v>36.223000000000006</v>
      </c>
      <c r="M19" s="3">
        <f t="shared" si="0"/>
        <v>3.2319427256529165</v>
      </c>
      <c r="N19" s="13">
        <f>(F19)*($R19/100)</f>
        <v>0</v>
      </c>
      <c r="O19" s="3">
        <f t="shared" si="0"/>
        <v>0</v>
      </c>
      <c r="P19" s="13">
        <f>(H19)*($R19/100)</f>
        <v>7.7429999999999994</v>
      </c>
      <c r="Q19" s="3">
        <f t="shared" ref="Q19" si="11">P19/P$32*100</f>
        <v>3.5719145932754999</v>
      </c>
      <c r="R19">
        <v>89</v>
      </c>
    </row>
    <row r="20" spans="2:26" x14ac:dyDescent="0.25">
      <c r="C20" s="105" t="s">
        <v>187</v>
      </c>
      <c r="D20">
        <v>5.5</v>
      </c>
      <c r="E20" s="5">
        <f>D20/D$45</f>
        <v>3.3765117564000242E-3</v>
      </c>
      <c r="F20">
        <v>0</v>
      </c>
      <c r="G20" s="5">
        <f>F20/F$45</f>
        <v>0</v>
      </c>
      <c r="H20">
        <v>0.4</v>
      </c>
      <c r="I20" s="5">
        <f>H20/H$45</f>
        <v>7.810974419058778E-4</v>
      </c>
      <c r="K20" t="s">
        <v>218</v>
      </c>
      <c r="L20" s="13">
        <f>(D20)*($R20/100)</f>
        <v>4.95</v>
      </c>
      <c r="M20" s="3">
        <f t="shared" si="0"/>
        <v>0.44165630930574318</v>
      </c>
      <c r="N20" s="13">
        <f>(F20)*($R20/100)</f>
        <v>0</v>
      </c>
      <c r="O20" s="3">
        <f t="shared" si="0"/>
        <v>0</v>
      </c>
      <c r="P20" s="13">
        <f>(H20)*($R20/100)</f>
        <v>0.36000000000000004</v>
      </c>
      <c r="Q20" s="3">
        <f t="shared" ref="Q20" si="12">P20/P$32*100</f>
        <v>0.16607119379816351</v>
      </c>
      <c r="R20">
        <v>90</v>
      </c>
    </row>
    <row r="21" spans="2:26" x14ac:dyDescent="0.25">
      <c r="C21" s="105" t="s">
        <v>179</v>
      </c>
      <c r="D21">
        <v>1.6</v>
      </c>
      <c r="E21" s="5">
        <f>D21/D$45</f>
        <v>9.8225796549818905E-4</v>
      </c>
      <c r="F21">
        <v>0</v>
      </c>
      <c r="G21" s="5">
        <f>F21/F$45</f>
        <v>0</v>
      </c>
      <c r="H21">
        <v>0</v>
      </c>
      <c r="I21" s="5">
        <f>H21/H$45</f>
        <v>0</v>
      </c>
      <c r="K21" t="s">
        <v>213</v>
      </c>
      <c r="L21" s="13">
        <f>(D21)*($R21/100)</f>
        <v>1.4560000000000002</v>
      </c>
      <c r="M21" s="3">
        <f t="shared" si="0"/>
        <v>0.12990941138366913</v>
      </c>
      <c r="N21" s="13">
        <f>(F21)*($R21/100)</f>
        <v>0</v>
      </c>
      <c r="O21" s="3">
        <f t="shared" si="0"/>
        <v>0</v>
      </c>
      <c r="P21" s="13">
        <f>(H21)*($R21/100)</f>
        <v>0</v>
      </c>
      <c r="Q21" s="3">
        <f t="shared" ref="Q21" si="13">P21/P$32*100</f>
        <v>0</v>
      </c>
      <c r="R21">
        <v>91</v>
      </c>
      <c r="V21" t="s">
        <v>236</v>
      </c>
    </row>
    <row r="22" spans="2:26" x14ac:dyDescent="0.25">
      <c r="C22" s="105" t="s">
        <v>183</v>
      </c>
      <c r="D22">
        <v>39.9</v>
      </c>
      <c r="E22" s="5">
        <f>D22/D$45</f>
        <v>2.4495058014611083E-2</v>
      </c>
      <c r="F22">
        <v>0</v>
      </c>
      <c r="G22" s="5">
        <f>F22/F$45</f>
        <v>0</v>
      </c>
      <c r="H22">
        <v>3.3</v>
      </c>
      <c r="I22" s="5">
        <f>H22/H$45</f>
        <v>6.444053895723491E-3</v>
      </c>
      <c r="K22" t="s">
        <v>214</v>
      </c>
      <c r="L22" s="13">
        <f>(D22+D39)*($R22/100)</f>
        <v>34.713000000000001</v>
      </c>
      <c r="M22" s="3">
        <f t="shared" si="0"/>
        <v>3.0972152454404571</v>
      </c>
      <c r="N22" s="13">
        <f>(F22+F39)*($R22/100)</f>
        <v>0</v>
      </c>
      <c r="O22" s="3">
        <f t="shared" si="0"/>
        <v>0</v>
      </c>
      <c r="P22" s="13">
        <f>(H22+H39)*($R22/100)</f>
        <v>18.443999999999999</v>
      </c>
      <c r="Q22" s="3">
        <f t="shared" ref="Q22" si="14">P22/P$32*100</f>
        <v>8.5083808289259082</v>
      </c>
      <c r="R22">
        <v>87</v>
      </c>
    </row>
    <row r="23" spans="2:26" x14ac:dyDescent="0.25">
      <c r="B23" t="s">
        <v>215</v>
      </c>
      <c r="C23" s="105" t="s">
        <v>184</v>
      </c>
      <c r="D23">
        <v>29.7</v>
      </c>
      <c r="E23" s="5">
        <f>D23/D$45</f>
        <v>1.8233163484560132E-2</v>
      </c>
      <c r="F23">
        <v>0.5</v>
      </c>
      <c r="G23" s="5">
        <f>F23/F$45</f>
        <v>9.0909090909090905E-3</v>
      </c>
      <c r="H23">
        <v>2.2000000000000002</v>
      </c>
      <c r="I23" s="5">
        <f>H23/H$45</f>
        <v>4.2960359304823276E-3</v>
      </c>
      <c r="K23" t="s">
        <v>216</v>
      </c>
      <c r="L23" s="13">
        <f>(D23)*($R23/100)</f>
        <v>26.135999999999999</v>
      </c>
      <c r="M23" s="3">
        <f t="shared" si="0"/>
        <v>2.331945313134324</v>
      </c>
      <c r="N23" s="13">
        <f>(F23)*($R23/100)</f>
        <v>0.44</v>
      </c>
      <c r="O23" s="3">
        <f t="shared" si="0"/>
        <v>1.2983180879315432</v>
      </c>
      <c r="P23" s="13">
        <f>(H23)*($R23/100)</f>
        <v>1.9360000000000002</v>
      </c>
      <c r="Q23" s="3">
        <f t="shared" ref="Q23" si="15">P23/P$32*100</f>
        <v>0.89309397553679037</v>
      </c>
      <c r="R23">
        <v>88</v>
      </c>
    </row>
    <row r="24" spans="2:26" x14ac:dyDescent="0.25">
      <c r="C24" s="105" t="s">
        <v>192</v>
      </c>
      <c r="D24">
        <v>1.7</v>
      </c>
      <c r="E24" s="5">
        <f>D24/D$45</f>
        <v>1.0436490883418256E-3</v>
      </c>
      <c r="F24">
        <v>0</v>
      </c>
      <c r="G24" s="5">
        <f>F24/F$45</f>
        <v>0</v>
      </c>
      <c r="H24">
        <v>0.4</v>
      </c>
      <c r="I24" s="5">
        <f>H24/H$45</f>
        <v>7.810974419058778E-4</v>
      </c>
      <c r="K24" t="s">
        <v>226</v>
      </c>
      <c r="L24" s="13">
        <f>(D24)*($R24/100)</f>
        <v>1.53</v>
      </c>
      <c r="M24" s="3">
        <f t="shared" si="0"/>
        <v>0.13651195014904788</v>
      </c>
      <c r="N24" s="13">
        <f>(F24)*($R24/100)</f>
        <v>0</v>
      </c>
      <c r="O24" s="3">
        <f t="shared" si="0"/>
        <v>0</v>
      </c>
      <c r="P24" s="13">
        <f>(H24)*($R24/100)</f>
        <v>0.36000000000000004</v>
      </c>
      <c r="Q24" s="3">
        <f t="shared" ref="Q24" si="16">P24/P$32*100</f>
        <v>0.16607119379816351</v>
      </c>
      <c r="R24">
        <v>90</v>
      </c>
      <c r="V24" t="s">
        <v>238</v>
      </c>
    </row>
    <row r="25" spans="2:26" x14ac:dyDescent="0.25">
      <c r="C25" s="105" t="s">
        <v>199</v>
      </c>
      <c r="D25">
        <v>60.4</v>
      </c>
      <c r="E25" s="5">
        <f>D25/D$45</f>
        <v>3.7080238197556632E-2</v>
      </c>
      <c r="F25">
        <v>0</v>
      </c>
      <c r="G25" s="5">
        <f>F25/F$45</f>
        <v>0</v>
      </c>
      <c r="H25">
        <v>0</v>
      </c>
      <c r="I25" s="5">
        <f>H25/H$45</f>
        <v>0</v>
      </c>
      <c r="K25" t="s">
        <v>227</v>
      </c>
      <c r="L25" s="13">
        <f>(D25+D37)*($R25/100)</f>
        <v>6.6440000000000001</v>
      </c>
      <c r="M25" s="3">
        <f t="shared" si="0"/>
        <v>0.59280091293481973</v>
      </c>
      <c r="N25" s="13">
        <f>(F25+F37)*($R25/100)</f>
        <v>0</v>
      </c>
      <c r="O25" s="3">
        <f t="shared" si="0"/>
        <v>0</v>
      </c>
      <c r="P25" s="13">
        <f>(H25+H37)*($R25/100)</f>
        <v>13.222</v>
      </c>
      <c r="Q25" s="3">
        <f t="shared" ref="Q25" si="17">P25/P$32*100</f>
        <v>6.0994259011092158</v>
      </c>
      <c r="R25">
        <v>11</v>
      </c>
      <c r="V25" t="s">
        <v>237</v>
      </c>
    </row>
    <row r="26" spans="2:26" x14ac:dyDescent="0.25">
      <c r="C26" s="105" t="s">
        <v>177</v>
      </c>
      <c r="D26">
        <v>5.2</v>
      </c>
      <c r="E26" s="5">
        <f>D26/D$45</f>
        <v>3.1923383878691139E-3</v>
      </c>
      <c r="F26">
        <v>0</v>
      </c>
      <c r="G26" s="5">
        <f>F26/F$45</f>
        <v>0</v>
      </c>
      <c r="H26">
        <v>0.3</v>
      </c>
      <c r="I26" s="5">
        <f>H26/H$45</f>
        <v>5.8582308142940832E-4</v>
      </c>
      <c r="K26" t="s">
        <v>211</v>
      </c>
      <c r="L26" s="13">
        <f>(D26)*($R26/100)</f>
        <v>3.9520000000000004</v>
      </c>
      <c r="M26" s="3">
        <f t="shared" si="0"/>
        <v>0.35261125946995903</v>
      </c>
      <c r="N26" s="13">
        <f>(F26)*($R26/100)</f>
        <v>0</v>
      </c>
      <c r="O26" s="3">
        <f t="shared" si="0"/>
        <v>0</v>
      </c>
      <c r="P26" s="13">
        <f>(H26)*($R26/100)</f>
        <v>0.22799999999999998</v>
      </c>
      <c r="Q26" s="3">
        <f t="shared" ref="Q26" si="18">P26/P$32*100</f>
        <v>0.10517842273883686</v>
      </c>
      <c r="R26">
        <v>76</v>
      </c>
    </row>
    <row r="27" spans="2:26" x14ac:dyDescent="0.25">
      <c r="C27" s="105" t="s">
        <v>178</v>
      </c>
      <c r="D27">
        <v>8.6999999999999993</v>
      </c>
      <c r="E27" s="5">
        <f>D27/D$45</f>
        <v>5.3410276873964019E-3</v>
      </c>
      <c r="F27">
        <v>0</v>
      </c>
      <c r="G27" s="5">
        <f>F27/F$45</f>
        <v>0</v>
      </c>
      <c r="H27">
        <v>0</v>
      </c>
      <c r="I27" s="5">
        <f>H27/H$45</f>
        <v>0</v>
      </c>
      <c r="K27" t="s">
        <v>212</v>
      </c>
      <c r="L27" s="13">
        <f>(D27)*($R27/100)</f>
        <v>7.7429999999999994</v>
      </c>
      <c r="M27" s="3">
        <f t="shared" si="0"/>
        <v>0.69085753595037758</v>
      </c>
      <c r="N27" s="13">
        <f>(F27)*($R27/100)</f>
        <v>0</v>
      </c>
      <c r="O27" s="3">
        <f t="shared" si="0"/>
        <v>0</v>
      </c>
      <c r="P27" s="13">
        <f>(H27)*($R27/100)</f>
        <v>0</v>
      </c>
      <c r="Q27" s="3">
        <f t="shared" ref="Q27" si="19">P27/P$32*100</f>
        <v>0</v>
      </c>
      <c r="R27">
        <v>89</v>
      </c>
      <c r="V27" t="s">
        <v>241</v>
      </c>
    </row>
    <row r="28" spans="2:26" x14ac:dyDescent="0.25">
      <c r="C28" s="105" t="s">
        <v>200</v>
      </c>
      <c r="D28">
        <v>188.4</v>
      </c>
      <c r="E28" s="5">
        <f>D28/D$45</f>
        <v>0.11566087543741174</v>
      </c>
      <c r="F28">
        <v>9.6</v>
      </c>
      <c r="G28" s="5">
        <f>F28/F$45</f>
        <v>0.17454545454545453</v>
      </c>
      <c r="H28">
        <v>0</v>
      </c>
      <c r="I28" s="5">
        <f>H28/H$45</f>
        <v>0</v>
      </c>
      <c r="K28" t="s">
        <v>228</v>
      </c>
      <c r="L28" s="13">
        <f>(D28+D38)*($R28/100)</f>
        <v>10.362</v>
      </c>
      <c r="M28" s="3">
        <f t="shared" si="0"/>
        <v>0.92453387414668897</v>
      </c>
      <c r="N28" s="13">
        <f>(F28+F38)*($R28/100)</f>
        <v>0.52800000000000002</v>
      </c>
      <c r="O28" s="3">
        <f t="shared" si="0"/>
        <v>1.557981705517852</v>
      </c>
      <c r="P28" s="13">
        <f>(H28+H38)*($R28/100)</f>
        <v>6.8475000000000001</v>
      </c>
      <c r="Q28" s="3">
        <f t="shared" ref="Q28" si="20">P28/P$32*100</f>
        <v>3.1588124987025679</v>
      </c>
      <c r="R28">
        <v>5.5</v>
      </c>
    </row>
    <row r="29" spans="2:26" x14ac:dyDescent="0.25">
      <c r="C29" s="105" t="s">
        <v>193</v>
      </c>
      <c r="D29">
        <v>0</v>
      </c>
      <c r="E29" s="5">
        <f>D29/D$45</f>
        <v>0</v>
      </c>
      <c r="F29">
        <v>0.1</v>
      </c>
      <c r="G29" s="5">
        <f>F29/F$45</f>
        <v>1.8181818181818182E-3</v>
      </c>
      <c r="H29">
        <v>0</v>
      </c>
      <c r="I29" s="5">
        <f>H29/H$45</f>
        <v>0</v>
      </c>
      <c r="K29" t="s">
        <v>248</v>
      </c>
      <c r="L29" s="13">
        <f>(D29)*($R29/100)</f>
        <v>0</v>
      </c>
      <c r="M29" s="3">
        <f t="shared" si="0"/>
        <v>0</v>
      </c>
      <c r="N29" s="13">
        <f>(F29)*($R29/100)</f>
        <v>9.7000000000000003E-2</v>
      </c>
      <c r="O29" s="3">
        <f t="shared" si="0"/>
        <v>0.28622012393036295</v>
      </c>
      <c r="P29" s="13">
        <f>(H29)*($R29/100)</f>
        <v>0</v>
      </c>
      <c r="Q29" s="3">
        <f t="shared" ref="Q29" si="21">P29/P$32*100</f>
        <v>0</v>
      </c>
      <c r="R29">
        <v>97</v>
      </c>
      <c r="V29" t="s">
        <v>242</v>
      </c>
    </row>
    <row r="30" spans="2:26" x14ac:dyDescent="0.25">
      <c r="C30" s="105" t="s">
        <v>195</v>
      </c>
      <c r="D30">
        <v>0</v>
      </c>
      <c r="E30" s="5">
        <f>D30/D$45</f>
        <v>0</v>
      </c>
      <c r="F30">
        <v>0.5</v>
      </c>
      <c r="G30" s="5">
        <f>F30/F$45</f>
        <v>9.0909090909090905E-3</v>
      </c>
      <c r="H30">
        <v>0</v>
      </c>
      <c r="I30" s="5">
        <f>H30/H$45</f>
        <v>0</v>
      </c>
      <c r="K30" t="s">
        <v>224</v>
      </c>
      <c r="L30" s="13">
        <f>(D30)*($R30/100)</f>
        <v>0</v>
      </c>
      <c r="M30" s="3">
        <f t="shared" si="0"/>
        <v>0</v>
      </c>
      <c r="N30" s="13">
        <f>(F30)*($R30/100)</f>
        <v>0.46</v>
      </c>
      <c r="O30" s="3">
        <f t="shared" si="0"/>
        <v>1.3573325464738861</v>
      </c>
      <c r="P30" s="13">
        <f>(H30)*($R30/100)</f>
        <v>0</v>
      </c>
      <c r="Q30" s="3">
        <f t="shared" ref="Q30" si="22">P30/P$32*100</f>
        <v>0</v>
      </c>
      <c r="R30">
        <v>92</v>
      </c>
      <c r="V30" t="s">
        <v>243</v>
      </c>
      <c r="Z30" t="s">
        <v>244</v>
      </c>
    </row>
    <row r="31" spans="2:26" x14ac:dyDescent="0.25">
      <c r="C31" s="105" t="s">
        <v>196</v>
      </c>
      <c r="D31">
        <v>2.2000000000000002</v>
      </c>
      <c r="E31" s="5">
        <f>D31/D$45</f>
        <v>1.3506047025600098E-3</v>
      </c>
      <c r="F31">
        <v>1.2</v>
      </c>
      <c r="G31" s="5">
        <f>F31/F$45</f>
        <v>2.1818181818181816E-2</v>
      </c>
      <c r="H31">
        <v>0</v>
      </c>
      <c r="I31" s="5">
        <f>H31/H$45</f>
        <v>0</v>
      </c>
      <c r="K31" t="s">
        <v>225</v>
      </c>
      <c r="L31" s="13">
        <f>(D31)*($R31/100)</f>
        <v>2.0240000000000005</v>
      </c>
      <c r="M31" s="3">
        <f t="shared" si="0"/>
        <v>0.18058835758279279</v>
      </c>
      <c r="N31" s="13">
        <f>(F31)*($R31/100)</f>
        <v>1.1040000000000001</v>
      </c>
      <c r="O31" s="3">
        <f t="shared" si="0"/>
        <v>3.2575981115373271</v>
      </c>
      <c r="P31" s="13">
        <f>(H31)*($R31/100)</f>
        <v>0</v>
      </c>
      <c r="Q31" s="3">
        <f t="shared" ref="Q31" si="23">P31/P$32*100</f>
        <v>0</v>
      </c>
      <c r="R31">
        <v>92</v>
      </c>
    </row>
    <row r="32" spans="2:26" x14ac:dyDescent="0.25">
      <c r="C32" t="s">
        <v>197</v>
      </c>
      <c r="D32">
        <v>2.2999999999999998</v>
      </c>
      <c r="E32" s="5">
        <f>D32/D$45</f>
        <v>1.4119958254036463E-3</v>
      </c>
      <c r="F32">
        <v>0.5</v>
      </c>
      <c r="G32" s="5">
        <f>F32/F$45</f>
        <v>9.0909090909090905E-3</v>
      </c>
      <c r="H32">
        <v>0</v>
      </c>
      <c r="I32" s="5">
        <f>H32/H$45</f>
        <v>0</v>
      </c>
      <c r="K32" s="4" t="s">
        <v>247</v>
      </c>
      <c r="L32" s="13">
        <f>SUM(L8:L31)</f>
        <v>1120.7809999999997</v>
      </c>
      <c r="M32" s="13">
        <f>L32/L$32*100</f>
        <v>100</v>
      </c>
      <c r="N32" s="13">
        <f>SUM(N8:N31)</f>
        <v>33.89</v>
      </c>
      <c r="O32" s="13">
        <f>N32/N$32*100</f>
        <v>100</v>
      </c>
      <c r="P32" s="13">
        <f>SUM(P8:P31)</f>
        <v>216.77450000000005</v>
      </c>
      <c r="Q32" s="13">
        <f>P32/P$32*100</f>
        <v>100</v>
      </c>
    </row>
    <row r="33" spans="2:17" x14ac:dyDescent="0.25">
      <c r="C33" t="s">
        <v>172</v>
      </c>
      <c r="D33">
        <v>62.6</v>
      </c>
      <c r="E33" s="5">
        <f>D33/D$45</f>
        <v>3.8430842900116641E-2</v>
      </c>
      <c r="F33">
        <v>1.8</v>
      </c>
      <c r="G33" s="5">
        <f>F33/F$45</f>
        <v>3.272727272727273E-2</v>
      </c>
      <c r="H33">
        <v>11</v>
      </c>
      <c r="I33" s="5">
        <f>H33/H$45</f>
        <v>2.1480179652411637E-2</v>
      </c>
    </row>
    <row r="34" spans="2:17" x14ac:dyDescent="0.25">
      <c r="C34" t="s">
        <v>186</v>
      </c>
      <c r="D34">
        <v>5.8</v>
      </c>
      <c r="E34" s="5">
        <f>D34/D$45</f>
        <v>3.5606851249309346E-3</v>
      </c>
      <c r="F34">
        <v>0.2</v>
      </c>
      <c r="G34" s="5">
        <f>F34/F$45</f>
        <v>3.6363636363636364E-3</v>
      </c>
      <c r="H34">
        <v>1.4</v>
      </c>
      <c r="I34" s="5">
        <f>H34/H$45</f>
        <v>2.7338410466705718E-3</v>
      </c>
    </row>
    <row r="35" spans="2:17" x14ac:dyDescent="0.25">
      <c r="C35" t="s">
        <v>201</v>
      </c>
      <c r="D35">
        <v>43.3</v>
      </c>
      <c r="E35" s="5">
        <f>D35/D$45</f>
        <v>2.6582356191294735E-2</v>
      </c>
      <c r="F35">
        <v>4.5</v>
      </c>
      <c r="G35" s="5">
        <f>F35/F$45</f>
        <v>8.1818181818181818E-2</v>
      </c>
      <c r="H35">
        <v>0</v>
      </c>
      <c r="I35" s="5">
        <f>H35/H$45</f>
        <v>0</v>
      </c>
    </row>
    <row r="36" spans="2:17" x14ac:dyDescent="0.25">
      <c r="B36" t="s">
        <v>217</v>
      </c>
      <c r="C36" t="s">
        <v>185</v>
      </c>
      <c r="D36">
        <v>0</v>
      </c>
      <c r="E36" s="5">
        <f>D36/D$45</f>
        <v>0</v>
      </c>
      <c r="F36">
        <v>0.2</v>
      </c>
      <c r="G36" s="5">
        <f>F36/F$45</f>
        <v>3.6363636363636364E-3</v>
      </c>
      <c r="H36">
        <v>0</v>
      </c>
      <c r="I36" s="5">
        <f>H36/H$45</f>
        <v>0</v>
      </c>
    </row>
    <row r="37" spans="2:17" x14ac:dyDescent="0.25">
      <c r="B37" s="87" t="s">
        <v>230</v>
      </c>
      <c r="C37" s="105" t="s">
        <v>202</v>
      </c>
      <c r="D37">
        <v>0</v>
      </c>
      <c r="E37" s="5">
        <f>D37/D$45</f>
        <v>0</v>
      </c>
      <c r="F37">
        <v>0</v>
      </c>
      <c r="G37" s="5">
        <f>F37/F$45</f>
        <v>0</v>
      </c>
      <c r="H37">
        <v>120.2</v>
      </c>
      <c r="I37" s="5">
        <f>H37/H$45</f>
        <v>0.23471978129271626</v>
      </c>
      <c r="K37" s="87" t="s">
        <v>227</v>
      </c>
      <c r="L37" s="87"/>
      <c r="M37" s="87"/>
      <c r="N37" s="87"/>
      <c r="O37" s="87"/>
      <c r="P37" s="87"/>
      <c r="Q37" s="87"/>
    </row>
    <row r="38" spans="2:17" x14ac:dyDescent="0.25">
      <c r="C38" s="105" t="s">
        <v>203</v>
      </c>
      <c r="D38">
        <v>0</v>
      </c>
      <c r="E38" s="5">
        <f>D38/D$45</f>
        <v>0</v>
      </c>
      <c r="F38">
        <v>0</v>
      </c>
      <c r="G38" s="5">
        <f>F38/F$45</f>
        <v>0</v>
      </c>
      <c r="H38">
        <v>124.5</v>
      </c>
      <c r="I38" s="5">
        <f>H38/H$45</f>
        <v>0.24311657879320445</v>
      </c>
      <c r="K38" s="87" t="s">
        <v>228</v>
      </c>
      <c r="L38" s="87"/>
      <c r="M38" s="87"/>
      <c r="N38" s="87"/>
      <c r="O38" s="87"/>
      <c r="P38" s="87"/>
      <c r="Q38" s="87"/>
    </row>
    <row r="39" spans="2:17" x14ac:dyDescent="0.25">
      <c r="C39" s="105" t="s">
        <v>204</v>
      </c>
      <c r="D39">
        <v>0</v>
      </c>
      <c r="E39" s="5">
        <f>D39/D$45</f>
        <v>0</v>
      </c>
      <c r="F39">
        <v>0</v>
      </c>
      <c r="G39" s="5">
        <f>F39/F$45</f>
        <v>0</v>
      </c>
      <c r="H39">
        <v>17.899999999999999</v>
      </c>
      <c r="I39" s="5">
        <f>H39/H$45</f>
        <v>3.4954110525288025E-2</v>
      </c>
      <c r="K39" s="87" t="s">
        <v>214</v>
      </c>
      <c r="L39" s="87"/>
      <c r="M39" s="87"/>
      <c r="N39" s="87"/>
      <c r="O39" s="87"/>
      <c r="P39" s="87"/>
      <c r="Q39" s="87"/>
    </row>
    <row r="40" spans="2:17" x14ac:dyDescent="0.25">
      <c r="C40" t="s">
        <v>205</v>
      </c>
      <c r="D40">
        <v>0</v>
      </c>
      <c r="E40" s="5">
        <f>D40/D$45</f>
        <v>0</v>
      </c>
      <c r="F40">
        <v>0</v>
      </c>
      <c r="G40" s="5">
        <f>F40/F$45</f>
        <v>0</v>
      </c>
      <c r="H40">
        <v>15.7</v>
      </c>
      <c r="I40" s="5">
        <f>H40/H$45</f>
        <v>3.0658074594805698E-2</v>
      </c>
      <c r="K40" s="87" t="s">
        <v>232</v>
      </c>
      <c r="L40" s="87"/>
      <c r="M40" s="87"/>
      <c r="N40" s="87"/>
      <c r="O40" s="87"/>
      <c r="P40" s="87"/>
      <c r="Q40" s="87"/>
    </row>
    <row r="41" spans="2:17" x14ac:dyDescent="0.25">
      <c r="C41" t="s">
        <v>206</v>
      </c>
      <c r="D41">
        <v>0</v>
      </c>
      <c r="E41" s="5">
        <f>D41/D$45</f>
        <v>0</v>
      </c>
      <c r="F41">
        <v>0</v>
      </c>
      <c r="G41" s="5">
        <f>F41/F$45</f>
        <v>0</v>
      </c>
      <c r="H41">
        <v>8.8000000000000007</v>
      </c>
      <c r="I41" s="5">
        <f>H41/H$45</f>
        <v>1.718414372192931E-2</v>
      </c>
      <c r="K41" s="87" t="s">
        <v>231</v>
      </c>
      <c r="L41" s="87"/>
      <c r="M41" s="87"/>
      <c r="N41" s="87"/>
      <c r="O41" s="87"/>
      <c r="P41" s="87"/>
      <c r="Q41" s="87"/>
    </row>
    <row r="42" spans="2:17" x14ac:dyDescent="0.25">
      <c r="C42" t="s">
        <v>207</v>
      </c>
      <c r="D42">
        <v>0</v>
      </c>
      <c r="E42" s="5">
        <f>D42/D$45</f>
        <v>0</v>
      </c>
      <c r="F42">
        <v>0</v>
      </c>
      <c r="G42" s="5">
        <f>F42/F$45</f>
        <v>0</v>
      </c>
      <c r="H42">
        <v>4.7</v>
      </c>
      <c r="I42" s="5">
        <f>H42/H$45</f>
        <v>9.1778949423940628E-3</v>
      </c>
    </row>
    <row r="43" spans="2:17" x14ac:dyDescent="0.25">
      <c r="C43" t="s">
        <v>198</v>
      </c>
      <c r="D43">
        <v>2746.2</v>
      </c>
      <c r="F43">
        <v>79.900000000000006</v>
      </c>
      <c r="H43">
        <v>330.2</v>
      </c>
    </row>
    <row r="44" spans="2:17" x14ac:dyDescent="0.25">
      <c r="C44" s="4" t="s">
        <v>208</v>
      </c>
      <c r="D44" s="4">
        <v>4375.1000000000004</v>
      </c>
      <c r="E44" s="4"/>
      <c r="F44" s="4">
        <v>134.9</v>
      </c>
      <c r="G44" s="4"/>
      <c r="H44" s="4">
        <v>842.3</v>
      </c>
      <c r="I44" s="4"/>
    </row>
    <row r="45" spans="2:17" x14ac:dyDescent="0.25">
      <c r="C45" s="4" t="s">
        <v>229</v>
      </c>
      <c r="D45" s="4">
        <f>SUM(D8:D42)</f>
        <v>1628.9</v>
      </c>
      <c r="E45" s="4"/>
      <c r="F45" s="4">
        <f>SUM(F8:F42)</f>
        <v>55</v>
      </c>
      <c r="G45" s="4"/>
      <c r="H45" s="4">
        <f>SUM(H8:H42)</f>
        <v>512.1</v>
      </c>
      <c r="I45" s="4"/>
    </row>
  </sheetData>
  <hyperlinks>
    <hyperlink ref="V7" r:id="rId1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H24" sqref="H24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96" t="s">
        <v>97</v>
      </c>
      <c r="D23" s="98" t="s">
        <v>86</v>
      </c>
      <c r="E23" s="91" t="s">
        <v>87</v>
      </c>
      <c r="F23" s="93" t="s">
        <v>92</v>
      </c>
      <c r="G23" s="95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97"/>
      <c r="D24" s="99"/>
      <c r="E24" s="92"/>
      <c r="F24" s="94"/>
      <c r="G24" s="95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01" t="s">
        <v>9</v>
      </c>
      <c r="C25" s="101"/>
      <c r="D25" s="101"/>
      <c r="E25" s="101"/>
      <c r="F25" s="101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90" t="s">
        <v>93</v>
      </c>
      <c r="C26" s="90"/>
      <c r="D26" s="90"/>
      <c r="E26" s="90"/>
      <c r="F26" s="90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00" t="s">
        <v>8</v>
      </c>
      <c r="C34" s="100"/>
      <c r="D34" s="100"/>
      <c r="E34" s="100"/>
      <c r="F34" s="100"/>
      <c r="G34" s="42"/>
      <c r="H34" s="18"/>
      <c r="R34" s="13"/>
    </row>
    <row r="35" spans="2:18" ht="15" customHeight="1" x14ac:dyDescent="0.25">
      <c r="B35" s="90" t="s">
        <v>94</v>
      </c>
      <c r="C35" s="90"/>
      <c r="D35" s="90"/>
      <c r="E35" s="90"/>
      <c r="F35" s="90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</vt:lpstr>
      <vt:lpstr>feed rations</vt:lpstr>
      <vt:lpstr>Kontroll</vt:lpstr>
      <vt:lpstr>Slaktstat</vt:lpstr>
      <vt:lpstr>Sheet2</vt:lpstr>
      <vt:lpstr>Energi rek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2023-05-04T10:49:59Z</dcterms:modified>
</cp:coreProperties>
</file>