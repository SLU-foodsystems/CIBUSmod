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  <sheet name="rel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1" i="1" l="1"/>
  <c r="F63" i="1"/>
  <c r="F62" i="1"/>
  <c r="F61" i="1"/>
  <c r="H52" i="1"/>
  <c r="F54" i="1"/>
  <c r="F53" i="1"/>
  <c r="F52" i="1"/>
  <c r="F51" i="1"/>
  <c r="F50" i="1"/>
  <c r="H49" i="1"/>
  <c r="F49" i="1"/>
  <c r="H26" i="1"/>
  <c r="F28" i="1"/>
  <c r="F27" i="1"/>
  <c r="F26" i="1"/>
  <c r="H66" i="1"/>
  <c r="H34" i="1"/>
  <c r="H74" i="1" s="1"/>
  <c r="F36" i="1"/>
  <c r="F79" i="1" s="1"/>
  <c r="F35" i="1"/>
  <c r="F75" i="1" s="1"/>
  <c r="F34" i="1"/>
  <c r="F66" i="1" s="1"/>
  <c r="H72" i="1"/>
  <c r="H64" i="1"/>
  <c r="H14" i="1"/>
  <c r="F15" i="1"/>
  <c r="F16" i="1"/>
  <c r="F17" i="1"/>
  <c r="F14" i="1"/>
  <c r="F70" i="1" l="1"/>
  <c r="F71" i="1"/>
  <c r="H77" i="1"/>
  <c r="F68" i="1"/>
  <c r="H69" i="1"/>
  <c r="F78" i="1"/>
  <c r="F76" i="1"/>
  <c r="F74" i="1"/>
  <c r="F67" i="1"/>
  <c r="F77" i="1"/>
  <c r="F69" i="1"/>
  <c r="I121" i="1"/>
  <c r="H121" i="1"/>
  <c r="F122" i="1"/>
  <c r="F121" i="1"/>
  <c r="F174" i="1"/>
  <c r="F173" i="1"/>
  <c r="F96" i="1"/>
  <c r="F97" i="1"/>
  <c r="F95" i="1"/>
  <c r="F159" i="1"/>
  <c r="F158" i="1"/>
  <c r="F65" i="1"/>
  <c r="F64" i="1"/>
  <c r="F73" i="1"/>
  <c r="F72" i="1"/>
</calcChain>
</file>

<file path=xl/sharedStrings.xml><?xml version="1.0" encoding="utf-8"?>
<sst xmlns="http://schemas.openxmlformats.org/spreadsheetml/2006/main" count="650" uniqueCount="113">
  <si>
    <t>f_crop</t>
  </si>
  <si>
    <t>parameter</t>
  </si>
  <si>
    <t>value</t>
  </si>
  <si>
    <t>unit</t>
  </si>
  <si>
    <t>description</t>
  </si>
  <si>
    <t>source</t>
  </si>
  <si>
    <t>region</t>
  </si>
  <si>
    <t>Wheat, winter</t>
  </si>
  <si>
    <t>f_use</t>
  </si>
  <si>
    <t>food</t>
  </si>
  <si>
    <t>N_rec_a</t>
  </si>
  <si>
    <t>N_rec_b</t>
  </si>
  <si>
    <t>N_rec_m</t>
  </si>
  <si>
    <t>N_ley_a</t>
  </si>
  <si>
    <t>N_ley_m</t>
  </si>
  <si>
    <t>Fallback</t>
  </si>
  <si>
    <t>Wheat, spring</t>
  </si>
  <si>
    <t>Barley, spring</t>
  </si>
  <si>
    <t>Korn, foder, norra götaland och svealand</t>
  </si>
  <si>
    <t>Korn, malt norra götaland och svealand</t>
  </si>
  <si>
    <t>Havre, norra götaland och svealand</t>
  </si>
  <si>
    <t>Oats</t>
  </si>
  <si>
    <t>Rågvete/höstkorn, norra  götaland och svealand</t>
  </si>
  <si>
    <t>Barley, winter</t>
  </si>
  <si>
    <t>Triticale, spring</t>
  </si>
  <si>
    <t>Triticale, winter</t>
  </si>
  <si>
    <t>Råg, norra götaland och Svealand</t>
  </si>
  <si>
    <t>Rye</t>
  </si>
  <si>
    <t>Mixed cereals</t>
  </si>
  <si>
    <t>Maize (corn)</t>
  </si>
  <si>
    <t>Peas, dry</t>
  </si>
  <si>
    <t>Peas, green</t>
  </si>
  <si>
    <t>Broad beans and horse beans, dry</t>
  </si>
  <si>
    <t>Beans, dry</t>
  </si>
  <si>
    <t>Rapeseed, winter</t>
  </si>
  <si>
    <t>Rapeseed, spring</t>
  </si>
  <si>
    <t>Potatoes, table</t>
  </si>
  <si>
    <t>Potatoes, starch</t>
  </si>
  <si>
    <t>Sugar beet</t>
  </si>
  <si>
    <t>Ley for seed</t>
  </si>
  <si>
    <t>Ley for fodder</t>
  </si>
  <si>
    <t>Ley for grazing</t>
  </si>
  <si>
    <t>Maize for forage and silage</t>
  </si>
  <si>
    <t>Cereals for fodder</t>
  </si>
  <si>
    <t>Other crops for fodder</t>
  </si>
  <si>
    <t>Semi-natural pastures</t>
  </si>
  <si>
    <t>Semi-natural meadows</t>
  </si>
  <si>
    <t>Onions</t>
  </si>
  <si>
    <t>Carrots</t>
  </si>
  <si>
    <t>Other root vegetables</t>
  </si>
  <si>
    <t>Lettuce and spinach</t>
  </si>
  <si>
    <t>Cabbages, cauliflowers and broccoli</t>
  </si>
  <si>
    <t>Cucumbers</t>
  </si>
  <si>
    <t>Pumpkins and squash</t>
  </si>
  <si>
    <t>Herbs</t>
  </si>
  <si>
    <t>Other vegetables</t>
  </si>
  <si>
    <t>Strawberries</t>
  </si>
  <si>
    <t>Currants</t>
  </si>
  <si>
    <t>Other berries</t>
  </si>
  <si>
    <t>Apples</t>
  </si>
  <si>
    <t>Pears</t>
  </si>
  <si>
    <t>Other fruit</t>
  </si>
  <si>
    <t>Tomatoes, greenhouse</t>
  </si>
  <si>
    <t>Cucumbers, greenhouse</t>
  </si>
  <si>
    <t>Lettuce, greenhouse</t>
  </si>
  <si>
    <t>Other vegetables, greenhouse</t>
  </si>
  <si>
    <t>Herbs, greenhouse</t>
  </si>
  <si>
    <t>Strawberries, greenhouse</t>
  </si>
  <si>
    <t>Other berries, greenhouse</t>
  </si>
  <si>
    <t>Fallow</t>
  </si>
  <si>
    <t>Energy grass</t>
  </si>
  <si>
    <t>Short rotation coppice</t>
  </si>
  <si>
    <t>Green manure</t>
  </si>
  <si>
    <t>Ley not harvested</t>
  </si>
  <si>
    <t>No N fertilisation assumed</t>
  </si>
  <si>
    <t>No N fertilisation assumed. Very low in statistics from 2016 (below 3 kgN/ha) and not fertilized with N in Tidåker et al 2021</t>
  </si>
  <si>
    <t>medel riket statistik växttillgängligt</t>
  </si>
  <si>
    <t>Tidåker et al 2021</t>
  </si>
  <si>
    <t>No adjustment</t>
  </si>
  <si>
    <t>Assume 94% of recommended N, based on average in Sweden. Very little statistics available</t>
  </si>
  <si>
    <t>inte minus i Hannas dokument??</t>
  </si>
  <si>
    <t>recommended nitrogen rate is 110 kg N/ha, which is followed more or less according to statistics (applied N rates (plant available N) were 98-105% of recommended rate in 2016)</t>
  </si>
  <si>
    <t>grass clover ley (20% clover) and three harvest, there are many different recommendations depending on amounts of harvest and % of clover</t>
  </si>
  <si>
    <t>Yara: (https://www.yara.se/vaxtnaring/jordgubbar/)</t>
  </si>
  <si>
    <t>Raspberries. Nilsson 2011</t>
  </si>
  <si>
    <t>Yara (https://www.yara.se/vaxtnaring/applen-paron/tabeller/) med underväst av gräs, ökar N behovet med 30-50 kg/ha</t>
  </si>
  <si>
    <t xml:space="preserve">yield in fresh weight (DM 10.7%). </t>
  </si>
  <si>
    <t>Yara (2018)</t>
  </si>
  <si>
    <t xml:space="preserve">isberg, friland. yield in fresh weight, 4% DM </t>
  </si>
  <si>
    <t xml:space="preserve">yield in fresh weight, 9% DM </t>
  </si>
  <si>
    <t xml:space="preserve">yield in fresh weight 5% DM </t>
  </si>
  <si>
    <t>same as table potatoes?</t>
  </si>
  <si>
    <t>Avser "Majs" i dokumentet grönfoder eller tröskad?</t>
  </si>
  <si>
    <t>f_prod_system</t>
  </si>
  <si>
    <r>
      <t xml:space="preserve">N recommendation [kg plant available N / ha] as a function of yield [tonnes] </t>
    </r>
    <r>
      <rPr>
        <sz val="11"/>
        <color theme="1"/>
        <rFont val="Calibri"/>
        <family val="2"/>
        <scheme val="minor"/>
      </rPr>
      <t>( N_rec = N_rec_a*Y^2 + N_rec_b*Y + N_rec_m )</t>
    </r>
  </si>
  <si>
    <r>
      <t xml:space="preserve">N application adjustment factor as a function of ley in region </t>
    </r>
    <r>
      <rPr>
        <sz val="11"/>
        <color theme="1"/>
        <rFont val="Calibri"/>
        <family val="2"/>
        <scheme val="minor"/>
      </rPr>
      <t>( N_adj = N_ley_a*PL + N_ley_m )</t>
    </r>
  </si>
  <si>
    <t>4 Svealands slättbygder</t>
  </si>
  <si>
    <t>5 Götalands skogsbygder</t>
  </si>
  <si>
    <t>3 Götalands norra slättbygder</t>
  </si>
  <si>
    <t>6 Mellersta Sveriges skogsbygder</t>
  </si>
  <si>
    <t>2 Götalands mellanbygder</t>
  </si>
  <si>
    <t>1 Götalands södra slättbygder</t>
  </si>
  <si>
    <t>7 Nedre Norrland</t>
  </si>
  <si>
    <t>8 Övre Norrland</t>
  </si>
  <si>
    <t>po8</t>
  </si>
  <si>
    <t>f_po8</t>
  </si>
  <si>
    <t>Höstvete foder/bröd, södra götaland</t>
  </si>
  <si>
    <t>Höstevete foder/bröd norra götaland och svealand</t>
  </si>
  <si>
    <t>Rågvete/höstkorn, södra götaland</t>
  </si>
  <si>
    <t>Råg, södra götaland</t>
  </si>
  <si>
    <t>Korn foder, södra götaland</t>
  </si>
  <si>
    <t>Korn, malt södra götaland</t>
  </si>
  <si>
    <t>Havre södra götaland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</si>
</sst>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E+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164" fontId="5" fillId="0" borderId="0" xfId="0" applyNumberFormat="1" applyFont="1"/>
    <xf numFmtId="0" fontId="7" fillId="0" borderId="0" xfId="0" applyFont="1"/>
    <xf numFmtId="0" fontId="5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1"/>
  <sheetViews>
    <sheetView tabSelected="1" zoomScale="80" zoomScaleNormal="80" workbookViewId="0">
      <pane ySplit="1" topLeftCell="A73" activePane="bottomLeft" state="frozen"/>
      <selection pane="bottomLeft" activeCell="E100" sqref="E100"/>
    </sheetView>
  </sheetViews>
  <sheetFormatPr defaultRowHeight="15" x14ac:dyDescent="0.25"/>
  <cols>
    <col min="1" max="1" width="18.42578125" customWidth="1"/>
    <col min="2" max="2" width="7.28515625" customWidth="1"/>
    <col min="3" max="3" width="15" customWidth="1"/>
    <col min="4" max="4" width="25.5703125" customWidth="1"/>
    <col min="5" max="5" width="15" customWidth="1"/>
    <col min="6" max="6" width="11" customWidth="1"/>
    <col min="7" max="7" width="8.140625" customWidth="1"/>
    <col min="8" max="8" width="35.42578125" customWidth="1"/>
    <col min="9" max="9" width="27.42578125" customWidth="1"/>
  </cols>
  <sheetData>
    <row r="1" spans="1:9" x14ac:dyDescent="0.25">
      <c r="A1" s="1" t="s">
        <v>0</v>
      </c>
      <c r="B1" s="1" t="s">
        <v>8</v>
      </c>
      <c r="C1" s="1" t="s">
        <v>93</v>
      </c>
      <c r="D1" s="1" t="s">
        <v>105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 t="s">
        <v>94</v>
      </c>
      <c r="B2" s="2"/>
      <c r="C2" s="2"/>
      <c r="D2" s="2"/>
      <c r="E2" s="2"/>
      <c r="F2" s="2"/>
      <c r="G2" s="2"/>
      <c r="H2" s="3"/>
      <c r="I2" s="3"/>
    </row>
    <row r="3" spans="1:9" x14ac:dyDescent="0.25">
      <c r="E3" s="6" t="s">
        <v>10</v>
      </c>
      <c r="F3" s="6">
        <v>0</v>
      </c>
      <c r="G3" s="6"/>
      <c r="H3" s="6" t="s">
        <v>15</v>
      </c>
    </row>
    <row r="4" spans="1:9" x14ac:dyDescent="0.25">
      <c r="E4" s="6" t="s">
        <v>11</v>
      </c>
      <c r="F4" s="6">
        <v>0</v>
      </c>
      <c r="G4" s="6"/>
      <c r="H4" s="6" t="s">
        <v>15</v>
      </c>
    </row>
    <row r="5" spans="1:9" x14ac:dyDescent="0.25">
      <c r="E5" s="6" t="s">
        <v>12</v>
      </c>
      <c r="F5" s="6">
        <v>0</v>
      </c>
      <c r="G5" s="6"/>
      <c r="H5" s="6" t="s">
        <v>15</v>
      </c>
    </row>
    <row r="6" spans="1:9" x14ac:dyDescent="0.25">
      <c r="A6" t="s">
        <v>7</v>
      </c>
      <c r="E6" t="s">
        <v>10</v>
      </c>
      <c r="F6">
        <v>-0.80359999999999998</v>
      </c>
      <c r="H6" t="s">
        <v>107</v>
      </c>
    </row>
    <row r="7" spans="1:9" x14ac:dyDescent="0.25">
      <c r="A7" t="s">
        <v>7</v>
      </c>
      <c r="E7" t="s">
        <v>11</v>
      </c>
      <c r="F7">
        <v>24.088999999999999</v>
      </c>
    </row>
    <row r="8" spans="1:9" x14ac:dyDescent="0.25">
      <c r="A8" t="s">
        <v>7</v>
      </c>
      <c r="E8" t="s">
        <v>12</v>
      </c>
      <c r="F8">
        <v>50.213999999999999</v>
      </c>
    </row>
    <row r="9" spans="1:9" x14ac:dyDescent="0.25">
      <c r="A9" t="s">
        <v>7</v>
      </c>
      <c r="B9" t="s">
        <v>9</v>
      </c>
      <c r="E9" t="s">
        <v>12</v>
      </c>
      <c r="F9">
        <v>55.213999999999999</v>
      </c>
    </row>
    <row r="10" spans="1:9" x14ac:dyDescent="0.25">
      <c r="A10" t="s">
        <v>7</v>
      </c>
      <c r="D10" t="s">
        <v>101</v>
      </c>
      <c r="E10" t="s">
        <v>10</v>
      </c>
      <c r="F10">
        <v>-0.71430000000000005</v>
      </c>
      <c r="H10" t="s">
        <v>106</v>
      </c>
    </row>
    <row r="11" spans="1:9" x14ac:dyDescent="0.25">
      <c r="A11" t="s">
        <v>7</v>
      </c>
      <c r="D11" t="s">
        <v>101</v>
      </c>
      <c r="E11" t="s">
        <v>11</v>
      </c>
      <c r="F11">
        <v>23.143000000000001</v>
      </c>
    </row>
    <row r="12" spans="1:9" x14ac:dyDescent="0.25">
      <c r="A12" t="s">
        <v>7</v>
      </c>
      <c r="D12" t="s">
        <v>101</v>
      </c>
      <c r="E12" t="s">
        <v>12</v>
      </c>
      <c r="F12">
        <v>42.570999999999998</v>
      </c>
    </row>
    <row r="13" spans="1:9" x14ac:dyDescent="0.25">
      <c r="A13" t="s">
        <v>7</v>
      </c>
      <c r="B13" t="s">
        <v>9</v>
      </c>
      <c r="D13" t="s">
        <v>101</v>
      </c>
      <c r="E13" t="s">
        <v>12</v>
      </c>
      <c r="F13">
        <v>47.570999999999998</v>
      </c>
    </row>
    <row r="14" spans="1:9" x14ac:dyDescent="0.25">
      <c r="A14" t="s">
        <v>7</v>
      </c>
      <c r="D14" t="s">
        <v>100</v>
      </c>
      <c r="E14" t="s">
        <v>10</v>
      </c>
      <c r="F14" s="9">
        <f>F10</f>
        <v>-0.71430000000000005</v>
      </c>
      <c r="H14" s="9" t="str">
        <f>H10</f>
        <v>Höstvete foder/bröd, södra götaland</v>
      </c>
    </row>
    <row r="15" spans="1:9" x14ac:dyDescent="0.25">
      <c r="A15" t="s">
        <v>7</v>
      </c>
      <c r="D15" t="s">
        <v>100</v>
      </c>
      <c r="E15" t="s">
        <v>11</v>
      </c>
      <c r="F15" s="9">
        <f t="shared" ref="F15:F17" si="0">F11</f>
        <v>23.143000000000001</v>
      </c>
    </row>
    <row r="16" spans="1:9" x14ac:dyDescent="0.25">
      <c r="A16" t="s">
        <v>7</v>
      </c>
      <c r="D16" t="s">
        <v>100</v>
      </c>
      <c r="E16" t="s">
        <v>12</v>
      </c>
      <c r="F16" s="9">
        <f t="shared" si="0"/>
        <v>42.570999999999998</v>
      </c>
    </row>
    <row r="17" spans="1:8" x14ac:dyDescent="0.25">
      <c r="A17" t="s">
        <v>7</v>
      </c>
      <c r="B17" t="s">
        <v>9</v>
      </c>
      <c r="D17" t="s">
        <v>100</v>
      </c>
      <c r="E17" t="s">
        <v>12</v>
      </c>
      <c r="F17" s="9">
        <f t="shared" si="0"/>
        <v>47.570999999999998</v>
      </c>
    </row>
    <row r="18" spans="1:8" x14ac:dyDescent="0.25">
      <c r="A18" t="s">
        <v>16</v>
      </c>
      <c r="E18" t="s">
        <v>11</v>
      </c>
      <c r="F18">
        <v>20</v>
      </c>
    </row>
    <row r="19" spans="1:8" x14ac:dyDescent="0.25">
      <c r="A19" t="s">
        <v>16</v>
      </c>
      <c r="E19" t="s">
        <v>12</v>
      </c>
      <c r="F19">
        <v>70</v>
      </c>
    </row>
    <row r="20" spans="1:8" x14ac:dyDescent="0.25">
      <c r="A20" t="s">
        <v>27</v>
      </c>
      <c r="E20" t="s">
        <v>10</v>
      </c>
      <c r="F20">
        <v>-1.7857000000000001</v>
      </c>
      <c r="H20" t="s">
        <v>26</v>
      </c>
    </row>
    <row r="21" spans="1:8" x14ac:dyDescent="0.25">
      <c r="A21" t="s">
        <v>27</v>
      </c>
      <c r="E21" t="s">
        <v>11</v>
      </c>
      <c r="F21">
        <v>30.786000000000001</v>
      </c>
    </row>
    <row r="22" spans="1:8" x14ac:dyDescent="0.25">
      <c r="A22" t="s">
        <v>27</v>
      </c>
      <c r="E22" t="s">
        <v>12</v>
      </c>
      <c r="F22">
        <v>25</v>
      </c>
    </row>
    <row r="23" spans="1:8" x14ac:dyDescent="0.25">
      <c r="A23" t="s">
        <v>27</v>
      </c>
      <c r="D23" t="s">
        <v>101</v>
      </c>
      <c r="E23" t="s">
        <v>10</v>
      </c>
      <c r="F23">
        <v>-1.25</v>
      </c>
      <c r="H23" t="s">
        <v>109</v>
      </c>
    </row>
    <row r="24" spans="1:8" x14ac:dyDescent="0.25">
      <c r="A24" t="s">
        <v>27</v>
      </c>
      <c r="D24" t="s">
        <v>101</v>
      </c>
      <c r="E24" t="s">
        <v>11</v>
      </c>
      <c r="F24">
        <v>27.75</v>
      </c>
    </row>
    <row r="25" spans="1:8" x14ac:dyDescent="0.25">
      <c r="A25" t="s">
        <v>27</v>
      </c>
      <c r="D25" t="s">
        <v>101</v>
      </c>
      <c r="E25" t="s">
        <v>12</v>
      </c>
      <c r="F25">
        <v>18.25</v>
      </c>
    </row>
    <row r="26" spans="1:8" x14ac:dyDescent="0.25">
      <c r="A26" t="s">
        <v>27</v>
      </c>
      <c r="D26" t="s">
        <v>100</v>
      </c>
      <c r="E26" t="s">
        <v>10</v>
      </c>
      <c r="F26" s="9">
        <f>F23</f>
        <v>-1.25</v>
      </c>
      <c r="G26" s="9"/>
      <c r="H26" s="9" t="str">
        <f>H23</f>
        <v>Råg, södra götaland</v>
      </c>
    </row>
    <row r="27" spans="1:8" x14ac:dyDescent="0.25">
      <c r="A27" t="s">
        <v>27</v>
      </c>
      <c r="D27" t="s">
        <v>100</v>
      </c>
      <c r="E27" t="s">
        <v>11</v>
      </c>
      <c r="F27" s="9">
        <f>F24</f>
        <v>27.75</v>
      </c>
      <c r="G27" s="9"/>
      <c r="H27" s="9"/>
    </row>
    <row r="28" spans="1:8" x14ac:dyDescent="0.25">
      <c r="A28" t="s">
        <v>27</v>
      </c>
      <c r="D28" t="s">
        <v>100</v>
      </c>
      <c r="E28" t="s">
        <v>12</v>
      </c>
      <c r="F28" s="9">
        <f>F25</f>
        <v>18.25</v>
      </c>
      <c r="G28" s="9"/>
      <c r="H28" s="9"/>
    </row>
    <row r="29" spans="1:8" x14ac:dyDescent="0.25">
      <c r="A29" t="s">
        <v>23</v>
      </c>
      <c r="E29" t="s">
        <v>11</v>
      </c>
      <c r="F29">
        <v>16.856999999999999</v>
      </c>
      <c r="H29" t="s">
        <v>22</v>
      </c>
    </row>
    <row r="30" spans="1:8" x14ac:dyDescent="0.25">
      <c r="A30" t="s">
        <v>23</v>
      </c>
      <c r="E30" t="s">
        <v>12</v>
      </c>
      <c r="F30">
        <v>59.143000000000001</v>
      </c>
    </row>
    <row r="31" spans="1:8" x14ac:dyDescent="0.25">
      <c r="A31" t="s">
        <v>23</v>
      </c>
      <c r="D31" t="s">
        <v>101</v>
      </c>
      <c r="E31" t="s">
        <v>10</v>
      </c>
      <c r="F31">
        <v>-0.71430000000000005</v>
      </c>
      <c r="H31" t="s">
        <v>108</v>
      </c>
    </row>
    <row r="32" spans="1:8" x14ac:dyDescent="0.25">
      <c r="A32" t="s">
        <v>23</v>
      </c>
      <c r="D32" t="s">
        <v>101</v>
      </c>
      <c r="E32" t="s">
        <v>11</v>
      </c>
      <c r="F32">
        <v>23.143000000000001</v>
      </c>
    </row>
    <row r="33" spans="1:8" x14ac:dyDescent="0.25">
      <c r="A33" t="s">
        <v>23</v>
      </c>
      <c r="D33" t="s">
        <v>101</v>
      </c>
      <c r="E33" t="s">
        <v>12</v>
      </c>
      <c r="F33">
        <v>37.570999999999998</v>
      </c>
    </row>
    <row r="34" spans="1:8" x14ac:dyDescent="0.25">
      <c r="A34" t="s">
        <v>23</v>
      </c>
      <c r="D34" t="s">
        <v>100</v>
      </c>
      <c r="E34" t="s">
        <v>10</v>
      </c>
      <c r="F34" s="9">
        <f>F31</f>
        <v>-0.71430000000000005</v>
      </c>
      <c r="H34" s="9" t="str">
        <f>H31</f>
        <v>Rågvete/höstkorn, södra götaland</v>
      </c>
    </row>
    <row r="35" spans="1:8" x14ac:dyDescent="0.25">
      <c r="A35" t="s">
        <v>23</v>
      </c>
      <c r="D35" t="s">
        <v>100</v>
      </c>
      <c r="E35" t="s">
        <v>11</v>
      </c>
      <c r="F35" s="9">
        <f>F32</f>
        <v>23.143000000000001</v>
      </c>
    </row>
    <row r="36" spans="1:8" x14ac:dyDescent="0.25">
      <c r="A36" t="s">
        <v>23</v>
      </c>
      <c r="D36" t="s">
        <v>100</v>
      </c>
      <c r="E36" t="s">
        <v>12</v>
      </c>
      <c r="F36" s="9">
        <f>F33</f>
        <v>37.570999999999998</v>
      </c>
    </row>
    <row r="37" spans="1:8" x14ac:dyDescent="0.25">
      <c r="A37" t="s">
        <v>17</v>
      </c>
      <c r="E37" t="s">
        <v>10</v>
      </c>
      <c r="F37">
        <v>-1.0713999999999999</v>
      </c>
      <c r="H37" t="s">
        <v>18</v>
      </c>
    </row>
    <row r="38" spans="1:8" x14ac:dyDescent="0.25">
      <c r="A38" t="s">
        <v>17</v>
      </c>
      <c r="E38" t="s">
        <v>11</v>
      </c>
      <c r="F38">
        <v>23.928999999999998</v>
      </c>
    </row>
    <row r="39" spans="1:8" x14ac:dyDescent="0.25">
      <c r="A39" t="s">
        <v>17</v>
      </c>
      <c r="E39" t="s">
        <v>12</v>
      </c>
      <c r="F39">
        <v>32</v>
      </c>
    </row>
    <row r="40" spans="1:8" x14ac:dyDescent="0.25">
      <c r="A40" t="s">
        <v>17</v>
      </c>
      <c r="B40" t="s">
        <v>9</v>
      </c>
      <c r="E40" t="s">
        <v>10</v>
      </c>
      <c r="F40" s="8">
        <v>1E-13</v>
      </c>
      <c r="H40" t="s">
        <v>19</v>
      </c>
    </row>
    <row r="41" spans="1:8" x14ac:dyDescent="0.25">
      <c r="A41" t="s">
        <v>17</v>
      </c>
      <c r="B41" t="s">
        <v>9</v>
      </c>
      <c r="E41" t="s">
        <v>11</v>
      </c>
      <c r="F41">
        <v>15</v>
      </c>
    </row>
    <row r="42" spans="1:8" x14ac:dyDescent="0.25">
      <c r="A42" t="s">
        <v>17</v>
      </c>
      <c r="B42" t="s">
        <v>9</v>
      </c>
      <c r="E42" t="s">
        <v>12</v>
      </c>
      <c r="F42">
        <v>45</v>
      </c>
    </row>
    <row r="43" spans="1:8" x14ac:dyDescent="0.25">
      <c r="A43" t="s">
        <v>17</v>
      </c>
      <c r="D43" t="s">
        <v>101</v>
      </c>
      <c r="E43" t="s">
        <v>10</v>
      </c>
      <c r="F43">
        <v>-1.25</v>
      </c>
      <c r="H43" t="s">
        <v>110</v>
      </c>
    </row>
    <row r="44" spans="1:8" x14ac:dyDescent="0.25">
      <c r="A44" t="s">
        <v>17</v>
      </c>
      <c r="D44" t="s">
        <v>101</v>
      </c>
      <c r="E44" t="s">
        <v>11</v>
      </c>
      <c r="F44">
        <v>25.25</v>
      </c>
    </row>
    <row r="45" spans="1:8" x14ac:dyDescent="0.25">
      <c r="A45" t="s">
        <v>17</v>
      </c>
      <c r="D45" t="s">
        <v>101</v>
      </c>
      <c r="E45" t="s">
        <v>12</v>
      </c>
      <c r="F45">
        <v>19.75</v>
      </c>
    </row>
    <row r="46" spans="1:8" x14ac:dyDescent="0.25">
      <c r="A46" t="s">
        <v>17</v>
      </c>
      <c r="B46" t="s">
        <v>9</v>
      </c>
      <c r="D46" t="s">
        <v>101</v>
      </c>
      <c r="E46" t="s">
        <v>10</v>
      </c>
      <c r="F46" s="8">
        <v>-2E-12</v>
      </c>
      <c r="H46" t="s">
        <v>111</v>
      </c>
    </row>
    <row r="47" spans="1:8" x14ac:dyDescent="0.25">
      <c r="A47" t="s">
        <v>17</v>
      </c>
      <c r="B47" t="s">
        <v>9</v>
      </c>
      <c r="D47" t="s">
        <v>101</v>
      </c>
      <c r="E47" t="s">
        <v>11</v>
      </c>
      <c r="F47">
        <v>15</v>
      </c>
    </row>
    <row r="48" spans="1:8" x14ac:dyDescent="0.25">
      <c r="A48" t="s">
        <v>17</v>
      </c>
      <c r="B48" t="s">
        <v>9</v>
      </c>
      <c r="D48" t="s">
        <v>101</v>
      </c>
      <c r="E48" t="s">
        <v>12</v>
      </c>
      <c r="F48">
        <v>45</v>
      </c>
    </row>
    <row r="49" spans="1:8" x14ac:dyDescent="0.25">
      <c r="A49" t="s">
        <v>17</v>
      </c>
      <c r="D49" t="s">
        <v>100</v>
      </c>
      <c r="E49" t="s">
        <v>10</v>
      </c>
      <c r="F49" s="9">
        <f>F43</f>
        <v>-1.25</v>
      </c>
      <c r="H49" s="9" t="str">
        <f>H43</f>
        <v>Korn foder, södra götaland</v>
      </c>
    </row>
    <row r="50" spans="1:8" x14ac:dyDescent="0.25">
      <c r="A50" t="s">
        <v>17</v>
      </c>
      <c r="D50" t="s">
        <v>100</v>
      </c>
      <c r="E50" t="s">
        <v>11</v>
      </c>
      <c r="F50" s="9">
        <f>F44</f>
        <v>25.25</v>
      </c>
    </row>
    <row r="51" spans="1:8" x14ac:dyDescent="0.25">
      <c r="A51" t="s">
        <v>17</v>
      </c>
      <c r="D51" t="s">
        <v>100</v>
      </c>
      <c r="E51" t="s">
        <v>12</v>
      </c>
      <c r="F51" s="9">
        <f>F45</f>
        <v>19.75</v>
      </c>
    </row>
    <row r="52" spans="1:8" x14ac:dyDescent="0.25">
      <c r="A52" t="s">
        <v>17</v>
      </c>
      <c r="B52" t="s">
        <v>9</v>
      </c>
      <c r="D52" t="s">
        <v>100</v>
      </c>
      <c r="E52" t="s">
        <v>10</v>
      </c>
      <c r="F52" s="9">
        <f>F46</f>
        <v>-2E-12</v>
      </c>
      <c r="H52" s="9" t="str">
        <f>H46</f>
        <v>Korn, malt södra götaland</v>
      </c>
    </row>
    <row r="53" spans="1:8" x14ac:dyDescent="0.25">
      <c r="A53" t="s">
        <v>17</v>
      </c>
      <c r="B53" t="s">
        <v>9</v>
      </c>
      <c r="D53" t="s">
        <v>100</v>
      </c>
      <c r="E53" t="s">
        <v>11</v>
      </c>
      <c r="F53" s="9">
        <f>F47</f>
        <v>15</v>
      </c>
    </row>
    <row r="54" spans="1:8" x14ac:dyDescent="0.25">
      <c r="A54" t="s">
        <v>17</v>
      </c>
      <c r="B54" t="s">
        <v>9</v>
      </c>
      <c r="D54" t="s">
        <v>100</v>
      </c>
      <c r="E54" t="s">
        <v>12</v>
      </c>
      <c r="F54" s="9">
        <f>F48</f>
        <v>45</v>
      </c>
    </row>
    <row r="55" spans="1:8" x14ac:dyDescent="0.25">
      <c r="A55" t="s">
        <v>21</v>
      </c>
      <c r="E55" t="s">
        <v>10</v>
      </c>
      <c r="F55">
        <v>-1.0713999999999999</v>
      </c>
      <c r="H55" t="s">
        <v>20</v>
      </c>
    </row>
    <row r="56" spans="1:8" x14ac:dyDescent="0.25">
      <c r="A56" t="s">
        <v>21</v>
      </c>
      <c r="E56" t="s">
        <v>11</v>
      </c>
      <c r="F56">
        <v>23.928999999999998</v>
      </c>
    </row>
    <row r="57" spans="1:8" x14ac:dyDescent="0.25">
      <c r="A57" t="s">
        <v>21</v>
      </c>
      <c r="E57" t="s">
        <v>12</v>
      </c>
      <c r="F57">
        <v>22</v>
      </c>
    </row>
    <row r="58" spans="1:8" x14ac:dyDescent="0.25">
      <c r="A58" t="s">
        <v>21</v>
      </c>
      <c r="D58" t="s">
        <v>101</v>
      </c>
      <c r="E58" t="s">
        <v>10</v>
      </c>
      <c r="F58">
        <v>-1.25</v>
      </c>
      <c r="H58" t="s">
        <v>112</v>
      </c>
    </row>
    <row r="59" spans="1:8" x14ac:dyDescent="0.25">
      <c r="A59" t="s">
        <v>21</v>
      </c>
      <c r="D59" t="s">
        <v>101</v>
      </c>
      <c r="E59" t="s">
        <v>11</v>
      </c>
      <c r="F59">
        <v>25.25</v>
      </c>
    </row>
    <row r="60" spans="1:8" x14ac:dyDescent="0.25">
      <c r="A60" t="s">
        <v>21</v>
      </c>
      <c r="D60" t="s">
        <v>101</v>
      </c>
      <c r="E60" t="s">
        <v>12</v>
      </c>
      <c r="F60">
        <v>9.75</v>
      </c>
    </row>
    <row r="61" spans="1:8" x14ac:dyDescent="0.25">
      <c r="A61" t="s">
        <v>21</v>
      </c>
      <c r="D61" t="s">
        <v>100</v>
      </c>
      <c r="E61" t="s">
        <v>10</v>
      </c>
      <c r="F61" s="9">
        <f>F58</f>
        <v>-1.25</v>
      </c>
      <c r="H61" s="9" t="str">
        <f>H58</f>
        <v>Havre södra götaland</v>
      </c>
    </row>
    <row r="62" spans="1:8" x14ac:dyDescent="0.25">
      <c r="A62" t="s">
        <v>21</v>
      </c>
      <c r="D62" t="s">
        <v>100</v>
      </c>
      <c r="E62" t="s">
        <v>11</v>
      </c>
      <c r="F62" s="9">
        <f>F59</f>
        <v>25.25</v>
      </c>
    </row>
    <row r="63" spans="1:8" x14ac:dyDescent="0.25">
      <c r="A63" t="s">
        <v>21</v>
      </c>
      <c r="D63" t="s">
        <v>100</v>
      </c>
      <c r="E63" t="s">
        <v>12</v>
      </c>
      <c r="F63" s="9">
        <f>F60</f>
        <v>9.75</v>
      </c>
    </row>
    <row r="64" spans="1:8" x14ac:dyDescent="0.25">
      <c r="A64" t="s">
        <v>25</v>
      </c>
      <c r="E64" t="s">
        <v>11</v>
      </c>
      <c r="F64" s="9">
        <f>F29</f>
        <v>16.856999999999999</v>
      </c>
      <c r="H64" s="9" t="str">
        <f>H29</f>
        <v>Rågvete/höstkorn, norra  götaland och svealand</v>
      </c>
    </row>
    <row r="65" spans="1:8" x14ac:dyDescent="0.25">
      <c r="A65" t="s">
        <v>25</v>
      </c>
      <c r="E65" t="s">
        <v>12</v>
      </c>
      <c r="F65" s="9">
        <f>F30</f>
        <v>59.143000000000001</v>
      </c>
    </row>
    <row r="66" spans="1:8" x14ac:dyDescent="0.25">
      <c r="A66" t="s">
        <v>25</v>
      </c>
      <c r="D66" t="s">
        <v>101</v>
      </c>
      <c r="E66" t="s">
        <v>10</v>
      </c>
      <c r="F66" s="9">
        <f>F34</f>
        <v>-0.71430000000000005</v>
      </c>
      <c r="H66" s="9" t="str">
        <f>H34</f>
        <v>Rågvete/höstkorn, södra götaland</v>
      </c>
    </row>
    <row r="67" spans="1:8" x14ac:dyDescent="0.25">
      <c r="A67" t="s">
        <v>25</v>
      </c>
      <c r="D67" t="s">
        <v>101</v>
      </c>
      <c r="E67" t="s">
        <v>11</v>
      </c>
      <c r="F67" s="9">
        <f>F35</f>
        <v>23.143000000000001</v>
      </c>
    </row>
    <row r="68" spans="1:8" x14ac:dyDescent="0.25">
      <c r="A68" t="s">
        <v>25</v>
      </c>
      <c r="D68" t="s">
        <v>101</v>
      </c>
      <c r="E68" t="s">
        <v>12</v>
      </c>
      <c r="F68" s="9">
        <f>F36</f>
        <v>37.570999999999998</v>
      </c>
    </row>
    <row r="69" spans="1:8" x14ac:dyDescent="0.25">
      <c r="A69" t="s">
        <v>25</v>
      </c>
      <c r="D69" t="s">
        <v>100</v>
      </c>
      <c r="E69" t="s">
        <v>10</v>
      </c>
      <c r="F69" s="9">
        <f>F34</f>
        <v>-0.71430000000000005</v>
      </c>
      <c r="H69" s="9" t="str">
        <f>H34</f>
        <v>Rågvete/höstkorn, södra götaland</v>
      </c>
    </row>
    <row r="70" spans="1:8" x14ac:dyDescent="0.25">
      <c r="A70" t="s">
        <v>25</v>
      </c>
      <c r="D70" t="s">
        <v>100</v>
      </c>
      <c r="E70" t="s">
        <v>11</v>
      </c>
      <c r="F70" s="9">
        <f>F35</f>
        <v>23.143000000000001</v>
      </c>
    </row>
    <row r="71" spans="1:8" x14ac:dyDescent="0.25">
      <c r="A71" t="s">
        <v>25</v>
      </c>
      <c r="D71" t="s">
        <v>100</v>
      </c>
      <c r="E71" t="s">
        <v>12</v>
      </c>
      <c r="F71" s="9">
        <f>F36</f>
        <v>37.570999999999998</v>
      </c>
    </row>
    <row r="72" spans="1:8" x14ac:dyDescent="0.25">
      <c r="A72" t="s">
        <v>24</v>
      </c>
      <c r="E72" t="s">
        <v>11</v>
      </c>
      <c r="F72" s="9">
        <f>F29</f>
        <v>16.856999999999999</v>
      </c>
      <c r="H72" s="9" t="str">
        <f>H29</f>
        <v>Rågvete/höstkorn, norra  götaland och svealand</v>
      </c>
    </row>
    <row r="73" spans="1:8" x14ac:dyDescent="0.25">
      <c r="A73" t="s">
        <v>24</v>
      </c>
      <c r="E73" t="s">
        <v>12</v>
      </c>
      <c r="F73" s="9">
        <f>F30</f>
        <v>59.143000000000001</v>
      </c>
      <c r="H73" s="9"/>
    </row>
    <row r="74" spans="1:8" x14ac:dyDescent="0.25">
      <c r="A74" t="s">
        <v>24</v>
      </c>
      <c r="D74" t="s">
        <v>101</v>
      </c>
      <c r="E74" t="s">
        <v>10</v>
      </c>
      <c r="F74" s="9">
        <f>F34</f>
        <v>-0.71430000000000005</v>
      </c>
      <c r="H74" s="9" t="str">
        <f>H34</f>
        <v>Rågvete/höstkorn, södra götaland</v>
      </c>
    </row>
    <row r="75" spans="1:8" x14ac:dyDescent="0.25">
      <c r="A75" t="s">
        <v>24</v>
      </c>
      <c r="D75" t="s">
        <v>101</v>
      </c>
      <c r="E75" t="s">
        <v>11</v>
      </c>
      <c r="F75" s="9">
        <f>F35</f>
        <v>23.143000000000001</v>
      </c>
      <c r="H75" s="9"/>
    </row>
    <row r="76" spans="1:8" x14ac:dyDescent="0.25">
      <c r="A76" t="s">
        <v>24</v>
      </c>
      <c r="D76" t="s">
        <v>101</v>
      </c>
      <c r="E76" t="s">
        <v>12</v>
      </c>
      <c r="F76" s="9">
        <f>F36</f>
        <v>37.570999999999998</v>
      </c>
      <c r="H76" s="9"/>
    </row>
    <row r="77" spans="1:8" x14ac:dyDescent="0.25">
      <c r="A77" t="s">
        <v>24</v>
      </c>
      <c r="D77" t="s">
        <v>100</v>
      </c>
      <c r="E77" t="s">
        <v>10</v>
      </c>
      <c r="F77" s="9">
        <f>F34</f>
        <v>-0.71430000000000005</v>
      </c>
      <c r="H77" s="9" t="str">
        <f>H34</f>
        <v>Rågvete/höstkorn, södra götaland</v>
      </c>
    </row>
    <row r="78" spans="1:8" x14ac:dyDescent="0.25">
      <c r="A78" t="s">
        <v>24</v>
      </c>
      <c r="D78" t="s">
        <v>100</v>
      </c>
      <c r="E78" t="s">
        <v>11</v>
      </c>
      <c r="F78" s="9">
        <f>F35</f>
        <v>23.143000000000001</v>
      </c>
      <c r="H78" s="9"/>
    </row>
    <row r="79" spans="1:8" x14ac:dyDescent="0.25">
      <c r="A79" t="s">
        <v>24</v>
      </c>
      <c r="D79" t="s">
        <v>100</v>
      </c>
      <c r="E79" t="s">
        <v>12</v>
      </c>
      <c r="F79" s="9">
        <f>F36</f>
        <v>37.570999999999998</v>
      </c>
      <c r="H79" s="9"/>
    </row>
    <row r="80" spans="1:8" x14ac:dyDescent="0.25">
      <c r="A80" s="7" t="s">
        <v>29</v>
      </c>
      <c r="E80" s="7" t="s">
        <v>10</v>
      </c>
      <c r="F80" s="7">
        <v>-1.7857000000000001</v>
      </c>
      <c r="H80" s="7" t="s">
        <v>92</v>
      </c>
    </row>
    <row r="81" spans="1:8" x14ac:dyDescent="0.25">
      <c r="A81" s="7" t="s">
        <v>29</v>
      </c>
      <c r="E81" s="7" t="s">
        <v>11</v>
      </c>
      <c r="F81" s="7">
        <v>43.570999999999998</v>
      </c>
      <c r="H81" s="7"/>
    </row>
    <row r="82" spans="1:8" x14ac:dyDescent="0.25">
      <c r="A82" s="7" t="s">
        <v>29</v>
      </c>
      <c r="E82" s="7" t="s">
        <v>12</v>
      </c>
      <c r="F82" s="7">
        <v>-112.5</v>
      </c>
      <c r="H82" s="7"/>
    </row>
    <row r="83" spans="1:8" x14ac:dyDescent="0.25">
      <c r="A83" t="s">
        <v>28</v>
      </c>
      <c r="E83" t="s">
        <v>12</v>
      </c>
      <c r="F83">
        <v>50</v>
      </c>
      <c r="H83" t="s">
        <v>76</v>
      </c>
    </row>
    <row r="84" spans="1:8" x14ac:dyDescent="0.25">
      <c r="A84" t="s">
        <v>30</v>
      </c>
      <c r="E84" t="s">
        <v>12</v>
      </c>
      <c r="F84">
        <v>0</v>
      </c>
      <c r="H84" t="s">
        <v>75</v>
      </c>
    </row>
    <row r="85" spans="1:8" x14ac:dyDescent="0.25">
      <c r="A85" t="s">
        <v>31</v>
      </c>
      <c r="E85" t="s">
        <v>12</v>
      </c>
      <c r="F85">
        <v>0</v>
      </c>
      <c r="H85" t="s">
        <v>75</v>
      </c>
    </row>
    <row r="86" spans="1:8" x14ac:dyDescent="0.25">
      <c r="A86" t="s">
        <v>32</v>
      </c>
      <c r="E86" t="s">
        <v>12</v>
      </c>
      <c r="F86">
        <v>0</v>
      </c>
      <c r="H86" t="s">
        <v>75</v>
      </c>
    </row>
    <row r="87" spans="1:8" x14ac:dyDescent="0.25">
      <c r="A87" t="s">
        <v>33</v>
      </c>
      <c r="E87" t="s">
        <v>12</v>
      </c>
      <c r="F87">
        <v>30</v>
      </c>
      <c r="H87" t="s">
        <v>77</v>
      </c>
    </row>
    <row r="88" spans="1:8" x14ac:dyDescent="0.25">
      <c r="A88" t="s">
        <v>34</v>
      </c>
      <c r="E88" t="s">
        <v>11</v>
      </c>
      <c r="F88">
        <v>20</v>
      </c>
    </row>
    <row r="89" spans="1:8" x14ac:dyDescent="0.25">
      <c r="A89" t="s">
        <v>34</v>
      </c>
      <c r="E89" t="s">
        <v>12</v>
      </c>
      <c r="F89">
        <v>65</v>
      </c>
    </row>
    <row r="90" spans="1:8" x14ac:dyDescent="0.25">
      <c r="A90" t="s">
        <v>35</v>
      </c>
      <c r="E90" t="s">
        <v>11</v>
      </c>
      <c r="F90">
        <v>20</v>
      </c>
    </row>
    <row r="91" spans="1:8" x14ac:dyDescent="0.25">
      <c r="A91" t="s">
        <v>35</v>
      </c>
      <c r="E91" t="s">
        <v>12</v>
      </c>
      <c r="F91">
        <v>70</v>
      </c>
    </row>
    <row r="92" spans="1:8" x14ac:dyDescent="0.25">
      <c r="A92" t="s">
        <v>36</v>
      </c>
      <c r="E92" t="s">
        <v>10</v>
      </c>
      <c r="F92">
        <v>-2.5000000000000001E-2</v>
      </c>
    </row>
    <row r="93" spans="1:8" x14ac:dyDescent="0.25">
      <c r="A93" t="s">
        <v>36</v>
      </c>
      <c r="E93" t="s">
        <v>11</v>
      </c>
      <c r="F93">
        <v>4.95</v>
      </c>
    </row>
    <row r="94" spans="1:8" x14ac:dyDescent="0.25">
      <c r="A94" t="s">
        <v>36</v>
      </c>
      <c r="E94" t="s">
        <v>12</v>
      </c>
      <c r="F94">
        <v>-31.5</v>
      </c>
    </row>
    <row r="95" spans="1:8" x14ac:dyDescent="0.25">
      <c r="A95" t="s">
        <v>37</v>
      </c>
      <c r="E95" t="s">
        <v>10</v>
      </c>
      <c r="F95" s="9">
        <f>F92</f>
        <v>-2.5000000000000001E-2</v>
      </c>
      <c r="H95" s="7" t="s">
        <v>91</v>
      </c>
    </row>
    <row r="96" spans="1:8" x14ac:dyDescent="0.25">
      <c r="A96" t="s">
        <v>37</v>
      </c>
      <c r="E96" t="s">
        <v>11</v>
      </c>
      <c r="F96" s="9">
        <f t="shared" ref="F96:F97" si="1">F93</f>
        <v>4.95</v>
      </c>
    </row>
    <row r="97" spans="1:9" x14ac:dyDescent="0.25">
      <c r="A97" t="s">
        <v>37</v>
      </c>
      <c r="E97" t="s">
        <v>12</v>
      </c>
      <c r="F97" s="9">
        <f t="shared" si="1"/>
        <v>-31.5</v>
      </c>
    </row>
    <row r="98" spans="1:9" x14ac:dyDescent="0.25">
      <c r="A98" t="s">
        <v>38</v>
      </c>
      <c r="E98" t="s">
        <v>12</v>
      </c>
      <c r="F98">
        <v>110</v>
      </c>
      <c r="H98" t="s">
        <v>81</v>
      </c>
    </row>
    <row r="99" spans="1:9" x14ac:dyDescent="0.25">
      <c r="A99" s="7" t="s">
        <v>39</v>
      </c>
    </row>
    <row r="100" spans="1:9" x14ac:dyDescent="0.25">
      <c r="A100" s="10" t="s">
        <v>40</v>
      </c>
      <c r="E100" t="s">
        <v>10</v>
      </c>
      <c r="F100">
        <v>-1.4286000000000001</v>
      </c>
      <c r="H100" t="s">
        <v>82</v>
      </c>
    </row>
    <row r="101" spans="1:9" x14ac:dyDescent="0.25">
      <c r="A101" s="10" t="s">
        <v>40</v>
      </c>
      <c r="E101" t="s">
        <v>11</v>
      </c>
      <c r="F101">
        <v>40.713999999999999</v>
      </c>
    </row>
    <row r="102" spans="1:9" x14ac:dyDescent="0.25">
      <c r="A102" s="10" t="s">
        <v>40</v>
      </c>
      <c r="E102" t="s">
        <v>12</v>
      </c>
      <c r="F102">
        <v>-74.856999999999999</v>
      </c>
    </row>
    <row r="103" spans="1:9" x14ac:dyDescent="0.25">
      <c r="A103" s="11" t="s">
        <v>41</v>
      </c>
    </row>
    <row r="104" spans="1:9" x14ac:dyDescent="0.25">
      <c r="A104" s="5" t="s">
        <v>73</v>
      </c>
      <c r="E104" t="s">
        <v>12</v>
      </c>
      <c r="F104">
        <v>0</v>
      </c>
      <c r="H104" t="s">
        <v>74</v>
      </c>
    </row>
    <row r="105" spans="1:9" x14ac:dyDescent="0.25">
      <c r="A105" s="11" t="s">
        <v>42</v>
      </c>
      <c r="E105" s="7"/>
      <c r="F105" s="7"/>
      <c r="H105" s="7" t="s">
        <v>92</v>
      </c>
    </row>
    <row r="106" spans="1:9" x14ac:dyDescent="0.25">
      <c r="A106" s="11" t="s">
        <v>43</v>
      </c>
    </row>
    <row r="107" spans="1:9" x14ac:dyDescent="0.25">
      <c r="A107" s="11" t="s">
        <v>44</v>
      </c>
    </row>
    <row r="108" spans="1:9" x14ac:dyDescent="0.25">
      <c r="A108" s="10" t="s">
        <v>45</v>
      </c>
      <c r="E108" t="s">
        <v>12</v>
      </c>
      <c r="F108">
        <v>0</v>
      </c>
      <c r="H108" t="s">
        <v>74</v>
      </c>
    </row>
    <row r="109" spans="1:9" x14ac:dyDescent="0.25">
      <c r="A109" s="10" t="s">
        <v>46</v>
      </c>
      <c r="E109" t="s">
        <v>12</v>
      </c>
      <c r="F109">
        <v>0</v>
      </c>
      <c r="H109" t="s">
        <v>74</v>
      </c>
    </row>
    <row r="110" spans="1:9" x14ac:dyDescent="0.25">
      <c r="A110" t="s">
        <v>47</v>
      </c>
      <c r="E110" t="s">
        <v>11</v>
      </c>
      <c r="F110">
        <v>2.5</v>
      </c>
      <c r="H110" t="s">
        <v>86</v>
      </c>
      <c r="I110" t="s">
        <v>87</v>
      </c>
    </row>
    <row r="111" spans="1:9" x14ac:dyDescent="0.25">
      <c r="A111" t="s">
        <v>47</v>
      </c>
      <c r="E111" t="s">
        <v>12</v>
      </c>
      <c r="F111">
        <v>25</v>
      </c>
    </row>
    <row r="112" spans="1:9" x14ac:dyDescent="0.25">
      <c r="A112" t="s">
        <v>48</v>
      </c>
      <c r="E112" t="s">
        <v>11</v>
      </c>
      <c r="F112">
        <v>1.3846000000000001</v>
      </c>
      <c r="H112" t="s">
        <v>86</v>
      </c>
      <c r="I112" t="s">
        <v>87</v>
      </c>
    </row>
    <row r="113" spans="1:9" x14ac:dyDescent="0.25">
      <c r="A113" t="s">
        <v>48</v>
      </c>
      <c r="E113" t="s">
        <v>12</v>
      </c>
      <c r="F113">
        <v>11.538</v>
      </c>
    </row>
    <row r="114" spans="1:9" x14ac:dyDescent="0.25">
      <c r="A114" s="7" t="s">
        <v>49</v>
      </c>
    </row>
    <row r="115" spans="1:9" x14ac:dyDescent="0.25">
      <c r="A115" s="5" t="s">
        <v>50</v>
      </c>
      <c r="E115" t="s">
        <v>11</v>
      </c>
      <c r="F115">
        <v>3.3332999999999999</v>
      </c>
      <c r="H115" t="s">
        <v>88</v>
      </c>
      <c r="I115" t="s">
        <v>87</v>
      </c>
    </row>
    <row r="116" spans="1:9" x14ac:dyDescent="0.25">
      <c r="A116" s="5" t="s">
        <v>50</v>
      </c>
      <c r="E116" t="s">
        <v>12</v>
      </c>
      <c r="F116">
        <v>33.332999999999998</v>
      </c>
    </row>
    <row r="117" spans="1:9" x14ac:dyDescent="0.25">
      <c r="A117" s="5" t="s">
        <v>51</v>
      </c>
      <c r="E117" t="s">
        <v>11</v>
      </c>
      <c r="F117">
        <v>3</v>
      </c>
      <c r="H117" t="s">
        <v>89</v>
      </c>
      <c r="I117" t="s">
        <v>87</v>
      </c>
    </row>
    <row r="118" spans="1:9" x14ac:dyDescent="0.25">
      <c r="A118" s="5" t="s">
        <v>51</v>
      </c>
      <c r="E118" t="s">
        <v>12</v>
      </c>
      <c r="F118">
        <v>90</v>
      </c>
    </row>
    <row r="119" spans="1:9" x14ac:dyDescent="0.25">
      <c r="A119" s="5" t="s">
        <v>52</v>
      </c>
      <c r="E119" t="s">
        <v>11</v>
      </c>
      <c r="F119">
        <v>2.6667000000000001</v>
      </c>
      <c r="H119" t="s">
        <v>90</v>
      </c>
      <c r="I119" t="s">
        <v>87</v>
      </c>
    </row>
    <row r="120" spans="1:9" x14ac:dyDescent="0.25">
      <c r="A120" s="5" t="s">
        <v>52</v>
      </c>
      <c r="E120" t="s">
        <v>12</v>
      </c>
      <c r="F120">
        <v>-43.332999999999998</v>
      </c>
    </row>
    <row r="121" spans="1:9" x14ac:dyDescent="0.25">
      <c r="A121" s="5" t="s">
        <v>53</v>
      </c>
      <c r="E121" t="s">
        <v>11</v>
      </c>
      <c r="F121" s="9">
        <f>F119</f>
        <v>2.6667000000000001</v>
      </c>
      <c r="G121" s="9"/>
      <c r="H121" s="9" t="str">
        <f>H119</f>
        <v xml:space="preserve">yield in fresh weight 5% DM </v>
      </c>
      <c r="I121" s="9" t="str">
        <f>I119</f>
        <v>Yara (2018)</v>
      </c>
    </row>
    <row r="122" spans="1:9" x14ac:dyDescent="0.25">
      <c r="A122" s="5" t="s">
        <v>53</v>
      </c>
      <c r="E122" t="s">
        <v>12</v>
      </c>
      <c r="F122" s="9">
        <f>F120</f>
        <v>-43.332999999999998</v>
      </c>
      <c r="G122" s="9"/>
      <c r="H122" s="9"/>
      <c r="I122" s="9"/>
    </row>
    <row r="123" spans="1:9" x14ac:dyDescent="0.25">
      <c r="A123" s="7" t="s">
        <v>54</v>
      </c>
    </row>
    <row r="124" spans="1:9" x14ac:dyDescent="0.25">
      <c r="A124" s="7" t="s">
        <v>55</v>
      </c>
    </row>
    <row r="125" spans="1:9" x14ac:dyDescent="0.25">
      <c r="A125" s="5" t="s">
        <v>56</v>
      </c>
      <c r="E125" t="s">
        <v>12</v>
      </c>
      <c r="F125">
        <v>65</v>
      </c>
      <c r="H125" t="s">
        <v>83</v>
      </c>
    </row>
    <row r="126" spans="1:9" x14ac:dyDescent="0.25">
      <c r="A126" s="7" t="s">
        <v>57</v>
      </c>
    </row>
    <row r="127" spans="1:9" x14ac:dyDescent="0.25">
      <c r="A127" s="5" t="s">
        <v>58</v>
      </c>
      <c r="E127" t="s">
        <v>12</v>
      </c>
      <c r="F127">
        <v>65</v>
      </c>
      <c r="H127" t="s">
        <v>84</v>
      </c>
    </row>
    <row r="128" spans="1:9" x14ac:dyDescent="0.25">
      <c r="A128" s="5" t="s">
        <v>59</v>
      </c>
      <c r="E128" t="s">
        <v>12</v>
      </c>
      <c r="F128">
        <v>100</v>
      </c>
      <c r="H128" t="s">
        <v>85</v>
      </c>
    </row>
    <row r="129" spans="1:9" x14ac:dyDescent="0.25">
      <c r="A129" s="5" t="s">
        <v>60</v>
      </c>
      <c r="E129" t="s">
        <v>12</v>
      </c>
      <c r="F129">
        <v>110</v>
      </c>
    </row>
    <row r="130" spans="1:9" x14ac:dyDescent="0.25">
      <c r="A130" s="7" t="s">
        <v>61</v>
      </c>
    </row>
    <row r="131" spans="1:9" x14ac:dyDescent="0.25">
      <c r="A131" s="7" t="s">
        <v>62</v>
      </c>
    </row>
    <row r="132" spans="1:9" x14ac:dyDescent="0.25">
      <c r="A132" s="7" t="s">
        <v>63</v>
      </c>
    </row>
    <row r="133" spans="1:9" x14ac:dyDescent="0.25">
      <c r="A133" s="7" t="s">
        <v>64</v>
      </c>
    </row>
    <row r="134" spans="1:9" x14ac:dyDescent="0.25">
      <c r="A134" s="7" t="s">
        <v>65</v>
      </c>
    </row>
    <row r="135" spans="1:9" x14ac:dyDescent="0.25">
      <c r="A135" s="7" t="s">
        <v>66</v>
      </c>
    </row>
    <row r="136" spans="1:9" x14ac:dyDescent="0.25">
      <c r="A136" s="7" t="s">
        <v>67</v>
      </c>
    </row>
    <row r="137" spans="1:9" x14ac:dyDescent="0.25">
      <c r="A137" s="7" t="s">
        <v>68</v>
      </c>
    </row>
    <row r="138" spans="1:9" x14ac:dyDescent="0.25">
      <c r="A138" s="5" t="s">
        <v>69</v>
      </c>
      <c r="E138" t="s">
        <v>12</v>
      </c>
      <c r="F138">
        <v>0</v>
      </c>
      <c r="H138" t="s">
        <v>74</v>
      </c>
    </row>
    <row r="139" spans="1:9" x14ac:dyDescent="0.25">
      <c r="A139" s="7" t="s">
        <v>70</v>
      </c>
    </row>
    <row r="140" spans="1:9" x14ac:dyDescent="0.25">
      <c r="A140" s="7" t="s">
        <v>71</v>
      </c>
    </row>
    <row r="141" spans="1:9" x14ac:dyDescent="0.25">
      <c r="A141" s="5" t="s">
        <v>72</v>
      </c>
      <c r="E141" t="s">
        <v>12</v>
      </c>
      <c r="F141">
        <v>0</v>
      </c>
      <c r="H141" t="s">
        <v>74</v>
      </c>
    </row>
    <row r="143" spans="1:9" x14ac:dyDescent="0.25">
      <c r="A143" s="2" t="s">
        <v>95</v>
      </c>
      <c r="B143" s="2"/>
      <c r="C143" s="2"/>
      <c r="D143" s="2"/>
      <c r="E143" s="2"/>
      <c r="F143" s="2"/>
      <c r="G143" s="2"/>
      <c r="H143" s="3"/>
      <c r="I143" s="3"/>
    </row>
    <row r="144" spans="1:9" x14ac:dyDescent="0.25">
      <c r="E144" s="6" t="s">
        <v>13</v>
      </c>
      <c r="F144" s="6">
        <v>0</v>
      </c>
      <c r="G144" s="6"/>
      <c r="H144" s="6" t="s">
        <v>15</v>
      </c>
    </row>
    <row r="145" spans="1:8" x14ac:dyDescent="0.25">
      <c r="E145" s="6" t="s">
        <v>14</v>
      </c>
      <c r="F145" s="6">
        <v>1</v>
      </c>
      <c r="G145" s="6"/>
      <c r="H145" s="6" t="s">
        <v>15</v>
      </c>
    </row>
    <row r="146" spans="1:8" x14ac:dyDescent="0.25">
      <c r="A146" t="s">
        <v>7</v>
      </c>
      <c r="E146" t="s">
        <v>13</v>
      </c>
      <c r="F146">
        <v>-0.32340000000000002</v>
      </c>
    </row>
    <row r="147" spans="1:8" x14ac:dyDescent="0.25">
      <c r="A147" t="s">
        <v>7</v>
      </c>
      <c r="E147" t="s">
        <v>14</v>
      </c>
      <c r="F147">
        <v>0.97240000000000004</v>
      </c>
    </row>
    <row r="148" spans="1:8" x14ac:dyDescent="0.25">
      <c r="A148" t="s">
        <v>16</v>
      </c>
      <c r="E148" t="s">
        <v>13</v>
      </c>
      <c r="F148">
        <v>-0.32500000000000001</v>
      </c>
    </row>
    <row r="149" spans="1:8" x14ac:dyDescent="0.25">
      <c r="A149" t="s">
        <v>16</v>
      </c>
      <c r="E149" t="s">
        <v>14</v>
      </c>
      <c r="F149">
        <v>0.81369999999999998</v>
      </c>
    </row>
    <row r="150" spans="1:8" x14ac:dyDescent="0.25">
      <c r="A150" t="s">
        <v>27</v>
      </c>
      <c r="E150" t="s">
        <v>13</v>
      </c>
      <c r="F150">
        <v>-0.58699999999999997</v>
      </c>
    </row>
    <row r="151" spans="1:8" x14ac:dyDescent="0.25">
      <c r="A151" t="s">
        <v>27</v>
      </c>
      <c r="E151" t="s">
        <v>14</v>
      </c>
      <c r="F151">
        <v>0.82350000000000001</v>
      </c>
    </row>
    <row r="152" spans="1:8" x14ac:dyDescent="0.25">
      <c r="A152" t="s">
        <v>23</v>
      </c>
      <c r="E152" t="s">
        <v>13</v>
      </c>
      <c r="F152">
        <v>-0.35070000000000001</v>
      </c>
    </row>
    <row r="153" spans="1:8" x14ac:dyDescent="0.25">
      <c r="A153" t="s">
        <v>23</v>
      </c>
      <c r="E153" t="s">
        <v>14</v>
      </c>
      <c r="F153">
        <v>0.9234</v>
      </c>
    </row>
    <row r="154" spans="1:8" x14ac:dyDescent="0.25">
      <c r="A154" t="s">
        <v>17</v>
      </c>
      <c r="E154" t="s">
        <v>13</v>
      </c>
      <c r="F154">
        <v>-0.41710000000000003</v>
      </c>
    </row>
    <row r="155" spans="1:8" x14ac:dyDescent="0.25">
      <c r="A155" t="s">
        <v>17</v>
      </c>
      <c r="E155" t="s">
        <v>14</v>
      </c>
      <c r="F155">
        <v>0.91610000000000003</v>
      </c>
    </row>
    <row r="156" spans="1:8" x14ac:dyDescent="0.25">
      <c r="A156" t="s">
        <v>21</v>
      </c>
      <c r="E156" t="s">
        <v>13</v>
      </c>
      <c r="F156">
        <v>-0.74150000000000005</v>
      </c>
    </row>
    <row r="157" spans="1:8" x14ac:dyDescent="0.25">
      <c r="A157" t="s">
        <v>21</v>
      </c>
      <c r="E157" t="s">
        <v>14</v>
      </c>
      <c r="F157">
        <v>0.96550000000000002</v>
      </c>
    </row>
    <row r="158" spans="1:8" x14ac:dyDescent="0.25">
      <c r="A158" t="s">
        <v>25</v>
      </c>
      <c r="E158" t="s">
        <v>13</v>
      </c>
      <c r="F158" s="9">
        <f>F160</f>
        <v>-0.58699999999999997</v>
      </c>
    </row>
    <row r="159" spans="1:8" x14ac:dyDescent="0.25">
      <c r="A159" t="s">
        <v>25</v>
      </c>
      <c r="E159" t="s">
        <v>14</v>
      </c>
      <c r="F159" s="9">
        <f>F161</f>
        <v>0.82350000000000001</v>
      </c>
    </row>
    <row r="160" spans="1:8" x14ac:dyDescent="0.25">
      <c r="A160" t="s">
        <v>24</v>
      </c>
      <c r="E160" t="s">
        <v>13</v>
      </c>
      <c r="F160">
        <v>-0.58699999999999997</v>
      </c>
    </row>
    <row r="161" spans="1:12" x14ac:dyDescent="0.25">
      <c r="A161" t="s">
        <v>24</v>
      </c>
      <c r="E161" t="s">
        <v>14</v>
      </c>
      <c r="F161">
        <v>0.82350000000000001</v>
      </c>
    </row>
    <row r="162" spans="1:12" x14ac:dyDescent="0.25">
      <c r="A162" s="7" t="s">
        <v>29</v>
      </c>
      <c r="F162" s="9"/>
      <c r="H162" s="7" t="s">
        <v>92</v>
      </c>
    </row>
    <row r="163" spans="1:12" x14ac:dyDescent="0.25">
      <c r="A163" s="5" t="s">
        <v>28</v>
      </c>
      <c r="E163" t="s">
        <v>14</v>
      </c>
      <c r="F163" s="5">
        <v>1</v>
      </c>
      <c r="G163" s="5"/>
      <c r="H163" s="5" t="s">
        <v>78</v>
      </c>
    </row>
    <row r="164" spans="1:12" x14ac:dyDescent="0.25">
      <c r="A164" t="s">
        <v>30</v>
      </c>
      <c r="E164" t="s">
        <v>14</v>
      </c>
      <c r="F164">
        <v>1</v>
      </c>
      <c r="H164" s="5" t="s">
        <v>78</v>
      </c>
    </row>
    <row r="165" spans="1:12" x14ac:dyDescent="0.25">
      <c r="A165" t="s">
        <v>31</v>
      </c>
      <c r="E165" t="s">
        <v>14</v>
      </c>
      <c r="F165">
        <v>1</v>
      </c>
      <c r="H165" s="5" t="s">
        <v>78</v>
      </c>
    </row>
    <row r="166" spans="1:12" x14ac:dyDescent="0.25">
      <c r="A166" t="s">
        <v>32</v>
      </c>
      <c r="E166" t="s">
        <v>14</v>
      </c>
      <c r="F166">
        <v>1</v>
      </c>
      <c r="H166" s="5" t="s">
        <v>78</v>
      </c>
    </row>
    <row r="167" spans="1:12" x14ac:dyDescent="0.25">
      <c r="A167" t="s">
        <v>33</v>
      </c>
      <c r="E167" t="s">
        <v>14</v>
      </c>
      <c r="F167">
        <v>1</v>
      </c>
      <c r="H167" s="5" t="s">
        <v>78</v>
      </c>
    </row>
    <row r="168" spans="1:12" x14ac:dyDescent="0.25">
      <c r="A168" t="s">
        <v>34</v>
      </c>
      <c r="E168" t="s">
        <v>13</v>
      </c>
      <c r="F168">
        <v>-9.2499999999999999E-2</v>
      </c>
    </row>
    <row r="169" spans="1:12" x14ac:dyDescent="0.25">
      <c r="A169" t="s">
        <v>34</v>
      </c>
      <c r="E169" t="s">
        <v>14</v>
      </c>
      <c r="F169">
        <v>1.2939000000000001</v>
      </c>
    </row>
    <row r="170" spans="1:12" x14ac:dyDescent="0.25">
      <c r="A170" t="s">
        <v>35</v>
      </c>
      <c r="E170" t="s">
        <v>14</v>
      </c>
      <c r="F170">
        <v>0.94</v>
      </c>
      <c r="H170" s="5" t="s">
        <v>79</v>
      </c>
    </row>
    <row r="171" spans="1:12" x14ac:dyDescent="0.25">
      <c r="A171" t="s">
        <v>36</v>
      </c>
      <c r="E171" t="s">
        <v>13</v>
      </c>
      <c r="F171" s="7">
        <v>-6.83E-2</v>
      </c>
      <c r="H171" s="7" t="s">
        <v>80</v>
      </c>
    </row>
    <row r="172" spans="1:12" x14ac:dyDescent="0.25">
      <c r="A172" t="s">
        <v>36</v>
      </c>
      <c r="E172" t="s">
        <v>14</v>
      </c>
      <c r="F172">
        <v>0.74670000000000003</v>
      </c>
    </row>
    <row r="173" spans="1:12" x14ac:dyDescent="0.25">
      <c r="A173" t="s">
        <v>37</v>
      </c>
      <c r="E173" t="s">
        <v>13</v>
      </c>
      <c r="F173" s="9">
        <f>F171</f>
        <v>-6.83E-2</v>
      </c>
      <c r="H173" s="7" t="s">
        <v>91</v>
      </c>
    </row>
    <row r="174" spans="1:12" x14ac:dyDescent="0.25">
      <c r="A174" t="s">
        <v>37</v>
      </c>
      <c r="E174" t="s">
        <v>14</v>
      </c>
      <c r="F174" s="9">
        <f>F172</f>
        <v>0.74670000000000003</v>
      </c>
    </row>
    <row r="175" spans="1:12" x14ac:dyDescent="0.25">
      <c r="A175" t="s">
        <v>38</v>
      </c>
      <c r="E175" t="s">
        <v>14</v>
      </c>
      <c r="F175">
        <v>1</v>
      </c>
      <c r="H175" s="5" t="s">
        <v>78</v>
      </c>
    </row>
    <row r="176" spans="1:12" x14ac:dyDescent="0.25">
      <c r="A176" s="7" t="s">
        <v>39</v>
      </c>
      <c r="L176" s="4"/>
    </row>
    <row r="177" spans="1:8" x14ac:dyDescent="0.25">
      <c r="A177" s="10" t="s">
        <v>40</v>
      </c>
      <c r="E177" t="s">
        <v>13</v>
      </c>
      <c r="F177">
        <v>-8.2500000000000004E-2</v>
      </c>
    </row>
    <row r="178" spans="1:8" x14ac:dyDescent="0.25">
      <c r="A178" s="10" t="s">
        <v>40</v>
      </c>
      <c r="E178" t="s">
        <v>14</v>
      </c>
      <c r="F178">
        <v>0.72799999999999998</v>
      </c>
    </row>
    <row r="179" spans="1:8" x14ac:dyDescent="0.25">
      <c r="A179" s="11" t="s">
        <v>41</v>
      </c>
    </row>
    <row r="180" spans="1:8" x14ac:dyDescent="0.25">
      <c r="A180" s="5" t="s">
        <v>73</v>
      </c>
      <c r="E180" t="s">
        <v>14</v>
      </c>
      <c r="F180">
        <v>1</v>
      </c>
      <c r="H180" s="5" t="s">
        <v>78</v>
      </c>
    </row>
    <row r="181" spans="1:8" x14ac:dyDescent="0.25">
      <c r="A181" s="11" t="s">
        <v>42</v>
      </c>
      <c r="H181" s="7" t="s">
        <v>92</v>
      </c>
    </row>
    <row r="182" spans="1:8" x14ac:dyDescent="0.25">
      <c r="A182" s="11" t="s">
        <v>43</v>
      </c>
    </row>
    <row r="183" spans="1:8" x14ac:dyDescent="0.25">
      <c r="A183" s="11" t="s">
        <v>44</v>
      </c>
    </row>
    <row r="184" spans="1:8" x14ac:dyDescent="0.25">
      <c r="A184" s="10" t="s">
        <v>45</v>
      </c>
      <c r="E184" t="s">
        <v>14</v>
      </c>
      <c r="F184">
        <v>1</v>
      </c>
      <c r="H184" s="5" t="s">
        <v>78</v>
      </c>
    </row>
    <row r="185" spans="1:8" x14ac:dyDescent="0.25">
      <c r="A185" s="10" t="s">
        <v>46</v>
      </c>
      <c r="E185" t="s">
        <v>14</v>
      </c>
      <c r="F185">
        <v>1</v>
      </c>
      <c r="H185" s="5" t="s">
        <v>78</v>
      </c>
    </row>
    <row r="186" spans="1:8" x14ac:dyDescent="0.25">
      <c r="A186" t="s">
        <v>47</v>
      </c>
      <c r="E186" t="s">
        <v>14</v>
      </c>
      <c r="F186">
        <v>1</v>
      </c>
      <c r="H186" s="5" t="s">
        <v>78</v>
      </c>
    </row>
    <row r="187" spans="1:8" x14ac:dyDescent="0.25">
      <c r="A187" t="s">
        <v>48</v>
      </c>
      <c r="E187" t="s">
        <v>14</v>
      </c>
      <c r="F187">
        <v>1</v>
      </c>
      <c r="H187" s="5" t="s">
        <v>78</v>
      </c>
    </row>
    <row r="188" spans="1:8" x14ac:dyDescent="0.25">
      <c r="A188" s="5" t="s">
        <v>49</v>
      </c>
      <c r="E188" t="s">
        <v>14</v>
      </c>
      <c r="F188">
        <v>1</v>
      </c>
      <c r="H188" s="5" t="s">
        <v>78</v>
      </c>
    </row>
    <row r="189" spans="1:8" x14ac:dyDescent="0.25">
      <c r="A189" s="5" t="s">
        <v>50</v>
      </c>
      <c r="E189" t="s">
        <v>14</v>
      </c>
      <c r="F189">
        <v>1</v>
      </c>
      <c r="H189" s="5" t="s">
        <v>78</v>
      </c>
    </row>
    <row r="190" spans="1:8" x14ac:dyDescent="0.25">
      <c r="A190" s="5" t="s">
        <v>51</v>
      </c>
      <c r="E190" t="s">
        <v>14</v>
      </c>
      <c r="F190">
        <v>1</v>
      </c>
      <c r="H190" s="5" t="s">
        <v>78</v>
      </c>
    </row>
    <row r="191" spans="1:8" x14ac:dyDescent="0.25">
      <c r="A191" s="5" t="s">
        <v>52</v>
      </c>
      <c r="E191" t="s">
        <v>14</v>
      </c>
      <c r="F191">
        <v>1</v>
      </c>
      <c r="H191" s="5" t="s">
        <v>78</v>
      </c>
    </row>
    <row r="192" spans="1:8" x14ac:dyDescent="0.25">
      <c r="A192" s="5" t="s">
        <v>53</v>
      </c>
      <c r="E192" t="s">
        <v>14</v>
      </c>
      <c r="F192">
        <v>1</v>
      </c>
      <c r="H192" s="5" t="s">
        <v>78</v>
      </c>
    </row>
    <row r="193" spans="1:8" x14ac:dyDescent="0.25">
      <c r="A193" s="5" t="s">
        <v>54</v>
      </c>
      <c r="E193" t="s">
        <v>14</v>
      </c>
      <c r="F193">
        <v>1</v>
      </c>
      <c r="H193" s="5" t="s">
        <v>78</v>
      </c>
    </row>
    <row r="194" spans="1:8" x14ac:dyDescent="0.25">
      <c r="A194" s="5" t="s">
        <v>55</v>
      </c>
      <c r="E194" t="s">
        <v>14</v>
      </c>
      <c r="F194">
        <v>1</v>
      </c>
      <c r="H194" s="5" t="s">
        <v>78</v>
      </c>
    </row>
    <row r="195" spans="1:8" x14ac:dyDescent="0.25">
      <c r="A195" s="5" t="s">
        <v>56</v>
      </c>
      <c r="E195" t="s">
        <v>14</v>
      </c>
      <c r="F195">
        <v>1</v>
      </c>
      <c r="H195" s="5" t="s">
        <v>78</v>
      </c>
    </row>
    <row r="196" spans="1:8" x14ac:dyDescent="0.25">
      <c r="A196" s="5" t="s">
        <v>57</v>
      </c>
      <c r="E196" t="s">
        <v>14</v>
      </c>
      <c r="F196">
        <v>1</v>
      </c>
      <c r="H196" s="5" t="s">
        <v>78</v>
      </c>
    </row>
    <row r="197" spans="1:8" x14ac:dyDescent="0.25">
      <c r="A197" s="5" t="s">
        <v>58</v>
      </c>
      <c r="E197" t="s">
        <v>14</v>
      </c>
      <c r="F197">
        <v>1</v>
      </c>
      <c r="H197" s="5" t="s">
        <v>78</v>
      </c>
    </row>
    <row r="198" spans="1:8" x14ac:dyDescent="0.25">
      <c r="A198" s="5" t="s">
        <v>59</v>
      </c>
      <c r="E198" t="s">
        <v>14</v>
      </c>
      <c r="F198">
        <v>1</v>
      </c>
      <c r="H198" s="5" t="s">
        <v>78</v>
      </c>
    </row>
    <row r="199" spans="1:8" x14ac:dyDescent="0.25">
      <c r="A199" s="5" t="s">
        <v>60</v>
      </c>
      <c r="E199" t="s">
        <v>14</v>
      </c>
      <c r="F199">
        <v>1</v>
      </c>
      <c r="H199" s="5" t="s">
        <v>78</v>
      </c>
    </row>
    <row r="200" spans="1:8" x14ac:dyDescent="0.25">
      <c r="A200" s="5" t="s">
        <v>61</v>
      </c>
      <c r="E200" t="s">
        <v>14</v>
      </c>
      <c r="F200">
        <v>1</v>
      </c>
      <c r="H200" s="5" t="s">
        <v>78</v>
      </c>
    </row>
    <row r="201" spans="1:8" x14ac:dyDescent="0.25">
      <c r="A201" s="5" t="s">
        <v>62</v>
      </c>
      <c r="E201" t="s">
        <v>14</v>
      </c>
      <c r="F201">
        <v>1</v>
      </c>
      <c r="H201" s="5" t="s">
        <v>78</v>
      </c>
    </row>
    <row r="202" spans="1:8" x14ac:dyDescent="0.25">
      <c r="A202" s="5" t="s">
        <v>63</v>
      </c>
      <c r="E202" t="s">
        <v>14</v>
      </c>
      <c r="F202">
        <v>1</v>
      </c>
      <c r="H202" s="5" t="s">
        <v>78</v>
      </c>
    </row>
    <row r="203" spans="1:8" x14ac:dyDescent="0.25">
      <c r="A203" s="5" t="s">
        <v>64</v>
      </c>
      <c r="E203" t="s">
        <v>14</v>
      </c>
      <c r="F203">
        <v>1</v>
      </c>
      <c r="H203" s="5" t="s">
        <v>78</v>
      </c>
    </row>
    <row r="204" spans="1:8" x14ac:dyDescent="0.25">
      <c r="A204" s="5" t="s">
        <v>65</v>
      </c>
      <c r="E204" t="s">
        <v>14</v>
      </c>
      <c r="F204">
        <v>1</v>
      </c>
      <c r="H204" s="5" t="s">
        <v>78</v>
      </c>
    </row>
    <row r="205" spans="1:8" x14ac:dyDescent="0.25">
      <c r="A205" s="5" t="s">
        <v>66</v>
      </c>
      <c r="E205" t="s">
        <v>14</v>
      </c>
      <c r="F205">
        <v>1</v>
      </c>
      <c r="H205" s="5" t="s">
        <v>78</v>
      </c>
    </row>
    <row r="206" spans="1:8" x14ac:dyDescent="0.25">
      <c r="A206" s="5" t="s">
        <v>67</v>
      </c>
      <c r="E206" t="s">
        <v>14</v>
      </c>
      <c r="F206">
        <v>1</v>
      </c>
      <c r="H206" s="5" t="s">
        <v>78</v>
      </c>
    </row>
    <row r="207" spans="1:8" x14ac:dyDescent="0.25">
      <c r="A207" s="5" t="s">
        <v>68</v>
      </c>
      <c r="E207" t="s">
        <v>14</v>
      </c>
      <c r="F207">
        <v>1</v>
      </c>
      <c r="H207" s="5" t="s">
        <v>78</v>
      </c>
    </row>
    <row r="208" spans="1:8" x14ac:dyDescent="0.25">
      <c r="A208" s="5" t="s">
        <v>69</v>
      </c>
      <c r="E208" t="s">
        <v>14</v>
      </c>
      <c r="F208">
        <v>1</v>
      </c>
      <c r="H208" s="5" t="s">
        <v>78</v>
      </c>
    </row>
    <row r="209" spans="1:8" x14ac:dyDescent="0.25">
      <c r="A209" s="5" t="s">
        <v>70</v>
      </c>
      <c r="E209" t="s">
        <v>14</v>
      </c>
      <c r="F209">
        <v>1</v>
      </c>
      <c r="H209" s="5" t="s">
        <v>78</v>
      </c>
    </row>
    <row r="210" spans="1:8" x14ac:dyDescent="0.25">
      <c r="A210" s="5" t="s">
        <v>71</v>
      </c>
      <c r="E210" t="s">
        <v>14</v>
      </c>
      <c r="F210">
        <v>1</v>
      </c>
      <c r="H210" s="5" t="s">
        <v>78</v>
      </c>
    </row>
    <row r="211" spans="1:8" x14ac:dyDescent="0.25">
      <c r="A211" s="5" t="s">
        <v>72</v>
      </c>
      <c r="E211" t="s">
        <v>14</v>
      </c>
      <c r="F211">
        <v>1</v>
      </c>
      <c r="H211" s="5" t="s">
        <v>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topLeftCell="A11" workbookViewId="0">
      <selection activeCell="B37" activeCellId="1" sqref="B36 B37"/>
    </sheetView>
  </sheetViews>
  <sheetFormatPr defaultRowHeight="15" x14ac:dyDescent="0.25"/>
  <sheetData>
    <row r="1" spans="1:2" x14ac:dyDescent="0.25">
      <c r="A1" t="s">
        <v>6</v>
      </c>
      <c r="B1" t="s">
        <v>104</v>
      </c>
    </row>
    <row r="2" spans="1:2" x14ac:dyDescent="0.25">
      <c r="A2">
        <v>111</v>
      </c>
      <c r="B2" t="s">
        <v>96</v>
      </c>
    </row>
    <row r="3" spans="1:2" x14ac:dyDescent="0.25">
      <c r="A3">
        <v>112</v>
      </c>
      <c r="B3" t="s">
        <v>96</v>
      </c>
    </row>
    <row r="4" spans="1:2" x14ac:dyDescent="0.25">
      <c r="A4">
        <v>311</v>
      </c>
      <c r="B4" t="s">
        <v>96</v>
      </c>
    </row>
    <row r="5" spans="1:2" x14ac:dyDescent="0.25">
      <c r="A5">
        <v>312</v>
      </c>
      <c r="B5" t="s">
        <v>96</v>
      </c>
    </row>
    <row r="6" spans="1:2" x14ac:dyDescent="0.25">
      <c r="A6">
        <v>321</v>
      </c>
      <c r="B6" t="s">
        <v>96</v>
      </c>
    </row>
    <row r="7" spans="1:2" x14ac:dyDescent="0.25">
      <c r="A7">
        <v>322</v>
      </c>
      <c r="B7" t="s">
        <v>96</v>
      </c>
    </row>
    <row r="8" spans="1:2" x14ac:dyDescent="0.25">
      <c r="A8">
        <v>411</v>
      </c>
      <c r="B8" t="s">
        <v>96</v>
      </c>
    </row>
    <row r="9" spans="1:2" x14ac:dyDescent="0.25">
      <c r="A9">
        <v>421</v>
      </c>
      <c r="B9" t="s">
        <v>96</v>
      </c>
    </row>
    <row r="10" spans="1:2" x14ac:dyDescent="0.25">
      <c r="A10">
        <v>422</v>
      </c>
      <c r="B10" t="s">
        <v>96</v>
      </c>
    </row>
    <row r="11" spans="1:2" x14ac:dyDescent="0.25">
      <c r="A11">
        <v>431</v>
      </c>
      <c r="B11" t="s">
        <v>96</v>
      </c>
    </row>
    <row r="12" spans="1:2" x14ac:dyDescent="0.25">
      <c r="A12">
        <v>511</v>
      </c>
      <c r="B12" t="s">
        <v>97</v>
      </c>
    </row>
    <row r="13" spans="1:2" x14ac:dyDescent="0.25">
      <c r="A13">
        <v>512</v>
      </c>
      <c r="B13" t="s">
        <v>97</v>
      </c>
    </row>
    <row r="14" spans="1:2" x14ac:dyDescent="0.25">
      <c r="A14">
        <v>513</v>
      </c>
      <c r="B14" t="s">
        <v>98</v>
      </c>
    </row>
    <row r="15" spans="1:2" x14ac:dyDescent="0.25">
      <c r="A15">
        <v>514</v>
      </c>
      <c r="B15" t="s">
        <v>98</v>
      </c>
    </row>
    <row r="16" spans="1:2" x14ac:dyDescent="0.25">
      <c r="A16">
        <v>515</v>
      </c>
      <c r="B16" t="s">
        <v>98</v>
      </c>
    </row>
    <row r="17" spans="1:2" x14ac:dyDescent="0.25">
      <c r="A17">
        <v>521</v>
      </c>
      <c r="B17" t="s">
        <v>99</v>
      </c>
    </row>
    <row r="18" spans="1:2" x14ac:dyDescent="0.25">
      <c r="A18">
        <v>611</v>
      </c>
      <c r="B18" t="s">
        <v>97</v>
      </c>
    </row>
    <row r="19" spans="1:2" x14ac:dyDescent="0.25">
      <c r="A19">
        <v>612</v>
      </c>
      <c r="B19" t="s">
        <v>97</v>
      </c>
    </row>
    <row r="20" spans="1:2" x14ac:dyDescent="0.25">
      <c r="A20">
        <v>621</v>
      </c>
      <c r="B20" t="s">
        <v>97</v>
      </c>
    </row>
    <row r="21" spans="1:2" x14ac:dyDescent="0.25">
      <c r="A21">
        <v>622</v>
      </c>
      <c r="B21" t="s">
        <v>97</v>
      </c>
    </row>
    <row r="22" spans="1:2" x14ac:dyDescent="0.25">
      <c r="A22">
        <v>711</v>
      </c>
      <c r="B22" t="s">
        <v>97</v>
      </c>
    </row>
    <row r="23" spans="1:2" x14ac:dyDescent="0.25">
      <c r="A23">
        <v>731</v>
      </c>
      <c r="B23" t="s">
        <v>97</v>
      </c>
    </row>
    <row r="24" spans="1:2" x14ac:dyDescent="0.25">
      <c r="A24">
        <v>811</v>
      </c>
      <c r="B24" t="s">
        <v>100</v>
      </c>
    </row>
    <row r="25" spans="1:2" x14ac:dyDescent="0.25">
      <c r="A25">
        <v>812</v>
      </c>
      <c r="B25" t="s">
        <v>100</v>
      </c>
    </row>
    <row r="26" spans="1:2" x14ac:dyDescent="0.25">
      <c r="A26">
        <v>813</v>
      </c>
      <c r="B26" t="s">
        <v>97</v>
      </c>
    </row>
    <row r="27" spans="1:2" x14ac:dyDescent="0.25">
      <c r="A27">
        <v>814</v>
      </c>
      <c r="B27" t="s">
        <v>97</v>
      </c>
    </row>
    <row r="28" spans="1:2" x14ac:dyDescent="0.25">
      <c r="A28">
        <v>821</v>
      </c>
      <c r="B28" t="s">
        <v>97</v>
      </c>
    </row>
    <row r="29" spans="1:2" x14ac:dyDescent="0.25">
      <c r="A29">
        <v>831</v>
      </c>
      <c r="B29" t="s">
        <v>97</v>
      </c>
    </row>
    <row r="30" spans="1:2" x14ac:dyDescent="0.25">
      <c r="A30">
        <v>911</v>
      </c>
      <c r="B30" t="s">
        <v>100</v>
      </c>
    </row>
    <row r="31" spans="1:2" x14ac:dyDescent="0.25">
      <c r="A31">
        <v>912</v>
      </c>
      <c r="B31" t="s">
        <v>100</v>
      </c>
    </row>
    <row r="32" spans="1:2" x14ac:dyDescent="0.25">
      <c r="A32">
        <v>913</v>
      </c>
      <c r="B32" t="s">
        <v>100</v>
      </c>
    </row>
    <row r="33" spans="1:2" x14ac:dyDescent="0.25">
      <c r="A33">
        <v>1011</v>
      </c>
      <c r="B33" t="s">
        <v>100</v>
      </c>
    </row>
    <row r="34" spans="1:2" x14ac:dyDescent="0.25">
      <c r="A34">
        <v>1111</v>
      </c>
      <c r="B34" t="s">
        <v>100</v>
      </c>
    </row>
    <row r="35" spans="1:2" x14ac:dyDescent="0.25">
      <c r="A35">
        <v>1112</v>
      </c>
      <c r="B35" t="s">
        <v>100</v>
      </c>
    </row>
    <row r="36" spans="1:2" x14ac:dyDescent="0.25">
      <c r="A36">
        <v>1121</v>
      </c>
      <c r="B36" t="s">
        <v>101</v>
      </c>
    </row>
    <row r="37" spans="1:2" x14ac:dyDescent="0.25">
      <c r="A37">
        <v>1122</v>
      </c>
      <c r="B37" t="s">
        <v>100</v>
      </c>
    </row>
    <row r="38" spans="1:2" x14ac:dyDescent="0.25">
      <c r="A38">
        <v>1123</v>
      </c>
      <c r="B38" t="s">
        <v>101</v>
      </c>
    </row>
    <row r="39" spans="1:2" x14ac:dyDescent="0.25">
      <c r="A39">
        <v>1124</v>
      </c>
      <c r="B39" t="s">
        <v>97</v>
      </c>
    </row>
    <row r="40" spans="1:2" x14ac:dyDescent="0.25">
      <c r="A40">
        <v>1131</v>
      </c>
      <c r="B40" t="s">
        <v>97</v>
      </c>
    </row>
    <row r="41" spans="1:2" x14ac:dyDescent="0.25">
      <c r="A41">
        <v>1211</v>
      </c>
      <c r="B41" t="s">
        <v>101</v>
      </c>
    </row>
    <row r="42" spans="1:2" x14ac:dyDescent="0.25">
      <c r="A42">
        <v>1212</v>
      </c>
      <c r="B42" t="s">
        <v>101</v>
      </c>
    </row>
    <row r="43" spans="1:2" x14ac:dyDescent="0.25">
      <c r="A43">
        <v>1213</v>
      </c>
      <c r="B43" t="s">
        <v>100</v>
      </c>
    </row>
    <row r="44" spans="1:2" x14ac:dyDescent="0.25">
      <c r="A44">
        <v>1214</v>
      </c>
      <c r="B44" t="s">
        <v>101</v>
      </c>
    </row>
    <row r="45" spans="1:2" x14ac:dyDescent="0.25">
      <c r="A45">
        <v>1215</v>
      </c>
      <c r="B45" t="s">
        <v>100</v>
      </c>
    </row>
    <row r="46" spans="1:2" x14ac:dyDescent="0.25">
      <c r="A46">
        <v>1216</v>
      </c>
      <c r="B46" t="s">
        <v>101</v>
      </c>
    </row>
    <row r="47" spans="1:2" x14ac:dyDescent="0.25">
      <c r="A47">
        <v>1221</v>
      </c>
      <c r="B47" t="s">
        <v>97</v>
      </c>
    </row>
    <row r="48" spans="1:2" x14ac:dyDescent="0.25">
      <c r="A48">
        <v>1222</v>
      </c>
      <c r="B48" t="s">
        <v>101</v>
      </c>
    </row>
    <row r="49" spans="1:2" x14ac:dyDescent="0.25">
      <c r="A49">
        <v>1311</v>
      </c>
      <c r="B49" t="s">
        <v>101</v>
      </c>
    </row>
    <row r="50" spans="1:2" x14ac:dyDescent="0.25">
      <c r="A50">
        <v>1321</v>
      </c>
      <c r="B50" t="s">
        <v>101</v>
      </c>
    </row>
    <row r="51" spans="1:2" x14ac:dyDescent="0.25">
      <c r="A51">
        <v>1322</v>
      </c>
      <c r="B51" t="s">
        <v>97</v>
      </c>
    </row>
    <row r="52" spans="1:2" x14ac:dyDescent="0.25">
      <c r="A52">
        <v>1331</v>
      </c>
      <c r="B52" t="s">
        <v>97</v>
      </c>
    </row>
    <row r="53" spans="1:2" x14ac:dyDescent="0.25">
      <c r="A53">
        <v>1411</v>
      </c>
      <c r="B53" t="s">
        <v>97</v>
      </c>
    </row>
    <row r="54" spans="1:2" x14ac:dyDescent="0.25">
      <c r="A54">
        <v>1412</v>
      </c>
      <c r="B54" t="s">
        <v>97</v>
      </c>
    </row>
    <row r="55" spans="1:2" x14ac:dyDescent="0.25">
      <c r="A55">
        <v>1421</v>
      </c>
      <c r="B55" t="s">
        <v>97</v>
      </c>
    </row>
    <row r="56" spans="1:2" x14ac:dyDescent="0.25">
      <c r="A56">
        <v>1511</v>
      </c>
      <c r="B56" t="s">
        <v>97</v>
      </c>
    </row>
    <row r="57" spans="1:2" x14ac:dyDescent="0.25">
      <c r="A57">
        <v>1512</v>
      </c>
      <c r="B57" t="s">
        <v>98</v>
      </c>
    </row>
    <row r="58" spans="1:2" x14ac:dyDescent="0.25">
      <c r="A58">
        <v>1521</v>
      </c>
      <c r="B58" t="s">
        <v>97</v>
      </c>
    </row>
    <row r="59" spans="1:2" x14ac:dyDescent="0.25">
      <c r="A59">
        <v>1522</v>
      </c>
      <c r="B59" t="s">
        <v>97</v>
      </c>
    </row>
    <row r="60" spans="1:2" x14ac:dyDescent="0.25">
      <c r="A60">
        <v>1611</v>
      </c>
      <c r="B60" t="s">
        <v>97</v>
      </c>
    </row>
    <row r="61" spans="1:2" x14ac:dyDescent="0.25">
      <c r="A61">
        <v>1612</v>
      </c>
      <c r="B61" t="s">
        <v>98</v>
      </c>
    </row>
    <row r="62" spans="1:2" x14ac:dyDescent="0.25">
      <c r="A62">
        <v>1613</v>
      </c>
      <c r="B62" t="s">
        <v>98</v>
      </c>
    </row>
    <row r="63" spans="1:2" x14ac:dyDescent="0.25">
      <c r="A63">
        <v>1614</v>
      </c>
      <c r="B63" t="s">
        <v>98</v>
      </c>
    </row>
    <row r="64" spans="1:2" x14ac:dyDescent="0.25">
      <c r="A64">
        <v>1615</v>
      </c>
      <c r="B64" t="s">
        <v>98</v>
      </c>
    </row>
    <row r="65" spans="1:2" x14ac:dyDescent="0.25">
      <c r="A65">
        <v>1616</v>
      </c>
      <c r="B65" t="s">
        <v>98</v>
      </c>
    </row>
    <row r="66" spans="1:2" x14ac:dyDescent="0.25">
      <c r="A66">
        <v>1617</v>
      </c>
      <c r="B66" t="s">
        <v>99</v>
      </c>
    </row>
    <row r="67" spans="1:2" x14ac:dyDescent="0.25">
      <c r="A67">
        <v>1621</v>
      </c>
      <c r="B67" t="s">
        <v>98</v>
      </c>
    </row>
    <row r="68" spans="1:2" x14ac:dyDescent="0.25">
      <c r="A68">
        <v>1622</v>
      </c>
      <c r="B68" t="s">
        <v>98</v>
      </c>
    </row>
    <row r="69" spans="1:2" x14ac:dyDescent="0.25">
      <c r="A69">
        <v>1623</v>
      </c>
      <c r="B69" t="s">
        <v>98</v>
      </c>
    </row>
    <row r="70" spans="1:2" x14ac:dyDescent="0.25">
      <c r="A70">
        <v>1711</v>
      </c>
      <c r="B70" t="s">
        <v>96</v>
      </c>
    </row>
    <row r="71" spans="1:2" x14ac:dyDescent="0.25">
      <c r="A71">
        <v>1712</v>
      </c>
      <c r="B71" t="s">
        <v>96</v>
      </c>
    </row>
    <row r="72" spans="1:2" x14ac:dyDescent="0.25">
      <c r="A72">
        <v>1713</v>
      </c>
      <c r="B72" t="s">
        <v>99</v>
      </c>
    </row>
    <row r="73" spans="1:2" x14ac:dyDescent="0.25">
      <c r="A73">
        <v>1721</v>
      </c>
      <c r="B73" t="s">
        <v>99</v>
      </c>
    </row>
    <row r="74" spans="1:2" x14ac:dyDescent="0.25">
      <c r="A74">
        <v>1722</v>
      </c>
      <c r="B74" t="s">
        <v>96</v>
      </c>
    </row>
    <row r="75" spans="1:2" x14ac:dyDescent="0.25">
      <c r="A75">
        <v>1723</v>
      </c>
      <c r="B75" t="s">
        <v>99</v>
      </c>
    </row>
    <row r="76" spans="1:2" x14ac:dyDescent="0.25">
      <c r="A76">
        <v>1724</v>
      </c>
      <c r="B76" t="s">
        <v>102</v>
      </c>
    </row>
    <row r="77" spans="1:2" x14ac:dyDescent="0.25">
      <c r="A77">
        <v>1811</v>
      </c>
      <c r="B77" t="s">
        <v>99</v>
      </c>
    </row>
    <row r="78" spans="1:2" x14ac:dyDescent="0.25">
      <c r="A78">
        <v>1812</v>
      </c>
      <c r="B78" t="s">
        <v>96</v>
      </c>
    </row>
    <row r="79" spans="1:2" x14ac:dyDescent="0.25">
      <c r="A79">
        <v>1813</v>
      </c>
      <c r="B79" t="s">
        <v>99</v>
      </c>
    </row>
    <row r="80" spans="1:2" x14ac:dyDescent="0.25">
      <c r="A80">
        <v>1821</v>
      </c>
      <c r="B80" t="s">
        <v>96</v>
      </c>
    </row>
    <row r="81" spans="1:2" x14ac:dyDescent="0.25">
      <c r="A81">
        <v>1911</v>
      </c>
      <c r="B81" t="s">
        <v>96</v>
      </c>
    </row>
    <row r="82" spans="1:2" x14ac:dyDescent="0.25">
      <c r="A82">
        <v>1912</v>
      </c>
      <c r="B82" t="s">
        <v>96</v>
      </c>
    </row>
    <row r="83" spans="1:2" x14ac:dyDescent="0.25">
      <c r="A83">
        <v>1921</v>
      </c>
      <c r="B83" t="s">
        <v>96</v>
      </c>
    </row>
    <row r="84" spans="1:2" x14ac:dyDescent="0.25">
      <c r="A84">
        <v>1922</v>
      </c>
      <c r="B84" t="s">
        <v>96</v>
      </c>
    </row>
    <row r="85" spans="1:2" x14ac:dyDescent="0.25">
      <c r="A85">
        <v>2011</v>
      </c>
      <c r="B85" t="s">
        <v>99</v>
      </c>
    </row>
    <row r="86" spans="1:2" x14ac:dyDescent="0.25">
      <c r="A86">
        <v>2012</v>
      </c>
      <c r="B86" t="s">
        <v>102</v>
      </c>
    </row>
    <row r="87" spans="1:2" x14ac:dyDescent="0.25">
      <c r="A87">
        <v>2019</v>
      </c>
      <c r="B87" t="s">
        <v>103</v>
      </c>
    </row>
    <row r="88" spans="1:2" x14ac:dyDescent="0.25">
      <c r="A88">
        <v>2111</v>
      </c>
      <c r="B88" t="s">
        <v>102</v>
      </c>
    </row>
    <row r="89" spans="1:2" x14ac:dyDescent="0.25">
      <c r="A89">
        <v>2121</v>
      </c>
      <c r="B89" t="s">
        <v>99</v>
      </c>
    </row>
    <row r="90" spans="1:2" x14ac:dyDescent="0.25">
      <c r="A90">
        <v>2122</v>
      </c>
      <c r="B90" t="s">
        <v>99</v>
      </c>
    </row>
    <row r="91" spans="1:2" x14ac:dyDescent="0.25">
      <c r="A91">
        <v>2211</v>
      </c>
      <c r="B91" t="s">
        <v>102</v>
      </c>
    </row>
    <row r="92" spans="1:2" x14ac:dyDescent="0.25">
      <c r="A92">
        <v>2212</v>
      </c>
      <c r="B92" t="s">
        <v>102</v>
      </c>
    </row>
    <row r="93" spans="1:2" x14ac:dyDescent="0.25">
      <c r="A93">
        <v>2221</v>
      </c>
      <c r="B93" t="s">
        <v>102</v>
      </c>
    </row>
    <row r="94" spans="1:2" x14ac:dyDescent="0.25">
      <c r="A94">
        <v>2311</v>
      </c>
      <c r="B94" t="s">
        <v>102</v>
      </c>
    </row>
    <row r="95" spans="1:2" x14ac:dyDescent="0.25">
      <c r="A95">
        <v>2312</v>
      </c>
      <c r="B95" t="s">
        <v>102</v>
      </c>
    </row>
    <row r="96" spans="1:2" x14ac:dyDescent="0.25">
      <c r="A96">
        <v>2319</v>
      </c>
      <c r="B96" t="s">
        <v>103</v>
      </c>
    </row>
    <row r="97" spans="1:2" x14ac:dyDescent="0.25">
      <c r="A97">
        <v>2331</v>
      </c>
      <c r="B97" t="s">
        <v>103</v>
      </c>
    </row>
    <row r="98" spans="1:2" x14ac:dyDescent="0.25">
      <c r="A98">
        <v>2411</v>
      </c>
      <c r="B98" t="s">
        <v>103</v>
      </c>
    </row>
    <row r="99" spans="1:2" x14ac:dyDescent="0.25">
      <c r="A99">
        <v>2412</v>
      </c>
      <c r="B99" t="s">
        <v>103</v>
      </c>
    </row>
    <row r="100" spans="1:2" x14ac:dyDescent="0.25">
      <c r="A100">
        <v>2413</v>
      </c>
      <c r="B100" t="s">
        <v>103</v>
      </c>
    </row>
    <row r="101" spans="1:2" x14ac:dyDescent="0.25">
      <c r="A101">
        <v>2414</v>
      </c>
      <c r="B101" t="s">
        <v>103</v>
      </c>
    </row>
    <row r="102" spans="1:2" x14ac:dyDescent="0.25">
      <c r="A102">
        <v>2415</v>
      </c>
      <c r="B102" t="s">
        <v>103</v>
      </c>
    </row>
    <row r="103" spans="1:2" x14ac:dyDescent="0.25">
      <c r="A103">
        <v>2419</v>
      </c>
      <c r="B103" t="s">
        <v>103</v>
      </c>
    </row>
    <row r="104" spans="1:2" x14ac:dyDescent="0.25">
      <c r="A104">
        <v>2511</v>
      </c>
      <c r="B104" t="s">
        <v>103</v>
      </c>
    </row>
    <row r="105" spans="1:2" x14ac:dyDescent="0.25">
      <c r="A105">
        <v>2512</v>
      </c>
      <c r="B105" t="s">
        <v>103</v>
      </c>
    </row>
    <row r="106" spans="1:2" x14ac:dyDescent="0.25">
      <c r="A106">
        <v>2519</v>
      </c>
      <c r="B106" t="s">
        <v>103</v>
      </c>
    </row>
    <row r="107" spans="1:2" x14ac:dyDescent="0.25">
      <c r="A107">
        <v>2521</v>
      </c>
      <c r="B10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2023-05-23T19:48:15Z</dcterms:modified>
</cp:coreProperties>
</file>