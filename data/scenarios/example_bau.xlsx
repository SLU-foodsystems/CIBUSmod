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3" activeTab="4"/>
  </bookViews>
  <sheets>
    <sheet name="Regions" sheetId="1" r:id="rId1"/>
    <sheet name="DemandAndConversions" sheetId="2" r:id="rId2"/>
    <sheet name="CropProduction" sheetId="3" r:id="rId3"/>
    <sheet name="CattleHerd" sheetId="4" r:id="rId4"/>
    <sheet name="PigHerd" sheetId="5" r:id="rId5"/>
    <sheet name="BroilerHerd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" i="4" l="1"/>
  <c r="I10" i="4"/>
  <c r="I9" i="4"/>
  <c r="I8" i="4"/>
  <c r="I7" i="4"/>
  <c r="I6" i="4"/>
  <c r="I2" i="2" l="1"/>
  <c r="H2" i="2"/>
  <c r="G2" i="2"/>
  <c r="F2" i="2"/>
  <c r="E2" i="2"/>
  <c r="D2" i="2"/>
</calcChain>
</file>

<file path=xl/sharedStrings.xml><?xml version="1.0" encoding="utf-8"?>
<sst xmlns="http://schemas.openxmlformats.org/spreadsheetml/2006/main" count="216" uniqueCount="50">
  <si>
    <t>parameter</t>
  </si>
  <si>
    <t>val_is</t>
  </si>
  <si>
    <t>y_2020</t>
  </si>
  <si>
    <t>y_2025</t>
  </si>
  <si>
    <t>y_2030</t>
  </si>
  <si>
    <t>y_2035</t>
  </si>
  <si>
    <t>y_2040</t>
  </si>
  <si>
    <t>y_2045</t>
  </si>
  <si>
    <t>y_2050</t>
  </si>
  <si>
    <t>population</t>
  </si>
  <si>
    <t>rel</t>
  </si>
  <si>
    <t>f_land_use</t>
  </si>
  <si>
    <t>cropland</t>
  </si>
  <si>
    <t>max_land_use_factor</t>
  </si>
  <si>
    <t>yield</t>
  </si>
  <si>
    <t>f_crop</t>
  </si>
  <si>
    <t>f_prod_system</t>
  </si>
  <si>
    <t>conventional</t>
  </si>
  <si>
    <t>Wheat, winter</t>
  </si>
  <si>
    <t>Wheat, spring</t>
  </si>
  <si>
    <t>Rye</t>
  </si>
  <si>
    <t>Barley, winter</t>
  </si>
  <si>
    <t>Barley, spring</t>
  </si>
  <si>
    <t>Oats</t>
  </si>
  <si>
    <t>Peas, dry</t>
  </si>
  <si>
    <t>Broad beans and horse beans, dry</t>
  </si>
  <si>
    <t>Beans, dry</t>
  </si>
  <si>
    <t>Apples</t>
  </si>
  <si>
    <t>Potatoes, table</t>
  </si>
  <si>
    <t>Potatoes, starch</t>
  </si>
  <si>
    <t>Sugar beet</t>
  </si>
  <si>
    <t>Rapeseed, winter</t>
  </si>
  <si>
    <t>Rapeseed, spring</t>
  </si>
  <si>
    <t>f_crop_group:crop</t>
  </si>
  <si>
    <t>Vegetables</t>
  </si>
  <si>
    <t>Vegetables, greenhouse</t>
  </si>
  <si>
    <t>organic</t>
  </si>
  <si>
    <t>f_breed</t>
  </si>
  <si>
    <t>f_from_ps</t>
  </si>
  <si>
    <t>f_to_ps</t>
  </si>
  <si>
    <t>f_animal</t>
  </si>
  <si>
    <t>milk_prod</t>
  </si>
  <si>
    <t>heifers</t>
  </si>
  <si>
    <t>live_weight_slaughter</t>
  </si>
  <si>
    <t>steers</t>
  </si>
  <si>
    <t>bulls</t>
  </si>
  <si>
    <t>slaughter_weight</t>
  </si>
  <si>
    <t>finishing pigs</t>
  </si>
  <si>
    <t>broilers</t>
  </si>
  <si>
    <t>feed_conversion_ratio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</si>
</sst>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Font="1"/>
    <xf numFmtId="2" fontId="0" fillId="0" borderId="0" xfId="0" applyNumberFormat="1"/>
    <xf numFmtId="0" fontId="2" fillId="0" borderId="0" xfId="0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selection activeCell="G8" sqref="G8"/>
    </sheetView>
  </sheetViews>
  <sheetFormatPr defaultRowHeight="15" x14ac:dyDescent="0.25"/>
  <cols>
    <col min="1" max="1" width="10.7109375" bestFit="1" customWidth="1"/>
    <col min="2" max="2" width="20.140625" bestFit="1" customWidth="1"/>
    <col min="3" max="3" width="6" bestFit="1" customWidth="1"/>
    <col min="4" max="5" width="7" bestFit="1" customWidth="1"/>
  </cols>
  <sheetData>
    <row r="1" spans="1:5" x14ac:dyDescent="0.25">
      <c r="A1" s="1" t="s">
        <v>11</v>
      </c>
      <c r="B1" s="1" t="s">
        <v>0</v>
      </c>
      <c r="C1" s="1" t="s">
        <v>1</v>
      </c>
      <c r="D1" s="1" t="s">
        <v>2</v>
      </c>
      <c r="E1" s="1" t="s">
        <v>8</v>
      </c>
    </row>
    <row r="2" spans="1:5" x14ac:dyDescent="0.25">
      <c r="A2" t="s">
        <v>12</v>
      </c>
      <c r="B2" t="s">
        <v>13</v>
      </c>
      <c r="C2" t="s">
        <v>10</v>
      </c>
      <c r="D2">
        <v>1</v>
      </c>
      <c r="E2">
        <v>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H23" sqref="H23"/>
    </sheetView>
  </sheetViews>
  <sheetFormatPr defaultRowHeight="15" x14ac:dyDescent="0.25"/>
  <cols>
    <col min="1" max="1" width="10.7109375" bestFit="1" customWidth="1"/>
    <col min="2" max="2" width="6" bestFit="1" customWidth="1"/>
    <col min="3" max="3" width="7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s="2" t="s">
        <v>10</v>
      </c>
      <c r="C2" s="2">
        <v>1</v>
      </c>
      <c r="D2" s="3">
        <f>10642196/(5222847+5156448)</f>
        <v>1.0253293696729884</v>
      </c>
      <c r="E2" s="3">
        <f>10884214/(5222847+5156448)</f>
        <v>1.048646752982741</v>
      </c>
      <c r="F2" s="3">
        <f>11101837/(5222847+5156448)</f>
        <v>1.0696137839805111</v>
      </c>
      <c r="G2" s="3">
        <f>11328285/(5222847+5156448)</f>
        <v>1.0914310654047312</v>
      </c>
      <c r="H2" s="3">
        <f>11557052/(5222847+5156448)</f>
        <v>1.1134717724084342</v>
      </c>
      <c r="I2" s="3">
        <f>11761182/(5222847+5156448)</f>
        <v>1.1331388114510668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topLeftCell="A16" workbookViewId="0">
      <selection activeCell="I35" sqref="I35"/>
    </sheetView>
  </sheetViews>
  <sheetFormatPr defaultRowHeight="15" x14ac:dyDescent="0.25"/>
  <cols>
    <col min="1" max="1" width="23" bestFit="1" customWidth="1"/>
    <col min="2" max="2" width="18.42578125" bestFit="1" customWidth="1"/>
    <col min="3" max="3" width="18.42578125" customWidth="1"/>
    <col min="4" max="4" width="10.28515625" bestFit="1" customWidth="1"/>
  </cols>
  <sheetData>
    <row r="1" spans="1:7" x14ac:dyDescent="0.25">
      <c r="A1" s="1" t="s">
        <v>33</v>
      </c>
      <c r="B1" s="1" t="s">
        <v>15</v>
      </c>
      <c r="C1" s="1" t="s">
        <v>16</v>
      </c>
      <c r="D1" s="1" t="s">
        <v>0</v>
      </c>
      <c r="E1" s="1" t="s">
        <v>1</v>
      </c>
      <c r="F1" s="1" t="s">
        <v>2</v>
      </c>
      <c r="G1" s="1" t="s">
        <v>8</v>
      </c>
    </row>
    <row r="2" spans="1:7" x14ac:dyDescent="0.25">
      <c r="B2" t="s">
        <v>18</v>
      </c>
      <c r="C2" t="s">
        <v>17</v>
      </c>
      <c r="D2" t="s">
        <v>14</v>
      </c>
      <c r="E2" t="s">
        <v>10</v>
      </c>
      <c r="F2">
        <v>1</v>
      </c>
      <c r="G2" s="3">
        <v>1.37</v>
      </c>
    </row>
    <row r="3" spans="1:7" x14ac:dyDescent="0.25">
      <c r="B3" t="s">
        <v>19</v>
      </c>
      <c r="C3" t="s">
        <v>17</v>
      </c>
      <c r="D3" t="s">
        <v>14</v>
      </c>
      <c r="E3" t="s">
        <v>10</v>
      </c>
      <c r="F3">
        <v>1</v>
      </c>
      <c r="G3" s="3">
        <v>1.37</v>
      </c>
    </row>
    <row r="4" spans="1:7" x14ac:dyDescent="0.25">
      <c r="B4" t="s">
        <v>20</v>
      </c>
      <c r="C4" t="s">
        <v>17</v>
      </c>
      <c r="D4" t="s">
        <v>14</v>
      </c>
      <c r="E4" t="s">
        <v>10</v>
      </c>
      <c r="F4">
        <v>1</v>
      </c>
      <c r="G4" s="3">
        <v>1.25</v>
      </c>
    </row>
    <row r="5" spans="1:7" x14ac:dyDescent="0.25">
      <c r="B5" t="s">
        <v>21</v>
      </c>
      <c r="C5" t="s">
        <v>17</v>
      </c>
      <c r="D5" t="s">
        <v>14</v>
      </c>
      <c r="E5" t="s">
        <v>10</v>
      </c>
      <c r="F5">
        <v>1</v>
      </c>
      <c r="G5" s="3">
        <v>1.2</v>
      </c>
    </row>
    <row r="6" spans="1:7" x14ac:dyDescent="0.25">
      <c r="B6" t="s">
        <v>22</v>
      </c>
      <c r="C6" t="s">
        <v>17</v>
      </c>
      <c r="D6" t="s">
        <v>14</v>
      </c>
      <c r="E6" t="s">
        <v>10</v>
      </c>
      <c r="F6">
        <v>1</v>
      </c>
      <c r="G6" s="3">
        <v>1.2</v>
      </c>
    </row>
    <row r="7" spans="1:7" x14ac:dyDescent="0.25">
      <c r="B7" t="s">
        <v>23</v>
      </c>
      <c r="C7" t="s">
        <v>17</v>
      </c>
      <c r="D7" t="s">
        <v>14</v>
      </c>
      <c r="E7" t="s">
        <v>10</v>
      </c>
      <c r="F7">
        <v>1</v>
      </c>
      <c r="G7" s="3">
        <v>1.25</v>
      </c>
    </row>
    <row r="8" spans="1:7" x14ac:dyDescent="0.25">
      <c r="B8" t="s">
        <v>24</v>
      </c>
      <c r="C8" t="s">
        <v>17</v>
      </c>
      <c r="D8" t="s">
        <v>14</v>
      </c>
      <c r="E8" t="s">
        <v>10</v>
      </c>
      <c r="F8">
        <v>1</v>
      </c>
      <c r="G8" s="3">
        <v>1.26</v>
      </c>
    </row>
    <row r="9" spans="1:7" x14ac:dyDescent="0.25">
      <c r="B9" t="s">
        <v>25</v>
      </c>
      <c r="C9" t="s">
        <v>17</v>
      </c>
      <c r="D9" t="s">
        <v>14</v>
      </c>
      <c r="E9" t="s">
        <v>10</v>
      </c>
      <c r="F9">
        <v>1</v>
      </c>
      <c r="G9" s="3">
        <v>1.26</v>
      </c>
    </row>
    <row r="10" spans="1:7" x14ac:dyDescent="0.25">
      <c r="B10" t="s">
        <v>26</v>
      </c>
      <c r="C10" t="s">
        <v>17</v>
      </c>
      <c r="D10" t="s">
        <v>14</v>
      </c>
      <c r="E10" t="s">
        <v>10</v>
      </c>
      <c r="F10">
        <v>1</v>
      </c>
      <c r="G10" s="3">
        <v>1</v>
      </c>
    </row>
    <row r="11" spans="1:7" x14ac:dyDescent="0.25">
      <c r="B11" t="s">
        <v>27</v>
      </c>
      <c r="C11" t="s">
        <v>17</v>
      </c>
      <c r="D11" t="s">
        <v>14</v>
      </c>
      <c r="E11" t="s">
        <v>10</v>
      </c>
      <c r="F11">
        <v>1</v>
      </c>
      <c r="G11" s="3">
        <v>1.1599999999999999</v>
      </c>
    </row>
    <row r="12" spans="1:7" x14ac:dyDescent="0.25">
      <c r="B12" t="s">
        <v>28</v>
      </c>
      <c r="C12" t="s">
        <v>17</v>
      </c>
      <c r="D12" t="s">
        <v>14</v>
      </c>
      <c r="E12" t="s">
        <v>10</v>
      </c>
      <c r="F12">
        <v>1</v>
      </c>
      <c r="G12" s="3">
        <v>1.22</v>
      </c>
    </row>
    <row r="13" spans="1:7" x14ac:dyDescent="0.25">
      <c r="B13" t="s">
        <v>29</v>
      </c>
      <c r="C13" t="s">
        <v>17</v>
      </c>
      <c r="D13" t="s">
        <v>14</v>
      </c>
      <c r="E13" t="s">
        <v>10</v>
      </c>
      <c r="F13">
        <v>1</v>
      </c>
      <c r="G13" s="3">
        <v>1.22</v>
      </c>
    </row>
    <row r="14" spans="1:7" x14ac:dyDescent="0.25">
      <c r="B14" t="s">
        <v>30</v>
      </c>
      <c r="C14" t="s">
        <v>17</v>
      </c>
      <c r="D14" t="s">
        <v>14</v>
      </c>
      <c r="E14" t="s">
        <v>10</v>
      </c>
      <c r="F14">
        <v>1</v>
      </c>
      <c r="G14" s="3">
        <v>1.25</v>
      </c>
    </row>
    <row r="15" spans="1:7" x14ac:dyDescent="0.25">
      <c r="B15" t="s">
        <v>31</v>
      </c>
      <c r="C15" t="s">
        <v>17</v>
      </c>
      <c r="D15" t="s">
        <v>14</v>
      </c>
      <c r="E15" t="s">
        <v>10</v>
      </c>
      <c r="F15">
        <v>1</v>
      </c>
      <c r="G15" s="3">
        <v>1.2</v>
      </c>
    </row>
    <row r="16" spans="1:7" x14ac:dyDescent="0.25">
      <c r="B16" t="s">
        <v>32</v>
      </c>
      <c r="C16" t="s">
        <v>17</v>
      </c>
      <c r="D16" t="s">
        <v>14</v>
      </c>
      <c r="E16" t="s">
        <v>10</v>
      </c>
      <c r="F16">
        <v>1</v>
      </c>
      <c r="G16" s="3">
        <v>1.2</v>
      </c>
    </row>
    <row r="17" spans="1:7" x14ac:dyDescent="0.25">
      <c r="A17" t="s">
        <v>34</v>
      </c>
      <c r="C17" t="s">
        <v>17</v>
      </c>
      <c r="D17" t="s">
        <v>14</v>
      </c>
      <c r="E17" t="s">
        <v>10</v>
      </c>
      <c r="F17">
        <v>1</v>
      </c>
      <c r="G17" s="3">
        <v>1.27</v>
      </c>
    </row>
    <row r="18" spans="1:7" x14ac:dyDescent="0.25">
      <c r="A18" t="s">
        <v>35</v>
      </c>
      <c r="C18" t="s">
        <v>17</v>
      </c>
      <c r="D18" t="s">
        <v>14</v>
      </c>
      <c r="E18" t="s">
        <v>10</v>
      </c>
      <c r="F18">
        <v>1</v>
      </c>
      <c r="G18" s="3">
        <v>1.27</v>
      </c>
    </row>
    <row r="20" spans="1:7" x14ac:dyDescent="0.25">
      <c r="B20" t="s">
        <v>18</v>
      </c>
      <c r="C20" t="s">
        <v>36</v>
      </c>
      <c r="D20" t="s">
        <v>14</v>
      </c>
      <c r="E20" t="s">
        <v>10</v>
      </c>
      <c r="F20">
        <v>1</v>
      </c>
      <c r="G20" s="3">
        <v>1.25</v>
      </c>
    </row>
    <row r="21" spans="1:7" x14ac:dyDescent="0.25">
      <c r="B21" t="s">
        <v>19</v>
      </c>
      <c r="C21" t="s">
        <v>36</v>
      </c>
      <c r="D21" t="s">
        <v>14</v>
      </c>
      <c r="E21" t="s">
        <v>10</v>
      </c>
      <c r="F21">
        <v>1</v>
      </c>
      <c r="G21" s="3">
        <v>1.25</v>
      </c>
    </row>
    <row r="22" spans="1:7" x14ac:dyDescent="0.25">
      <c r="B22" t="s">
        <v>20</v>
      </c>
      <c r="C22" t="s">
        <v>36</v>
      </c>
      <c r="D22" t="s">
        <v>14</v>
      </c>
      <c r="E22" t="s">
        <v>10</v>
      </c>
      <c r="F22">
        <v>1</v>
      </c>
      <c r="G22" s="3">
        <v>1.41</v>
      </c>
    </row>
    <row r="23" spans="1:7" x14ac:dyDescent="0.25">
      <c r="B23" t="s">
        <v>21</v>
      </c>
      <c r="C23" t="s">
        <v>36</v>
      </c>
      <c r="D23" t="s">
        <v>14</v>
      </c>
      <c r="E23" t="s">
        <v>10</v>
      </c>
      <c r="F23">
        <v>1</v>
      </c>
      <c r="G23" s="3">
        <v>1.03</v>
      </c>
    </row>
    <row r="24" spans="1:7" x14ac:dyDescent="0.25">
      <c r="B24" t="s">
        <v>22</v>
      </c>
      <c r="C24" t="s">
        <v>36</v>
      </c>
      <c r="D24" t="s">
        <v>14</v>
      </c>
      <c r="E24" t="s">
        <v>10</v>
      </c>
      <c r="F24">
        <v>1</v>
      </c>
      <c r="G24" s="3">
        <v>1.03</v>
      </c>
    </row>
    <row r="25" spans="1:7" x14ac:dyDescent="0.25">
      <c r="B25" t="s">
        <v>23</v>
      </c>
      <c r="C25" t="s">
        <v>36</v>
      </c>
      <c r="D25" t="s">
        <v>14</v>
      </c>
      <c r="E25" t="s">
        <v>10</v>
      </c>
      <c r="F25">
        <v>1</v>
      </c>
      <c r="G25" s="3">
        <v>1.04</v>
      </c>
    </row>
    <row r="26" spans="1:7" x14ac:dyDescent="0.25">
      <c r="B26" t="s">
        <v>24</v>
      </c>
      <c r="C26" t="s">
        <v>36</v>
      </c>
      <c r="D26" t="s">
        <v>14</v>
      </c>
      <c r="E26" t="s">
        <v>10</v>
      </c>
      <c r="F26">
        <v>1</v>
      </c>
      <c r="G26" s="3">
        <v>1.1599999999999999</v>
      </c>
    </row>
    <row r="27" spans="1:7" x14ac:dyDescent="0.25">
      <c r="B27" t="s">
        <v>25</v>
      </c>
      <c r="C27" t="s">
        <v>36</v>
      </c>
      <c r="D27" t="s">
        <v>14</v>
      </c>
      <c r="E27" t="s">
        <v>10</v>
      </c>
      <c r="F27">
        <v>1</v>
      </c>
      <c r="G27" s="3">
        <v>1.1599999999999999</v>
      </c>
    </row>
    <row r="28" spans="1:7" x14ac:dyDescent="0.25">
      <c r="B28" t="s">
        <v>26</v>
      </c>
      <c r="C28" t="s">
        <v>36</v>
      </c>
      <c r="D28" t="s">
        <v>14</v>
      </c>
      <c r="E28" t="s">
        <v>10</v>
      </c>
      <c r="F28">
        <v>1</v>
      </c>
      <c r="G28" s="3">
        <v>1.21</v>
      </c>
    </row>
    <row r="29" spans="1:7" x14ac:dyDescent="0.25">
      <c r="B29" t="s">
        <v>27</v>
      </c>
      <c r="C29" t="s">
        <v>36</v>
      </c>
      <c r="D29" t="s">
        <v>14</v>
      </c>
      <c r="E29" t="s">
        <v>10</v>
      </c>
      <c r="F29">
        <v>1</v>
      </c>
      <c r="G29" s="3">
        <v>1</v>
      </c>
    </row>
    <row r="30" spans="1:7" x14ac:dyDescent="0.25">
      <c r="B30" t="s">
        <v>28</v>
      </c>
      <c r="C30" t="s">
        <v>36</v>
      </c>
      <c r="D30" t="s">
        <v>14</v>
      </c>
      <c r="E30" t="s">
        <v>10</v>
      </c>
      <c r="F30">
        <v>1</v>
      </c>
      <c r="G30" s="3">
        <v>1.23</v>
      </c>
    </row>
    <row r="31" spans="1:7" x14ac:dyDescent="0.25">
      <c r="B31" t="s">
        <v>29</v>
      </c>
      <c r="C31" t="s">
        <v>36</v>
      </c>
      <c r="D31" t="s">
        <v>14</v>
      </c>
      <c r="E31" t="s">
        <v>10</v>
      </c>
      <c r="F31">
        <v>1</v>
      </c>
      <c r="G31" s="3">
        <v>1.23</v>
      </c>
    </row>
    <row r="32" spans="1:7" x14ac:dyDescent="0.25">
      <c r="B32" t="s">
        <v>30</v>
      </c>
      <c r="C32" t="s">
        <v>36</v>
      </c>
      <c r="D32" t="s">
        <v>14</v>
      </c>
      <c r="E32" t="s">
        <v>10</v>
      </c>
      <c r="F32">
        <v>1</v>
      </c>
      <c r="G32" s="3">
        <v>1</v>
      </c>
    </row>
    <row r="33" spans="1:7" x14ac:dyDescent="0.25">
      <c r="B33" t="s">
        <v>31</v>
      </c>
      <c r="C33" t="s">
        <v>36</v>
      </c>
      <c r="D33" t="s">
        <v>14</v>
      </c>
      <c r="E33" t="s">
        <v>10</v>
      </c>
      <c r="F33">
        <v>1</v>
      </c>
      <c r="G33" s="3">
        <v>1.33</v>
      </c>
    </row>
    <row r="34" spans="1:7" x14ac:dyDescent="0.25">
      <c r="B34" t="s">
        <v>32</v>
      </c>
      <c r="C34" t="s">
        <v>36</v>
      </c>
      <c r="D34" t="s">
        <v>14</v>
      </c>
      <c r="E34" t="s">
        <v>10</v>
      </c>
      <c r="F34">
        <v>1</v>
      </c>
      <c r="G34" s="3">
        <v>1.33</v>
      </c>
    </row>
    <row r="35" spans="1:7" x14ac:dyDescent="0.25">
      <c r="A35" t="s">
        <v>34</v>
      </c>
      <c r="C35" t="s">
        <v>36</v>
      </c>
      <c r="D35" t="s">
        <v>14</v>
      </c>
      <c r="E35" t="s">
        <v>10</v>
      </c>
      <c r="F35">
        <v>1</v>
      </c>
      <c r="G35" s="3">
        <v>1.27</v>
      </c>
    </row>
    <row r="36" spans="1:7" x14ac:dyDescent="0.25">
      <c r="A36" t="s">
        <v>35</v>
      </c>
      <c r="C36" t="s">
        <v>36</v>
      </c>
      <c r="D36" t="s">
        <v>14</v>
      </c>
      <c r="E36" t="s">
        <v>10</v>
      </c>
      <c r="F36">
        <v>1</v>
      </c>
      <c r="G36" s="3">
        <v>1.27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F20" sqref="F20"/>
    </sheetView>
  </sheetViews>
  <sheetFormatPr defaultRowHeight="15" x14ac:dyDescent="0.25"/>
  <cols>
    <col min="2" max="2" width="14.28515625" bestFit="1" customWidth="1"/>
    <col min="3" max="3" width="10" bestFit="1" customWidth="1"/>
    <col min="4" max="4" width="12.5703125" bestFit="1" customWidth="1"/>
    <col min="5" max="5" width="12.5703125" customWidth="1"/>
    <col min="6" max="6" width="21" bestFit="1" customWidth="1"/>
  </cols>
  <sheetData>
    <row r="1" spans="1:9" x14ac:dyDescent="0.25">
      <c r="A1" s="1" t="s">
        <v>37</v>
      </c>
      <c r="B1" s="1" t="s">
        <v>16</v>
      </c>
      <c r="C1" s="1" t="s">
        <v>38</v>
      </c>
      <c r="D1" s="1" t="s">
        <v>39</v>
      </c>
      <c r="E1" s="1" t="s">
        <v>40</v>
      </c>
      <c r="F1" s="1" t="s">
        <v>0</v>
      </c>
      <c r="G1" s="1" t="s">
        <v>1</v>
      </c>
      <c r="H1" s="1" t="s">
        <v>2</v>
      </c>
      <c r="I1" s="1" t="s">
        <v>8</v>
      </c>
    </row>
    <row r="3" spans="1:9" x14ac:dyDescent="0.25">
      <c r="B3" t="s">
        <v>17</v>
      </c>
      <c r="F3" t="s">
        <v>41</v>
      </c>
      <c r="G3" s="4" t="s">
        <v>10</v>
      </c>
      <c r="H3" s="4">
        <v>1</v>
      </c>
      <c r="I3">
        <v>1.21</v>
      </c>
    </row>
    <row r="4" spans="1:9" x14ac:dyDescent="0.25">
      <c r="B4" t="s">
        <v>36</v>
      </c>
      <c r="F4" t="s">
        <v>41</v>
      </c>
      <c r="G4" s="4" t="s">
        <v>10</v>
      </c>
      <c r="H4" s="4">
        <v>1</v>
      </c>
      <c r="I4">
        <v>1.1399999999999999</v>
      </c>
    </row>
    <row r="6" spans="1:9" x14ac:dyDescent="0.25">
      <c r="E6" s="4" t="s">
        <v>42</v>
      </c>
      <c r="F6" s="4" t="s">
        <v>43</v>
      </c>
      <c r="G6" s="4" t="s">
        <v>10</v>
      </c>
      <c r="H6" s="4">
        <v>1</v>
      </c>
      <c r="I6" s="5">
        <f>AVERAGE(1.11,1.09)</f>
        <v>1.1000000000000001</v>
      </c>
    </row>
    <row r="7" spans="1:9" x14ac:dyDescent="0.25">
      <c r="E7" s="4" t="s">
        <v>44</v>
      </c>
      <c r="F7" s="4" t="s">
        <v>43</v>
      </c>
      <c r="G7" s="4" t="s">
        <v>10</v>
      </c>
      <c r="H7" s="4">
        <v>1</v>
      </c>
      <c r="I7" s="5">
        <f t="shared" ref="I7:I11" si="0">AVERAGE(1.11,1.09)</f>
        <v>1.1000000000000001</v>
      </c>
    </row>
    <row r="8" spans="1:9" x14ac:dyDescent="0.25">
      <c r="E8" s="4" t="s">
        <v>45</v>
      </c>
      <c r="F8" s="4" t="s">
        <v>43</v>
      </c>
      <c r="G8" s="4" t="s">
        <v>10</v>
      </c>
      <c r="H8" s="4">
        <v>1</v>
      </c>
      <c r="I8" s="5">
        <f t="shared" si="0"/>
        <v>1.1000000000000001</v>
      </c>
    </row>
    <row r="9" spans="1:9" x14ac:dyDescent="0.25">
      <c r="E9" s="4" t="s">
        <v>42</v>
      </c>
      <c r="F9" t="s">
        <v>46</v>
      </c>
      <c r="G9" s="4" t="s">
        <v>10</v>
      </c>
      <c r="H9" s="4">
        <v>1</v>
      </c>
      <c r="I9" s="5">
        <f t="shared" si="0"/>
        <v>1.1000000000000001</v>
      </c>
    </row>
    <row r="10" spans="1:9" x14ac:dyDescent="0.25">
      <c r="E10" s="4" t="s">
        <v>44</v>
      </c>
      <c r="F10" t="s">
        <v>46</v>
      </c>
      <c r="G10" s="4" t="s">
        <v>10</v>
      </c>
      <c r="H10" s="4">
        <v>1</v>
      </c>
      <c r="I10" s="5">
        <f t="shared" si="0"/>
        <v>1.1000000000000001</v>
      </c>
    </row>
    <row r="11" spans="1:9" x14ac:dyDescent="0.25">
      <c r="E11" s="4" t="s">
        <v>45</v>
      </c>
      <c r="F11" t="s">
        <v>46</v>
      </c>
      <c r="G11" s="4" t="s">
        <v>10</v>
      </c>
      <c r="H11" s="4">
        <v>1</v>
      </c>
      <c r="I11" s="5">
        <f t="shared" si="0"/>
        <v>1.1000000000000001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7" sqref="F17"/>
    </sheetView>
  </sheetViews>
  <sheetFormatPr defaultRowHeight="15" x14ac:dyDescent="0.25"/>
  <cols>
    <col min="1" max="1" width="14.28515625" bestFit="1" customWidth="1"/>
    <col min="2" max="2" width="12.7109375" bestFit="1" customWidth="1"/>
    <col min="3" max="3" width="16.5703125" bestFit="1" customWidth="1"/>
  </cols>
  <sheetData>
    <row r="1" spans="1:6" x14ac:dyDescent="0.25">
      <c r="A1" s="1" t="s">
        <v>16</v>
      </c>
      <c r="B1" s="1" t="s">
        <v>40</v>
      </c>
      <c r="C1" s="1" t="s">
        <v>0</v>
      </c>
      <c r="D1" s="1" t="s">
        <v>1</v>
      </c>
      <c r="E1" s="1" t="s">
        <v>2</v>
      </c>
      <c r="F1" s="1" t="s">
        <v>8</v>
      </c>
    </row>
    <row r="2" spans="1:6" x14ac:dyDescent="0.25">
      <c r="B2" t="s">
        <v>47</v>
      </c>
      <c r="C2" t="s">
        <v>46</v>
      </c>
      <c r="D2" t="s">
        <v>10</v>
      </c>
      <c r="E2">
        <v>1</v>
      </c>
      <c r="F2">
        <v>1.22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selection activeCell="F4" sqref="F4"/>
    </sheetView>
  </sheetViews>
  <sheetFormatPr defaultRowHeight="15" x14ac:dyDescent="0.25"/>
  <cols>
    <col min="3" max="3" width="21.42578125" bestFit="1" customWidth="1"/>
  </cols>
  <sheetData>
    <row r="1" spans="1:6" x14ac:dyDescent="0.25">
      <c r="A1" s="1" t="s">
        <v>16</v>
      </c>
      <c r="B1" s="1" t="s">
        <v>40</v>
      </c>
      <c r="C1" s="1" t="s">
        <v>0</v>
      </c>
      <c r="D1" s="1" t="s">
        <v>1</v>
      </c>
      <c r="E1" s="1" t="s">
        <v>2</v>
      </c>
      <c r="F1" s="1" t="s">
        <v>8</v>
      </c>
    </row>
    <row r="2" spans="1:6" x14ac:dyDescent="0.25">
      <c r="B2" t="s">
        <v>48</v>
      </c>
      <c r="C2" t="s">
        <v>46</v>
      </c>
      <c r="D2" t="s">
        <v>10</v>
      </c>
      <c r="E2">
        <v>1</v>
      </c>
      <c r="F2">
        <v>1.24</v>
      </c>
    </row>
    <row r="3" spans="1:6" x14ac:dyDescent="0.25">
      <c r="B3" t="s">
        <v>48</v>
      </c>
      <c r="C3" t="s">
        <v>49</v>
      </c>
      <c r="D3" t="s">
        <v>10</v>
      </c>
      <c r="E3">
        <v>1</v>
      </c>
      <c r="F3">
        <v>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Regions</vt:lpstr>
      <vt:lpstr>DemandAndConversions</vt:lpstr>
      <vt:lpstr>CropProduction</vt:lpstr>
      <vt:lpstr>CattleHerd</vt:lpstr>
      <vt:lpstr>PigHerd</vt:lpstr>
      <vt:lpstr>BroilerHerd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2024-11-05T11:22:31Z</dcterms:modified>
</cp:coreProperties>
</file>