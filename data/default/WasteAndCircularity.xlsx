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0" i="1" l="1"/>
  <c r="G59" i="1"/>
  <c r="G58" i="1"/>
  <c r="G46" i="1"/>
  <c r="G53" i="1" s="1"/>
  <c r="G45" i="1"/>
  <c r="G52" i="1" s="1"/>
  <c r="G44" i="1"/>
  <c r="G51" i="1" s="1"/>
  <c r="G39" i="1"/>
  <c r="G38" i="1"/>
  <c r="G37" i="1"/>
  <c r="G50" i="1"/>
  <c r="G74" i="1" l="1"/>
  <c r="G48" i="1" l="1"/>
  <c r="G49" i="1"/>
</calcChain>
</file>

<file path=xl/sharedStrings.xml><?xml version="1.0" encoding="utf-8"?>
<sst xmlns="http://schemas.openxmlformats.org/spreadsheetml/2006/main" count="226" uniqueCount="70">
  <si>
    <t>parameter</t>
  </si>
  <si>
    <t>value</t>
  </si>
  <si>
    <t>unit</t>
  </si>
  <si>
    <t>description</t>
  </si>
  <si>
    <t>source</t>
  </si>
  <si>
    <t>f_waste_level</t>
  </si>
  <si>
    <t>f_waste_treatment</t>
  </si>
  <si>
    <t>treatment_share</t>
  </si>
  <si>
    <t>household</t>
  </si>
  <si>
    <t>retail</t>
  </si>
  <si>
    <t>processing</t>
  </si>
  <si>
    <t>carcasses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</si>
  <si>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</si>
  <si>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</si>
  <si>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</si>
  <si>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</si>
  <si>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</si>
  <si>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</si>
  <si>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</si>
  <si>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</si>
  <si>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</si>
  <si>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</si>
  <si>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</si>
  <si>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</si>
  <si>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waste_VS</t>
  </si>
  <si>
    <t>waste_N</t>
  </si>
  <si>
    <t>waste_P</t>
  </si>
  <si>
    <t>waste_K</t>
  </si>
  <si>
    <t>kg C/kg VS</t>
  </si>
  <si>
    <t>f_waste</t>
  </si>
  <si>
    <t>f_waste_group</t>
  </si>
  <si>
    <t>waste_DM</t>
  </si>
  <si>
    <t>kg DM/kg</t>
  </si>
  <si>
    <t>kg VS/kg DM</t>
  </si>
  <si>
    <t>kg N/kg DM</t>
  </si>
  <si>
    <t>kg P/kg DM</t>
  </si>
  <si>
    <t>kg K/kg DM</t>
  </si>
  <si>
    <t>waste_C</t>
  </si>
  <si>
    <t>ANAEROBIC DIGESTION</t>
  </si>
  <si>
    <t>biogas_CH4_frac</t>
  </si>
  <si>
    <t>Källsorterat matavfall - hushåll</t>
  </si>
  <si>
    <t>Assumed same as retail</t>
  </si>
  <si>
    <t>Vall</t>
  </si>
  <si>
    <t>Avfall Sverige. (2009). Substrathandbok för biogasproduktion. RAPPORT U2009:14. BILAGA 1 – SUBSTRATLISTA</t>
  </si>
  <si>
    <t>Nm3 CH4/kg VS</t>
  </si>
  <si>
    <t>biogas_CH4_yield</t>
  </si>
  <si>
    <t>primary</t>
  </si>
  <si>
    <t>manure</t>
  </si>
  <si>
    <t>f_MMS</t>
  </si>
  <si>
    <t>Avfall Sverige (2009)</t>
  </si>
  <si>
    <t>waste_B0</t>
  </si>
  <si>
    <t>biogas_flare_frac</t>
  </si>
  <si>
    <t>biogas_flare_slip</t>
  </si>
  <si>
    <t>biogas_CH4_slip</t>
  </si>
  <si>
    <t>% of CH4 prod</t>
  </si>
  <si>
    <t>% of CH4 to flare</t>
  </si>
  <si>
    <t>biogas_electricity_use</t>
  </si>
  <si>
    <t>biogas_heat_use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</si>
  <si>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</si>
  <si>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</si>
  <si>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</si>
  <si>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</si>
  <si>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non-waste, crop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</si>
  <si>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</si>
  <si>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</si>
  <si>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</si>
  <si>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</si>
  <si>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Nilsson et al??</t>
  </si>
  <si>
    <t>see FeedMgmt</t>
  </si>
  <si>
    <t>Note: This report states that N, P and K contents are given as "kg/ton DM" but should be "kg/ton wet weight" according to pers. comm. with Lindfors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</si>
</sst>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"/>
  <sheetViews>
    <sheetView tabSelected="1" zoomScale="80" zoomScaleNormal="80" workbookViewId="0">
      <pane ySplit="1" topLeftCell="A43" activePane="bottomLeft" state="frozen"/>
      <selection pane="bottomLeft" activeCell="U53" sqref="U53"/>
    </sheetView>
  </sheetViews>
  <sheetFormatPr defaultRowHeight="15" x14ac:dyDescent="0.25"/>
  <cols>
    <col min="1" max="1" width="15.42578125" customWidth="1"/>
    <col min="2" max="2" width="16.28515625" customWidth="1"/>
    <col min="3" max="3" width="22" bestFit="1" customWidth="1"/>
    <col min="4" max="4" width="14" customWidth="1"/>
    <col min="5" max="5" width="21.28515625" bestFit="1" customWidth="1"/>
    <col min="6" max="6" width="19.7109375" customWidth="1"/>
    <col min="8" max="8" width="16.7109375" bestFit="1" customWidth="1"/>
    <col min="9" max="9" width="32.42578125" customWidth="1"/>
    <col min="10" max="10" width="20.7109375" customWidth="1"/>
  </cols>
  <sheetData>
    <row r="1" spans="1:10" x14ac:dyDescent="0.25">
      <c r="A1" s="1" t="s">
        <v>29</v>
      </c>
      <c r="B1" s="1" t="s">
        <v>30</v>
      </c>
      <c r="C1" s="1" t="s">
        <v>5</v>
      </c>
      <c r="D1" s="1" t="s">
        <v>48</v>
      </c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</row>
    <row r="3" spans="1:10" x14ac:dyDescent="0.25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</row>
    <row r="5" spans="1:10" x14ac:dyDescent="0.25">
      <c r="F5" s="3" t="s">
        <v>7</v>
      </c>
      <c r="G5" s="3">
        <v>0</v>
      </c>
      <c r="H5" s="3" t="s">
        <v>12</v>
      </c>
      <c r="I5" s="3" t="s">
        <v>13</v>
      </c>
    </row>
    <row r="7" spans="1:10" x14ac:dyDescent="0.25">
      <c r="C7" t="s">
        <v>8</v>
      </c>
      <c r="E7" t="s">
        <v>14</v>
      </c>
      <c r="F7" t="s">
        <v>7</v>
      </c>
      <c r="G7">
        <v>40</v>
      </c>
      <c r="H7" t="s">
        <v>12</v>
      </c>
      <c r="I7" t="s">
        <v>20</v>
      </c>
      <c r="J7" t="s">
        <v>19</v>
      </c>
    </row>
    <row r="8" spans="1:10" x14ac:dyDescent="0.25">
      <c r="C8" t="s">
        <v>8</v>
      </c>
      <c r="E8" t="s">
        <v>15</v>
      </c>
      <c r="F8" t="s">
        <v>7</v>
      </c>
      <c r="G8">
        <v>5</v>
      </c>
      <c r="H8" t="s">
        <v>12</v>
      </c>
    </row>
    <row r="9" spans="1:10" x14ac:dyDescent="0.25">
      <c r="C9" t="s">
        <v>8</v>
      </c>
      <c r="E9" t="s">
        <v>16</v>
      </c>
      <c r="F9" t="s">
        <v>7</v>
      </c>
      <c r="G9">
        <v>50</v>
      </c>
      <c r="H9" t="s">
        <v>12</v>
      </c>
    </row>
    <row r="10" spans="1:10" x14ac:dyDescent="0.25">
      <c r="C10" t="s">
        <v>8</v>
      </c>
      <c r="E10" t="s">
        <v>17</v>
      </c>
      <c r="F10" t="s">
        <v>7</v>
      </c>
      <c r="G10">
        <v>5</v>
      </c>
      <c r="H10" t="s">
        <v>12</v>
      </c>
    </row>
    <row r="12" spans="1:10" x14ac:dyDescent="0.25">
      <c r="C12" t="s">
        <v>9</v>
      </c>
      <c r="E12" t="s">
        <v>14</v>
      </c>
      <c r="F12" t="s">
        <v>7</v>
      </c>
      <c r="G12">
        <v>40</v>
      </c>
      <c r="H12" t="s">
        <v>12</v>
      </c>
      <c r="I12" t="s">
        <v>20</v>
      </c>
      <c r="J12" t="s">
        <v>19</v>
      </c>
    </row>
    <row r="13" spans="1:10" x14ac:dyDescent="0.25">
      <c r="C13" t="s">
        <v>9</v>
      </c>
      <c r="E13" t="s">
        <v>15</v>
      </c>
      <c r="F13" t="s">
        <v>7</v>
      </c>
      <c r="G13">
        <v>5</v>
      </c>
      <c r="H13" t="s">
        <v>12</v>
      </c>
    </row>
    <row r="14" spans="1:10" x14ac:dyDescent="0.25">
      <c r="C14" t="s">
        <v>9</v>
      </c>
      <c r="E14" t="s">
        <v>16</v>
      </c>
      <c r="F14" t="s">
        <v>7</v>
      </c>
      <c r="G14">
        <v>50</v>
      </c>
      <c r="H14" t="s">
        <v>12</v>
      </c>
    </row>
    <row r="15" spans="1:10" x14ac:dyDescent="0.25">
      <c r="C15" t="s">
        <v>9</v>
      </c>
      <c r="E15" t="s">
        <v>17</v>
      </c>
      <c r="F15" t="s">
        <v>7</v>
      </c>
      <c r="G15">
        <v>5</v>
      </c>
      <c r="H15" t="s">
        <v>12</v>
      </c>
    </row>
    <row r="17" spans="1:10" x14ac:dyDescent="0.25">
      <c r="C17" t="s">
        <v>10</v>
      </c>
      <c r="E17" t="s">
        <v>14</v>
      </c>
      <c r="F17" t="s">
        <v>7</v>
      </c>
      <c r="G17">
        <v>40</v>
      </c>
      <c r="H17" t="s">
        <v>12</v>
      </c>
      <c r="I17" t="s">
        <v>20</v>
      </c>
      <c r="J17" t="s">
        <v>19</v>
      </c>
    </row>
    <row r="18" spans="1:10" x14ac:dyDescent="0.25">
      <c r="C18" t="s">
        <v>10</v>
      </c>
      <c r="E18" t="s">
        <v>15</v>
      </c>
      <c r="F18" t="s">
        <v>7</v>
      </c>
      <c r="G18">
        <v>5</v>
      </c>
      <c r="H18" t="s">
        <v>12</v>
      </c>
    </row>
    <row r="19" spans="1:10" x14ac:dyDescent="0.25">
      <c r="C19" t="s">
        <v>10</v>
      </c>
      <c r="E19" t="s">
        <v>16</v>
      </c>
      <c r="F19" t="s">
        <v>7</v>
      </c>
      <c r="G19">
        <v>50</v>
      </c>
      <c r="H19" t="s">
        <v>12</v>
      </c>
    </row>
    <row r="20" spans="1:10" x14ac:dyDescent="0.25">
      <c r="C20" t="s">
        <v>10</v>
      </c>
      <c r="E20" t="s">
        <v>17</v>
      </c>
      <c r="F20" t="s">
        <v>7</v>
      </c>
      <c r="G20">
        <v>5</v>
      </c>
      <c r="H20" t="s">
        <v>12</v>
      </c>
    </row>
    <row r="22" spans="1:10" x14ac:dyDescent="0.25">
      <c r="B22" t="s">
        <v>11</v>
      </c>
      <c r="C22" t="s">
        <v>46</v>
      </c>
      <c r="E22" t="s">
        <v>14</v>
      </c>
      <c r="F22" t="s">
        <v>7</v>
      </c>
      <c r="G22">
        <v>100</v>
      </c>
      <c r="H22" t="s">
        <v>12</v>
      </c>
    </row>
    <row r="24" spans="1:10" x14ac:dyDescent="0.25">
      <c r="C24" t="s">
        <v>47</v>
      </c>
      <c r="E24" t="s">
        <v>14</v>
      </c>
      <c r="F24" t="s">
        <v>7</v>
      </c>
      <c r="G24">
        <v>100</v>
      </c>
      <c r="H24" t="s">
        <v>12</v>
      </c>
    </row>
    <row r="26" spans="1:10" x14ac:dyDescent="0.25">
      <c r="A26" s="5" t="s">
        <v>22</v>
      </c>
      <c r="B26" s="5"/>
      <c r="C26" s="5"/>
      <c r="D26" s="5"/>
      <c r="E26" s="5"/>
      <c r="F26" s="5"/>
      <c r="G26" s="5"/>
      <c r="H26" s="5"/>
      <c r="I26" s="5"/>
      <c r="J26" s="5"/>
    </row>
    <row r="28" spans="1:10" x14ac:dyDescent="0.25">
      <c r="A28" s="4" t="s">
        <v>21</v>
      </c>
      <c r="B28" s="4"/>
      <c r="C28" t="s">
        <v>63</v>
      </c>
      <c r="E28" t="s">
        <v>14</v>
      </c>
      <c r="F28" t="s">
        <v>7</v>
      </c>
      <c r="G28">
        <v>100</v>
      </c>
      <c r="H28" t="s">
        <v>12</v>
      </c>
    </row>
    <row r="30" spans="1:10" x14ac:dyDescent="0.25">
      <c r="A30" s="2" t="s">
        <v>23</v>
      </c>
      <c r="B30" s="2"/>
      <c r="C30" s="2"/>
      <c r="D30" s="2"/>
      <c r="E30" s="2"/>
      <c r="F30" s="2"/>
      <c r="G30" s="2"/>
      <c r="H30" s="2"/>
      <c r="I30" s="2"/>
      <c r="J30" s="2"/>
    </row>
    <row r="32" spans="1:10" x14ac:dyDescent="0.25">
      <c r="F32" s="3" t="s">
        <v>37</v>
      </c>
      <c r="G32" s="3">
        <v>0.5</v>
      </c>
      <c r="H32" s="3" t="s">
        <v>28</v>
      </c>
      <c r="I32" s="3" t="s">
        <v>13</v>
      </c>
    </row>
    <row r="34" spans="1:11" x14ac:dyDescent="0.25">
      <c r="A34" s="4"/>
      <c r="B34" s="4"/>
      <c r="C34" t="s">
        <v>8</v>
      </c>
      <c r="F34" t="s">
        <v>31</v>
      </c>
      <c r="G34">
        <v>0.33</v>
      </c>
      <c r="H34" t="s">
        <v>32</v>
      </c>
      <c r="I34" t="s">
        <v>40</v>
      </c>
      <c r="J34" t="s">
        <v>49</v>
      </c>
    </row>
    <row r="35" spans="1:11" x14ac:dyDescent="0.25">
      <c r="A35" s="4"/>
      <c r="B35" s="4"/>
      <c r="C35" t="s">
        <v>8</v>
      </c>
      <c r="F35" t="s">
        <v>24</v>
      </c>
      <c r="G35">
        <v>0.85</v>
      </c>
      <c r="H35" t="s">
        <v>33</v>
      </c>
      <c r="J35" t="s">
        <v>49</v>
      </c>
    </row>
    <row r="36" spans="1:11" x14ac:dyDescent="0.25">
      <c r="C36" t="s">
        <v>8</v>
      </c>
      <c r="F36" t="s">
        <v>50</v>
      </c>
      <c r="G36">
        <v>0.46100000000000002</v>
      </c>
      <c r="H36" t="s">
        <v>44</v>
      </c>
      <c r="J36" t="s">
        <v>49</v>
      </c>
    </row>
    <row r="37" spans="1:11" x14ac:dyDescent="0.25">
      <c r="A37" s="4"/>
      <c r="B37" s="4"/>
      <c r="C37" t="s">
        <v>8</v>
      </c>
      <c r="F37" t="s">
        <v>25</v>
      </c>
      <c r="G37" s="8">
        <f>8.3/1000/0.33</f>
        <v>2.515151515151515E-2</v>
      </c>
      <c r="H37" t="s">
        <v>34</v>
      </c>
      <c r="J37" t="s">
        <v>64</v>
      </c>
      <c r="K37" t="s">
        <v>69</v>
      </c>
    </row>
    <row r="38" spans="1:11" x14ac:dyDescent="0.25">
      <c r="A38" s="4"/>
      <c r="B38" s="4"/>
      <c r="C38" t="s">
        <v>8</v>
      </c>
      <c r="F38" t="s">
        <v>26</v>
      </c>
      <c r="G38" s="8">
        <f>1/1000/0.33</f>
        <v>3.0303030303030303E-3</v>
      </c>
      <c r="H38" t="s">
        <v>35</v>
      </c>
      <c r="J38" t="s">
        <v>64</v>
      </c>
    </row>
    <row r="39" spans="1:11" x14ac:dyDescent="0.25">
      <c r="A39" s="4"/>
      <c r="B39" s="4"/>
      <c r="C39" t="s">
        <v>8</v>
      </c>
      <c r="F39" t="s">
        <v>27</v>
      </c>
      <c r="G39" s="8">
        <f>2.6/1000/0.33</f>
        <v>7.8787878787878775E-3</v>
      </c>
      <c r="H39" t="s">
        <v>36</v>
      </c>
      <c r="J39" t="s">
        <v>64</v>
      </c>
    </row>
    <row r="41" spans="1:11" x14ac:dyDescent="0.25">
      <c r="A41" s="4"/>
      <c r="B41" s="4"/>
      <c r="C41" t="s">
        <v>9</v>
      </c>
      <c r="F41" t="s">
        <v>31</v>
      </c>
      <c r="G41">
        <v>0.15</v>
      </c>
      <c r="H41" t="s">
        <v>32</v>
      </c>
      <c r="J41" t="s">
        <v>64</v>
      </c>
    </row>
    <row r="42" spans="1:11" x14ac:dyDescent="0.25">
      <c r="A42" s="4"/>
      <c r="B42" s="4"/>
      <c r="C42" t="s">
        <v>9</v>
      </c>
      <c r="F42" t="s">
        <v>24</v>
      </c>
      <c r="G42" s="10">
        <v>0.9</v>
      </c>
      <c r="H42" t="s">
        <v>33</v>
      </c>
      <c r="I42" s="7"/>
      <c r="J42" t="s">
        <v>64</v>
      </c>
    </row>
    <row r="43" spans="1:11" x14ac:dyDescent="0.25">
      <c r="C43" t="s">
        <v>9</v>
      </c>
      <c r="F43" t="s">
        <v>50</v>
      </c>
      <c r="G43" s="8">
        <v>0.55000000000000004</v>
      </c>
      <c r="H43" t="s">
        <v>44</v>
      </c>
      <c r="J43" t="s">
        <v>64</v>
      </c>
    </row>
    <row r="44" spans="1:11" x14ac:dyDescent="0.25">
      <c r="A44" s="4"/>
      <c r="B44" s="4"/>
      <c r="C44" t="s">
        <v>9</v>
      </c>
      <c r="F44" t="s">
        <v>25</v>
      </c>
      <c r="G44" s="8">
        <f>3.8/1000/0.15</f>
        <v>2.5333333333333333E-2</v>
      </c>
      <c r="H44" t="s">
        <v>34</v>
      </c>
      <c r="J44" t="s">
        <v>64</v>
      </c>
    </row>
    <row r="45" spans="1:11" x14ac:dyDescent="0.25">
      <c r="A45" s="4"/>
      <c r="B45" s="4"/>
      <c r="C45" t="s">
        <v>9</v>
      </c>
      <c r="F45" t="s">
        <v>26</v>
      </c>
      <c r="G45" s="8">
        <f>0.5/1000/0.15</f>
        <v>3.3333333333333335E-3</v>
      </c>
      <c r="H45" t="s">
        <v>35</v>
      </c>
      <c r="J45" t="s">
        <v>64</v>
      </c>
    </row>
    <row r="46" spans="1:11" x14ac:dyDescent="0.25">
      <c r="A46" s="4"/>
      <c r="B46" s="4"/>
      <c r="C46" t="s">
        <v>9</v>
      </c>
      <c r="F46" t="s">
        <v>27</v>
      </c>
      <c r="G46" s="8">
        <f>1.2/1000/0.15</f>
        <v>8.0000000000000002E-3</v>
      </c>
      <c r="H46" t="s">
        <v>36</v>
      </c>
      <c r="J46" t="s">
        <v>64</v>
      </c>
    </row>
    <row r="48" spans="1:11" x14ac:dyDescent="0.25">
      <c r="A48" s="4"/>
      <c r="B48" s="4"/>
      <c r="C48" t="s">
        <v>10</v>
      </c>
      <c r="F48" t="s">
        <v>31</v>
      </c>
      <c r="G48" s="6">
        <f>G41</f>
        <v>0.15</v>
      </c>
      <c r="H48" t="s">
        <v>32</v>
      </c>
      <c r="I48" s="7" t="s">
        <v>41</v>
      </c>
    </row>
    <row r="49" spans="1:10" x14ac:dyDescent="0.25">
      <c r="A49" s="4"/>
      <c r="B49" s="4"/>
      <c r="C49" t="s">
        <v>10</v>
      </c>
      <c r="F49" t="s">
        <v>24</v>
      </c>
      <c r="G49" s="6">
        <f>G42</f>
        <v>0.9</v>
      </c>
      <c r="H49" t="s">
        <v>33</v>
      </c>
    </row>
    <row r="50" spans="1:10" x14ac:dyDescent="0.25">
      <c r="A50" s="4"/>
      <c r="B50" s="4"/>
      <c r="C50" t="s">
        <v>10</v>
      </c>
      <c r="F50" t="s">
        <v>50</v>
      </c>
      <c r="G50" s="9">
        <f>G43</f>
        <v>0.55000000000000004</v>
      </c>
      <c r="H50" t="s">
        <v>44</v>
      </c>
    </row>
    <row r="51" spans="1:10" x14ac:dyDescent="0.25">
      <c r="A51" s="4"/>
      <c r="B51" s="4"/>
      <c r="C51" t="s">
        <v>10</v>
      </c>
      <c r="F51" t="s">
        <v>25</v>
      </c>
      <c r="G51" s="9">
        <f>G44</f>
        <v>2.5333333333333333E-2</v>
      </c>
      <c r="H51" t="s">
        <v>34</v>
      </c>
    </row>
    <row r="52" spans="1:10" x14ac:dyDescent="0.25">
      <c r="A52" s="4"/>
      <c r="B52" s="4"/>
      <c r="C52" t="s">
        <v>10</v>
      </c>
      <c r="F52" t="s">
        <v>26</v>
      </c>
      <c r="G52" s="9">
        <f>G45</f>
        <v>3.3333333333333335E-3</v>
      </c>
      <c r="H52" t="s">
        <v>35</v>
      </c>
    </row>
    <row r="53" spans="1:10" x14ac:dyDescent="0.25">
      <c r="A53" s="4"/>
      <c r="B53" s="4"/>
      <c r="C53" t="s">
        <v>10</v>
      </c>
      <c r="F53" t="s">
        <v>27</v>
      </c>
      <c r="G53" s="9">
        <f>G46</f>
        <v>8.0000000000000002E-3</v>
      </c>
      <c r="H53" t="s">
        <v>36</v>
      </c>
    </row>
    <row r="55" spans="1:10" x14ac:dyDescent="0.25">
      <c r="A55" s="4" t="s">
        <v>21</v>
      </c>
      <c r="B55" s="4"/>
      <c r="C55" t="s">
        <v>63</v>
      </c>
      <c r="F55" t="s">
        <v>31</v>
      </c>
      <c r="G55">
        <v>1</v>
      </c>
      <c r="H55" t="s">
        <v>32</v>
      </c>
    </row>
    <row r="56" spans="1:10" x14ac:dyDescent="0.25">
      <c r="A56" s="4" t="s">
        <v>21</v>
      </c>
      <c r="B56" s="4"/>
      <c r="C56" t="s">
        <v>63</v>
      </c>
      <c r="F56" t="s">
        <v>24</v>
      </c>
      <c r="G56">
        <v>0.88</v>
      </c>
      <c r="H56" t="s">
        <v>33</v>
      </c>
      <c r="J56" t="s">
        <v>49</v>
      </c>
    </row>
    <row r="57" spans="1:10" x14ac:dyDescent="0.25">
      <c r="A57" s="4" t="s">
        <v>21</v>
      </c>
      <c r="B57" s="4"/>
      <c r="C57" t="s">
        <v>63</v>
      </c>
      <c r="F57" t="s">
        <v>50</v>
      </c>
      <c r="G57" s="8">
        <v>0.3</v>
      </c>
      <c r="H57" t="s">
        <v>44</v>
      </c>
      <c r="J57" t="s">
        <v>49</v>
      </c>
    </row>
    <row r="58" spans="1:10" x14ac:dyDescent="0.25">
      <c r="A58" s="4" t="s">
        <v>21</v>
      </c>
      <c r="B58" s="4"/>
      <c r="C58" t="s">
        <v>63</v>
      </c>
      <c r="F58" t="s">
        <v>25</v>
      </c>
      <c r="G58" s="4">
        <f>2.1/100</f>
        <v>2.1000000000000001E-2</v>
      </c>
      <c r="H58" t="s">
        <v>34</v>
      </c>
      <c r="J58" t="s">
        <v>68</v>
      </c>
    </row>
    <row r="59" spans="1:10" x14ac:dyDescent="0.25">
      <c r="A59" s="4" t="s">
        <v>21</v>
      </c>
      <c r="B59" s="4"/>
      <c r="C59" t="s">
        <v>63</v>
      </c>
      <c r="F59" t="s">
        <v>26</v>
      </c>
      <c r="G59" s="11">
        <f>0.27/100</f>
        <v>2.7000000000000001E-3</v>
      </c>
      <c r="H59" t="s">
        <v>35</v>
      </c>
      <c r="J59" t="s">
        <v>68</v>
      </c>
    </row>
    <row r="60" spans="1:10" x14ac:dyDescent="0.25">
      <c r="A60" s="4" t="s">
        <v>21</v>
      </c>
      <c r="B60" s="4"/>
      <c r="C60" t="s">
        <v>63</v>
      </c>
      <c r="F60" t="s">
        <v>27</v>
      </c>
      <c r="G60" s="11">
        <f>2.34/100</f>
        <v>2.3399999999999997E-2</v>
      </c>
      <c r="H60" t="s">
        <v>36</v>
      </c>
      <c r="J60" t="s">
        <v>68</v>
      </c>
    </row>
    <row r="62" spans="1:10" x14ac:dyDescent="0.25">
      <c r="A62" s="2" t="s">
        <v>38</v>
      </c>
      <c r="B62" s="2"/>
      <c r="C62" s="2"/>
      <c r="D62" s="2"/>
      <c r="E62" s="2"/>
      <c r="F62" s="2"/>
      <c r="G62" s="2"/>
      <c r="H62" s="2"/>
      <c r="I62" s="2"/>
      <c r="J62" s="2"/>
    </row>
    <row r="64" spans="1:10" x14ac:dyDescent="0.25">
      <c r="F64" t="s">
        <v>45</v>
      </c>
      <c r="G64" s="4">
        <v>90</v>
      </c>
      <c r="H64" s="4" t="s">
        <v>12</v>
      </c>
      <c r="I64" s="4" t="s">
        <v>66</v>
      </c>
      <c r="J64" t="s">
        <v>64</v>
      </c>
    </row>
    <row r="65" spans="1:10" x14ac:dyDescent="0.25">
      <c r="F65" t="s">
        <v>53</v>
      </c>
      <c r="G65" s="4">
        <v>0.22</v>
      </c>
      <c r="H65" s="4" t="s">
        <v>54</v>
      </c>
      <c r="I65" s="7"/>
      <c r="J65" t="s">
        <v>67</v>
      </c>
    </row>
    <row r="66" spans="1:10" x14ac:dyDescent="0.25">
      <c r="F66" t="s">
        <v>51</v>
      </c>
      <c r="G66" s="4">
        <v>5</v>
      </c>
      <c r="H66" s="4" t="s">
        <v>54</v>
      </c>
      <c r="I66" s="7"/>
      <c r="J66" t="s">
        <v>67</v>
      </c>
    </row>
    <row r="67" spans="1:10" x14ac:dyDescent="0.25">
      <c r="F67" t="s">
        <v>52</v>
      </c>
      <c r="G67" s="4">
        <v>5</v>
      </c>
      <c r="H67" s="4" t="s">
        <v>55</v>
      </c>
      <c r="I67" s="7"/>
      <c r="J67" t="s">
        <v>67</v>
      </c>
    </row>
    <row r="68" spans="1:10" x14ac:dyDescent="0.25">
      <c r="G68" s="4"/>
      <c r="H68" s="4"/>
      <c r="I68" s="7"/>
    </row>
    <row r="69" spans="1:10" x14ac:dyDescent="0.25">
      <c r="F69" t="s">
        <v>56</v>
      </c>
      <c r="G69" s="4">
        <v>0.61</v>
      </c>
      <c r="H69" s="4" t="s">
        <v>58</v>
      </c>
      <c r="I69" s="4" t="s">
        <v>59</v>
      </c>
      <c r="J69" t="s">
        <v>60</v>
      </c>
    </row>
    <row r="70" spans="1:10" x14ac:dyDescent="0.25">
      <c r="F70" t="s">
        <v>57</v>
      </c>
      <c r="G70" s="4">
        <v>0.99</v>
      </c>
      <c r="H70" s="4" t="s">
        <v>58</v>
      </c>
      <c r="I70" s="7"/>
    </row>
    <row r="72" spans="1:10" x14ac:dyDescent="0.25">
      <c r="C72" t="s">
        <v>8</v>
      </c>
      <c r="F72" t="s">
        <v>39</v>
      </c>
      <c r="G72">
        <v>63</v>
      </c>
      <c r="H72" t="s">
        <v>12</v>
      </c>
      <c r="J72" t="s">
        <v>49</v>
      </c>
    </row>
    <row r="73" spans="1:10" x14ac:dyDescent="0.25">
      <c r="C73" t="s">
        <v>9</v>
      </c>
      <c r="F73" t="s">
        <v>39</v>
      </c>
      <c r="G73">
        <v>59</v>
      </c>
      <c r="H73" t="s">
        <v>12</v>
      </c>
      <c r="J73" t="s">
        <v>49</v>
      </c>
    </row>
    <row r="74" spans="1:10" x14ac:dyDescent="0.25">
      <c r="C74" t="s">
        <v>10</v>
      </c>
      <c r="F74" t="s">
        <v>39</v>
      </c>
      <c r="G74" s="6">
        <f>G73</f>
        <v>59</v>
      </c>
      <c r="H74" t="s">
        <v>12</v>
      </c>
      <c r="I74" s="7" t="s">
        <v>41</v>
      </c>
    </row>
    <row r="75" spans="1:10" x14ac:dyDescent="0.25">
      <c r="A75" s="4" t="s">
        <v>21</v>
      </c>
      <c r="B75" s="4"/>
      <c r="C75" t="s">
        <v>62</v>
      </c>
      <c r="F75" t="s">
        <v>39</v>
      </c>
      <c r="G75">
        <v>56</v>
      </c>
      <c r="H75" t="s">
        <v>12</v>
      </c>
      <c r="I75" t="s">
        <v>42</v>
      </c>
      <c r="J75" t="s">
        <v>49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4"/>
  <sheetViews>
    <sheetView workbookViewId="0">
      <selection activeCell="A5" sqref="A5"/>
    </sheetView>
  </sheetViews>
  <sheetFormatPr defaultRowHeight="15" x14ac:dyDescent="0.25"/>
  <sheetData>
    <row r="2" spans="1:1" x14ac:dyDescent="0.25">
      <c r="A2" t="s">
        <v>43</v>
      </c>
    </row>
    <row r="3" spans="1:1" x14ac:dyDescent="0.25">
      <c r="A3" t="s">
        <v>61</v>
      </c>
    </row>
    <row r="4" spans="1:1" x14ac:dyDescent="0.25">
      <c r="A4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2024-04-27T19:09:13Z</dcterms:modified>
</cp:coreProperties>
</file>