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2" l="1"/>
  <c r="C21" i="2"/>
  <c r="C20" i="2"/>
  <c r="C19" i="2"/>
  <c r="C14" i="2"/>
  <c r="C15" i="2"/>
  <c r="C16" i="2"/>
  <c r="C17" i="2"/>
  <c r="C18" i="2"/>
  <c r="C13" i="2"/>
  <c r="U10" i="2" l="1"/>
  <c r="T10" i="2"/>
  <c r="U9" i="2"/>
  <c r="G9" i="2" s="1"/>
  <c r="T9" i="2"/>
  <c r="F9" i="2" s="1"/>
  <c r="U7" i="2"/>
  <c r="G7" i="2" s="1"/>
  <c r="T7" i="2"/>
  <c r="T11" i="2" s="1"/>
  <c r="F11" i="2" s="1"/>
  <c r="U8" i="2"/>
  <c r="G8" i="2" s="1"/>
  <c r="T8" i="2"/>
  <c r="R8" i="2"/>
  <c r="O8" i="2"/>
  <c r="N8" i="2"/>
  <c r="S8" i="2" s="1"/>
  <c r="E8" i="2" s="1"/>
  <c r="M8" i="2"/>
  <c r="U6" i="2"/>
  <c r="G6" i="2" s="1"/>
  <c r="T6" i="2"/>
  <c r="R6" i="2"/>
  <c r="G10" i="2"/>
  <c r="F10" i="2"/>
  <c r="F8" i="2"/>
  <c r="F7" i="2"/>
  <c r="F6" i="2"/>
  <c r="AI36" i="2"/>
  <c r="AH36" i="2"/>
  <c r="U33" i="2"/>
  <c r="T33" i="2"/>
  <c r="U31" i="2"/>
  <c r="G31" i="2" s="1"/>
  <c r="T31" i="2"/>
  <c r="F31" i="2" s="1"/>
  <c r="U20" i="2"/>
  <c r="T20" i="2"/>
  <c r="S33" i="2"/>
  <c r="S23" i="2"/>
  <c r="S10" i="2"/>
  <c r="E10" i="2" s="1"/>
  <c r="AG3" i="2"/>
  <c r="AG36" i="2" s="1"/>
  <c r="S3" i="2"/>
  <c r="S20" i="2" s="1"/>
  <c r="S31" i="2" l="1"/>
  <c r="E31" i="2" s="1"/>
  <c r="U11" i="2"/>
  <c r="G11" i="2" s="1"/>
  <c r="K237" i="1"/>
  <c r="K238" i="1"/>
  <c r="K239" i="1"/>
  <c r="K240" i="1"/>
  <c r="K248" i="1"/>
  <c r="K252" i="1"/>
  <c r="K258" i="1"/>
  <c r="K236" i="1"/>
  <c r="X37" i="2" l="1"/>
  <c r="AE36" i="2"/>
  <c r="L23" i="2"/>
  <c r="D23" i="2" s="1"/>
  <c r="K182" i="1" s="1"/>
  <c r="C11" i="2"/>
  <c r="C10" i="2"/>
  <c r="C9" i="2"/>
  <c r="C8" i="2"/>
  <c r="C7" i="2"/>
  <c r="C6" i="2"/>
  <c r="Z36" i="2"/>
  <c r="Q31" i="2"/>
  <c r="L31" i="2" s="1"/>
  <c r="D31" i="2" s="1"/>
  <c r="K190" i="1" s="1"/>
  <c r="Q20" i="2"/>
  <c r="L20" i="2" s="1"/>
  <c r="D20" i="2" s="1"/>
  <c r="K179" i="1" s="1"/>
  <c r="N6" i="2"/>
  <c r="S6" i="2" s="1"/>
  <c r="E6" i="2" s="1"/>
  <c r="R7" i="2"/>
  <c r="R9" i="2"/>
  <c r="N9" i="2"/>
  <c r="S9" i="2" s="1"/>
  <c r="E9" i="2" s="1"/>
  <c r="M9" i="2"/>
  <c r="M7" i="2"/>
  <c r="R11" i="2"/>
  <c r="M11" i="2"/>
  <c r="N11" i="2"/>
  <c r="S11" i="2" s="1"/>
  <c r="E11" i="2" s="1"/>
  <c r="Q10" i="2"/>
  <c r="L10" i="2" s="1"/>
  <c r="D10" i="2" s="1"/>
  <c r="K170" i="1" s="1"/>
  <c r="AB37" i="2" l="1"/>
  <c r="AI37" i="2"/>
  <c r="G37" i="2" s="1"/>
  <c r="AH37" i="2"/>
  <c r="F37" i="2" s="1"/>
  <c r="Q11" i="2"/>
  <c r="L11" i="2" s="1"/>
  <c r="D11" i="2" s="1"/>
  <c r="K171" i="1" s="1"/>
  <c r="AC37" i="2"/>
  <c r="AG37" i="2" s="1"/>
  <c r="E37" i="2" s="1"/>
  <c r="AA37" i="2"/>
  <c r="AF37" i="2"/>
  <c r="Y37" i="2"/>
  <c r="AD37" i="2"/>
  <c r="Q8" i="2"/>
  <c r="L8" i="2" s="1"/>
  <c r="D8" i="2" s="1"/>
  <c r="K168" i="1" s="1"/>
  <c r="Q9" i="2"/>
  <c r="L9" i="2" s="1"/>
  <c r="D9" i="2" s="1"/>
  <c r="K169" i="1" s="1"/>
  <c r="AE37" i="2" l="1"/>
  <c r="Z37" i="2" s="1"/>
  <c r="D37" i="2" s="1"/>
  <c r="K196" i="1" s="1"/>
  <c r="Q6" i="2"/>
  <c r="L6" i="2" s="1"/>
  <c r="D6" i="2" s="1"/>
  <c r="K166" i="1" s="1"/>
  <c r="N7" i="2" l="1"/>
  <c r="S7" i="2" s="1"/>
  <c r="E7" i="2" s="1"/>
  <c r="M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Q7" i="2" l="1"/>
  <c r="L7" i="2" s="1"/>
  <c r="D7" i="2" s="1"/>
  <c r="K167" i="1" s="1"/>
  <c r="K268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L37" i="2"/>
  <c r="AM37" i="2" s="1"/>
  <c r="C37" i="2" s="1"/>
  <c r="K158" i="1" s="1"/>
  <c r="K129" i="1" l="1"/>
  <c r="K130" i="1"/>
  <c r="K131" i="1"/>
  <c r="K132" i="1"/>
  <c r="K133" i="1"/>
  <c r="K128" i="1"/>
  <c r="AL14" i="2"/>
  <c r="AM14" i="2" s="1"/>
  <c r="AL15" i="2"/>
  <c r="AM15" i="2" s="1"/>
  <c r="AL16" i="2"/>
  <c r="AM16" i="2" s="1"/>
  <c r="AL17" i="2"/>
  <c r="AM17" i="2" s="1"/>
  <c r="AL18" i="2"/>
  <c r="AM18" i="2" s="1"/>
  <c r="AL19" i="2"/>
  <c r="AM19" i="2" s="1"/>
  <c r="AL23" i="2"/>
  <c r="AM23" i="2" s="1"/>
  <c r="AL26" i="2"/>
  <c r="AM26" i="2" s="1"/>
  <c r="AL28" i="2"/>
  <c r="AM28" i="2" s="1"/>
  <c r="AL32" i="2"/>
  <c r="AM32" i="2" s="1"/>
  <c r="AL33" i="2"/>
  <c r="AM33" i="2" s="1"/>
  <c r="AL42" i="2"/>
  <c r="AM42" i="2" s="1"/>
  <c r="AL43" i="2"/>
  <c r="AM43" i="2" s="1"/>
  <c r="AL13" i="2"/>
  <c r="AM13" i="2" s="1"/>
  <c r="J13" i="2"/>
  <c r="R13" i="2" l="1"/>
  <c r="U13" i="2"/>
  <c r="T13" i="2"/>
  <c r="K13" i="2"/>
  <c r="Q13" i="2"/>
  <c r="N13" i="2"/>
  <c r="S13" i="2" s="1"/>
  <c r="P13" i="2"/>
  <c r="O13" i="2"/>
  <c r="K241" i="1" s="1"/>
  <c r="K221" i="1"/>
  <c r="K217" i="1"/>
  <c r="K280" i="1" s="1"/>
  <c r="K227" i="1"/>
  <c r="J25" i="2"/>
  <c r="C31" i="2"/>
  <c r="K152" i="1" s="1"/>
  <c r="J17" i="2"/>
  <c r="X17" i="2"/>
  <c r="R17" i="2" l="1"/>
  <c r="U17" i="2"/>
  <c r="G17" i="2" s="1"/>
  <c r="T17" i="2"/>
  <c r="F17" i="2" s="1"/>
  <c r="R25" i="2"/>
  <c r="U25" i="2"/>
  <c r="G25" i="2" s="1"/>
  <c r="T25" i="2"/>
  <c r="F25" i="2" s="1"/>
  <c r="L13" i="2"/>
  <c r="D13" i="2" s="1"/>
  <c r="K172" i="1" s="1"/>
  <c r="K29" i="1"/>
  <c r="M17" i="2"/>
  <c r="K214" i="1" s="1"/>
  <c r="K277" i="1" s="1"/>
  <c r="Q17" i="2"/>
  <c r="P17" i="2"/>
  <c r="O17" i="2"/>
  <c r="K245" i="1" s="1"/>
  <c r="N17" i="2"/>
  <c r="S17" i="2" s="1"/>
  <c r="E17" i="2" s="1"/>
  <c r="K25" i="2"/>
  <c r="C25" i="2" s="1"/>
  <c r="K23" i="1" s="1"/>
  <c r="Q25" i="2"/>
  <c r="N25" i="2"/>
  <c r="S25" i="2" s="1"/>
  <c r="E25" i="2" s="1"/>
  <c r="P25" i="2"/>
  <c r="O25" i="2"/>
  <c r="K253" i="1" s="1"/>
  <c r="K17" i="2"/>
  <c r="K14" i="1" s="1"/>
  <c r="M25" i="2"/>
  <c r="K222" i="1" s="1"/>
  <c r="K330" i="1"/>
  <c r="K34" i="1"/>
  <c r="K9" i="1"/>
  <c r="K8" i="1"/>
  <c r="K5" i="1"/>
  <c r="K6" i="1"/>
  <c r="K7" i="1"/>
  <c r="K4" i="1"/>
  <c r="K206" i="1"/>
  <c r="K207" i="1"/>
  <c r="K208" i="1"/>
  <c r="K209" i="1"/>
  <c r="K269" i="1" s="1"/>
  <c r="K205" i="1"/>
  <c r="X23" i="2"/>
  <c r="J36" i="2"/>
  <c r="AI23" i="2" l="1"/>
  <c r="G23" i="2" s="1"/>
  <c r="AH23" i="2"/>
  <c r="F23" i="2" s="1"/>
  <c r="R36" i="2"/>
  <c r="U36" i="2"/>
  <c r="G36" i="2" s="1"/>
  <c r="T36" i="2"/>
  <c r="F36" i="2" s="1"/>
  <c r="L17" i="2"/>
  <c r="D17" i="2" s="1"/>
  <c r="K176" i="1" s="1"/>
  <c r="L25" i="2"/>
  <c r="D25" i="2" s="1"/>
  <c r="K184" i="1" s="1"/>
  <c r="AB23" i="2"/>
  <c r="K293" i="1" s="1"/>
  <c r="AC23" i="2"/>
  <c r="AG23" i="2" s="1"/>
  <c r="E23" i="2" s="1"/>
  <c r="AD23" i="2"/>
  <c r="AF23" i="2"/>
  <c r="K146" i="1"/>
  <c r="K36" i="2"/>
  <c r="C36" i="2" s="1"/>
  <c r="K157" i="1" s="1"/>
  <c r="Q36" i="2"/>
  <c r="N36" i="2"/>
  <c r="S36" i="2" s="1"/>
  <c r="E36" i="2" s="1"/>
  <c r="P36" i="2"/>
  <c r="O36" i="2"/>
  <c r="K261" i="1" s="1"/>
  <c r="K138" i="1"/>
  <c r="Y23" i="2"/>
  <c r="C23" i="2" s="1"/>
  <c r="AA23" i="2"/>
  <c r="K320" i="1" s="1"/>
  <c r="M36" i="2"/>
  <c r="K230" i="1" s="1"/>
  <c r="AE23" i="2" l="1"/>
  <c r="Z23" i="2" s="1"/>
  <c r="L36" i="2"/>
  <c r="D36" i="2" s="1"/>
  <c r="K195" i="1" s="1"/>
  <c r="K20" i="1"/>
  <c r="K144" i="1"/>
  <c r="J40" i="2"/>
  <c r="J14" i="2"/>
  <c r="J15" i="2"/>
  <c r="J16" i="2"/>
  <c r="J18" i="2"/>
  <c r="J19" i="2"/>
  <c r="J21" i="2"/>
  <c r="J22" i="2"/>
  <c r="J24" i="2"/>
  <c r="J26" i="2"/>
  <c r="J28" i="2"/>
  <c r="J29" i="2"/>
  <c r="J30" i="2"/>
  <c r="J32" i="2"/>
  <c r="J34" i="2"/>
  <c r="J38" i="2"/>
  <c r="J39" i="2"/>
  <c r="J42" i="2"/>
  <c r="M13" i="2"/>
  <c r="K210" i="1" s="1"/>
  <c r="K273" i="1" s="1"/>
  <c r="X13" i="2"/>
  <c r="R38" i="2" l="1"/>
  <c r="U38" i="2"/>
  <c r="T38" i="2"/>
  <c r="R16" i="2"/>
  <c r="U16" i="2"/>
  <c r="T16" i="2"/>
  <c r="R34" i="2"/>
  <c r="T34" i="2"/>
  <c r="U34" i="2"/>
  <c r="R32" i="2"/>
  <c r="Q33" i="2" s="1"/>
  <c r="L33" i="2" s="1"/>
  <c r="D33" i="2" s="1"/>
  <c r="K192" i="1" s="1"/>
  <c r="U32" i="2"/>
  <c r="T32" i="2"/>
  <c r="R19" i="2"/>
  <c r="T19" i="2"/>
  <c r="U19" i="2"/>
  <c r="R14" i="2"/>
  <c r="U14" i="2"/>
  <c r="T14" i="2"/>
  <c r="AH13" i="2"/>
  <c r="F13" i="2" s="1"/>
  <c r="AI13" i="2"/>
  <c r="G13" i="2" s="1"/>
  <c r="R29" i="2"/>
  <c r="U29" i="2"/>
  <c r="T29" i="2"/>
  <c r="R22" i="2"/>
  <c r="T22" i="2"/>
  <c r="U22" i="2"/>
  <c r="R28" i="2"/>
  <c r="T28" i="2"/>
  <c r="U28" i="2"/>
  <c r="R21" i="2"/>
  <c r="U21" i="2"/>
  <c r="T21" i="2"/>
  <c r="R15" i="2"/>
  <c r="T15" i="2"/>
  <c r="U15" i="2"/>
  <c r="R42" i="2"/>
  <c r="U42" i="2"/>
  <c r="T42" i="2"/>
  <c r="R26" i="2"/>
  <c r="U26" i="2"/>
  <c r="T26" i="2"/>
  <c r="R39" i="2"/>
  <c r="U39" i="2"/>
  <c r="T39" i="2"/>
  <c r="R30" i="2"/>
  <c r="T30" i="2"/>
  <c r="U30" i="2"/>
  <c r="R24" i="2"/>
  <c r="U24" i="2"/>
  <c r="G24" i="2" s="1"/>
  <c r="T24" i="2"/>
  <c r="F24" i="2" s="1"/>
  <c r="R18" i="2"/>
  <c r="U18" i="2"/>
  <c r="T18" i="2"/>
  <c r="R40" i="2"/>
  <c r="T40" i="2"/>
  <c r="U40" i="2"/>
  <c r="AC13" i="2"/>
  <c r="AG13" i="2" s="1"/>
  <c r="E13" i="2" s="1"/>
  <c r="AF13" i="2"/>
  <c r="AD13" i="2"/>
  <c r="K42" i="2"/>
  <c r="Q42" i="2"/>
  <c r="N42" i="2"/>
  <c r="S42" i="2" s="1"/>
  <c r="P42" i="2"/>
  <c r="O42" i="2"/>
  <c r="K265" i="1" s="1"/>
  <c r="K32" i="2"/>
  <c r="Q32" i="2"/>
  <c r="O32" i="2"/>
  <c r="K259" i="1" s="1"/>
  <c r="N32" i="2"/>
  <c r="P32" i="2"/>
  <c r="Q26" i="2"/>
  <c r="O26" i="2"/>
  <c r="K254" i="1" s="1"/>
  <c r="N26" i="2"/>
  <c r="P26" i="2"/>
  <c r="K19" i="2"/>
  <c r="Q19" i="2"/>
  <c r="P19" i="2"/>
  <c r="O19" i="2"/>
  <c r="K247" i="1" s="1"/>
  <c r="N19" i="2"/>
  <c r="S19" i="2" s="1"/>
  <c r="K14" i="2"/>
  <c r="Q14" i="2"/>
  <c r="O14" i="2"/>
  <c r="K242" i="1" s="1"/>
  <c r="N14" i="2"/>
  <c r="S14" i="2" s="1"/>
  <c r="P14" i="2"/>
  <c r="M39" i="2"/>
  <c r="K232" i="1" s="1"/>
  <c r="Q39" i="2"/>
  <c r="N39" i="2"/>
  <c r="S39" i="2" s="1"/>
  <c r="P39" i="2"/>
  <c r="O39" i="2"/>
  <c r="K263" i="1" s="1"/>
  <c r="M30" i="2"/>
  <c r="K226" i="1" s="1"/>
  <c r="Q30" i="2"/>
  <c r="P30" i="2"/>
  <c r="O30" i="2"/>
  <c r="K257" i="1" s="1"/>
  <c r="N30" i="2"/>
  <c r="S30" i="2" s="1"/>
  <c r="M24" i="2"/>
  <c r="K220" i="1" s="1"/>
  <c r="Q24" i="2"/>
  <c r="O24" i="2"/>
  <c r="K251" i="1" s="1"/>
  <c r="N24" i="2"/>
  <c r="S24" i="2" s="1"/>
  <c r="E24" i="2" s="1"/>
  <c r="P24" i="2"/>
  <c r="M18" i="2"/>
  <c r="K215" i="1" s="1"/>
  <c r="K278" i="1" s="1"/>
  <c r="Q18" i="2"/>
  <c r="O18" i="2"/>
  <c r="K246" i="1" s="1"/>
  <c r="N18" i="2"/>
  <c r="S18" i="2" s="1"/>
  <c r="P18" i="2"/>
  <c r="M40" i="2"/>
  <c r="K233" i="1" s="1"/>
  <c r="Q40" i="2"/>
  <c r="O40" i="2"/>
  <c r="K264" i="1" s="1"/>
  <c r="P40" i="2"/>
  <c r="N40" i="2"/>
  <c r="K38" i="2"/>
  <c r="Q38" i="2"/>
  <c r="O38" i="2"/>
  <c r="K262" i="1" s="1"/>
  <c r="P38" i="2"/>
  <c r="N38" i="2"/>
  <c r="S38" i="2" s="1"/>
  <c r="K29" i="2"/>
  <c r="Q29" i="2"/>
  <c r="O29" i="2"/>
  <c r="K256" i="1" s="1"/>
  <c r="N29" i="2"/>
  <c r="S29" i="2" s="1"/>
  <c r="P29" i="2"/>
  <c r="K22" i="2"/>
  <c r="Q22" i="2"/>
  <c r="P22" i="2"/>
  <c r="O22" i="2"/>
  <c r="K250" i="1" s="1"/>
  <c r="N22" i="2"/>
  <c r="S22" i="2" s="1"/>
  <c r="K16" i="2"/>
  <c r="Q16" i="2"/>
  <c r="O16" i="2"/>
  <c r="K244" i="1" s="1"/>
  <c r="N16" i="2"/>
  <c r="S16" i="2" s="1"/>
  <c r="P16" i="2"/>
  <c r="K34" i="2"/>
  <c r="Q34" i="2"/>
  <c r="O34" i="2"/>
  <c r="K260" i="1" s="1"/>
  <c r="P34" i="2"/>
  <c r="N34" i="2"/>
  <c r="S34" i="2" s="1"/>
  <c r="K28" i="2"/>
  <c r="Q28" i="2"/>
  <c r="P28" i="2"/>
  <c r="O28" i="2"/>
  <c r="K255" i="1" s="1"/>
  <c r="N28" i="2"/>
  <c r="S28" i="2" s="1"/>
  <c r="K21" i="2"/>
  <c r="Q21" i="2"/>
  <c r="O21" i="2"/>
  <c r="K249" i="1" s="1"/>
  <c r="N21" i="2"/>
  <c r="S21" i="2" s="1"/>
  <c r="P21" i="2"/>
  <c r="K15" i="2"/>
  <c r="Q15" i="2"/>
  <c r="P15" i="2"/>
  <c r="O15" i="2"/>
  <c r="K243" i="1" s="1"/>
  <c r="N15" i="2"/>
  <c r="K26" i="2"/>
  <c r="M26" i="2"/>
  <c r="K223" i="1" s="1"/>
  <c r="K40" i="2"/>
  <c r="M34" i="2"/>
  <c r="K229" i="1" s="1"/>
  <c r="M28" i="2"/>
  <c r="K224" i="1" s="1"/>
  <c r="M21" i="2"/>
  <c r="K218" i="1" s="1"/>
  <c r="M15" i="2"/>
  <c r="K212" i="1" s="1"/>
  <c r="K39" i="2"/>
  <c r="K30" i="2"/>
  <c r="K24" i="2"/>
  <c r="C24" i="2" s="1"/>
  <c r="K18" i="2"/>
  <c r="M42" i="2"/>
  <c r="K234" i="1" s="1"/>
  <c r="M38" i="2"/>
  <c r="K231" i="1" s="1"/>
  <c r="M32" i="2"/>
  <c r="K228" i="1" s="1"/>
  <c r="M29" i="2"/>
  <c r="K225" i="1" s="1"/>
  <c r="M22" i="2"/>
  <c r="K219" i="1" s="1"/>
  <c r="M19" i="2"/>
  <c r="K216" i="1" s="1"/>
  <c r="K279" i="1" s="1"/>
  <c r="M16" i="2"/>
  <c r="K213" i="1" s="1"/>
  <c r="K276" i="1" s="1"/>
  <c r="M14" i="2"/>
  <c r="K211" i="1" s="1"/>
  <c r="X43" i="2"/>
  <c r="X14" i="2"/>
  <c r="X15" i="2"/>
  <c r="X16" i="2"/>
  <c r="X18" i="2"/>
  <c r="X19" i="2"/>
  <c r="X20" i="2"/>
  <c r="X21" i="2"/>
  <c r="X22" i="2"/>
  <c r="X26" i="2"/>
  <c r="X27" i="2"/>
  <c r="X28" i="2"/>
  <c r="X29" i="2"/>
  <c r="X30" i="2"/>
  <c r="X32" i="2"/>
  <c r="X33" i="2"/>
  <c r="X34" i="2"/>
  <c r="X35" i="2"/>
  <c r="X38" i="2"/>
  <c r="X39" i="2"/>
  <c r="X40" i="2"/>
  <c r="X41" i="2"/>
  <c r="X42" i="2"/>
  <c r="AA13" i="2"/>
  <c r="K311" i="1" s="1"/>
  <c r="AH34" i="2" l="1"/>
  <c r="AI34" i="2"/>
  <c r="AH18" i="2"/>
  <c r="AI18" i="2"/>
  <c r="G18" i="2" s="1"/>
  <c r="AH43" i="2"/>
  <c r="F43" i="2" s="1"/>
  <c r="AI43" i="2"/>
  <c r="G43" i="2" s="1"/>
  <c r="L40" i="2"/>
  <c r="D40" i="2" s="1"/>
  <c r="K199" i="1" s="1"/>
  <c r="S40" i="2"/>
  <c r="F34" i="2"/>
  <c r="AH39" i="2"/>
  <c r="F39" i="2" s="1"/>
  <c r="AI39" i="2"/>
  <c r="AH33" i="2"/>
  <c r="F33" i="2" s="1"/>
  <c r="AI33" i="2"/>
  <c r="G33" i="2" s="1"/>
  <c r="AH28" i="2"/>
  <c r="F28" i="2" s="1"/>
  <c r="AI28" i="2"/>
  <c r="AI21" i="2"/>
  <c r="G21" i="2" s="1"/>
  <c r="AH21" i="2"/>
  <c r="F21" i="2" s="1"/>
  <c r="AI16" i="2"/>
  <c r="G16" i="2" s="1"/>
  <c r="AH16" i="2"/>
  <c r="G39" i="2"/>
  <c r="AI29" i="2"/>
  <c r="G29" i="2" s="1"/>
  <c r="AH29" i="2"/>
  <c r="F29" i="2" s="1"/>
  <c r="L15" i="2"/>
  <c r="D15" i="2" s="1"/>
  <c r="K174" i="1" s="1"/>
  <c r="S15" i="2"/>
  <c r="L26" i="2"/>
  <c r="D26" i="2" s="1"/>
  <c r="K185" i="1" s="1"/>
  <c r="S26" i="2"/>
  <c r="L32" i="2"/>
  <c r="D32" i="2" s="1"/>
  <c r="K191" i="1" s="1"/>
  <c r="S32" i="2"/>
  <c r="AI42" i="2"/>
  <c r="G42" i="2" s="1"/>
  <c r="AH42" i="2"/>
  <c r="F42" i="2" s="1"/>
  <c r="AI38" i="2"/>
  <c r="G38" i="2" s="1"/>
  <c r="AH38" i="2"/>
  <c r="F38" i="2" s="1"/>
  <c r="AI32" i="2"/>
  <c r="G32" i="2" s="1"/>
  <c r="AH32" i="2"/>
  <c r="F32" i="2" s="1"/>
  <c r="AI27" i="2"/>
  <c r="G27" i="2" s="1"/>
  <c r="AH27" i="2"/>
  <c r="F27" i="2" s="1"/>
  <c r="AH20" i="2"/>
  <c r="F20" i="2" s="1"/>
  <c r="AI20" i="2"/>
  <c r="G20" i="2" s="1"/>
  <c r="AH15" i="2"/>
  <c r="F15" i="2" s="1"/>
  <c r="AI15" i="2"/>
  <c r="G15" i="2" s="1"/>
  <c r="F16" i="2"/>
  <c r="AI40" i="2"/>
  <c r="G40" i="2" s="1"/>
  <c r="AH40" i="2"/>
  <c r="F40" i="2" s="1"/>
  <c r="AH22" i="2"/>
  <c r="F22" i="2" s="1"/>
  <c r="AI22" i="2"/>
  <c r="G22" i="2" s="1"/>
  <c r="AH41" i="2"/>
  <c r="F41" i="2" s="1"/>
  <c r="AI41" i="2"/>
  <c r="G41" i="2" s="1"/>
  <c r="AI35" i="2"/>
  <c r="G35" i="2" s="1"/>
  <c r="AH35" i="2"/>
  <c r="F35" i="2" s="1"/>
  <c r="AH30" i="2"/>
  <c r="F30" i="2" s="1"/>
  <c r="AI30" i="2"/>
  <c r="G30" i="2" s="1"/>
  <c r="AH26" i="2"/>
  <c r="F26" i="2" s="1"/>
  <c r="AI26" i="2"/>
  <c r="G26" i="2" s="1"/>
  <c r="AI19" i="2"/>
  <c r="G19" i="2" s="1"/>
  <c r="AH19" i="2"/>
  <c r="F19" i="2" s="1"/>
  <c r="AI14" i="2"/>
  <c r="G14" i="2" s="1"/>
  <c r="AH14" i="2"/>
  <c r="F14" i="2" s="1"/>
  <c r="F18" i="2"/>
  <c r="G28" i="2"/>
  <c r="G34" i="2"/>
  <c r="L16" i="2"/>
  <c r="L22" i="2"/>
  <c r="D22" i="2" s="1"/>
  <c r="K181" i="1" s="1"/>
  <c r="L21" i="2"/>
  <c r="D21" i="2" s="1"/>
  <c r="K180" i="1" s="1"/>
  <c r="L28" i="2"/>
  <c r="D28" i="2" s="1"/>
  <c r="K187" i="1" s="1"/>
  <c r="L18" i="2"/>
  <c r="D18" i="2" s="1"/>
  <c r="K177" i="1" s="1"/>
  <c r="L39" i="2"/>
  <c r="D39" i="2" s="1"/>
  <c r="K198" i="1" s="1"/>
  <c r="L14" i="2"/>
  <c r="D14" i="2" s="1"/>
  <c r="K173" i="1" s="1"/>
  <c r="L19" i="2"/>
  <c r="D19" i="2" s="1"/>
  <c r="K178" i="1" s="1"/>
  <c r="L42" i="2"/>
  <c r="D42" i="2" s="1"/>
  <c r="K201" i="1" s="1"/>
  <c r="L34" i="2"/>
  <c r="D34" i="2" s="1"/>
  <c r="K193" i="1" s="1"/>
  <c r="L29" i="2"/>
  <c r="D29" i="2" s="1"/>
  <c r="K188" i="1" s="1"/>
  <c r="L38" i="2"/>
  <c r="D38" i="2" s="1"/>
  <c r="K197" i="1" s="1"/>
  <c r="L24" i="2"/>
  <c r="D24" i="2" s="1"/>
  <c r="K183" i="1" s="1"/>
  <c r="L30" i="2"/>
  <c r="D30" i="2" s="1"/>
  <c r="K189" i="1" s="1"/>
  <c r="AE13" i="2"/>
  <c r="Z13" i="2" s="1"/>
  <c r="Y40" i="2"/>
  <c r="C40" i="2" s="1"/>
  <c r="K161" i="1" s="1"/>
  <c r="AC40" i="2"/>
  <c r="AG40" i="2" s="1"/>
  <c r="AD40" i="2"/>
  <c r="AF40" i="2"/>
  <c r="Y34" i="2"/>
  <c r="C34" i="2" s="1"/>
  <c r="K155" i="1" s="1"/>
  <c r="AC34" i="2"/>
  <c r="AG34" i="2" s="1"/>
  <c r="E34" i="2" s="1"/>
  <c r="AD34" i="2"/>
  <c r="AF34" i="2"/>
  <c r="Y29" i="2"/>
  <c r="C29" i="2" s="1"/>
  <c r="K150" i="1" s="1"/>
  <c r="AC29" i="2"/>
  <c r="AG29" i="2" s="1"/>
  <c r="E29" i="2" s="1"/>
  <c r="AD29" i="2"/>
  <c r="AF29" i="2"/>
  <c r="Y22" i="2"/>
  <c r="K19" i="1" s="1"/>
  <c r="AC22" i="2"/>
  <c r="AG22" i="2" s="1"/>
  <c r="E22" i="2" s="1"/>
  <c r="AF22" i="2"/>
  <c r="AD22" i="2"/>
  <c r="Y18" i="2"/>
  <c r="AF18" i="2"/>
  <c r="AC18" i="2"/>
  <c r="AG18" i="2" s="1"/>
  <c r="E18" i="2" s="1"/>
  <c r="AD18" i="2"/>
  <c r="AB43" i="2"/>
  <c r="K309" i="1" s="1"/>
  <c r="AF43" i="2"/>
  <c r="AC43" i="2"/>
  <c r="AG43" i="2" s="1"/>
  <c r="E43" i="2" s="1"/>
  <c r="AD43" i="2"/>
  <c r="AB39" i="2"/>
  <c r="K305" i="1" s="1"/>
  <c r="AF39" i="2"/>
  <c r="AC39" i="2"/>
  <c r="AG39" i="2" s="1"/>
  <c r="E39" i="2" s="1"/>
  <c r="AD39" i="2"/>
  <c r="AB33" i="2"/>
  <c r="K300" i="1" s="1"/>
  <c r="AF33" i="2"/>
  <c r="AC33" i="2"/>
  <c r="AG33" i="2" s="1"/>
  <c r="E33" i="2" s="1"/>
  <c r="AD33" i="2"/>
  <c r="AB28" i="2"/>
  <c r="K296" i="1" s="1"/>
  <c r="AC28" i="2"/>
  <c r="AG28" i="2" s="1"/>
  <c r="E28" i="2" s="1"/>
  <c r="AF28" i="2"/>
  <c r="AD28" i="2"/>
  <c r="AB21" i="2"/>
  <c r="K291" i="1" s="1"/>
  <c r="AF21" i="2"/>
  <c r="AD21" i="2"/>
  <c r="AC21" i="2"/>
  <c r="AG21" i="2" s="1"/>
  <c r="E21" i="2" s="1"/>
  <c r="AB16" i="2"/>
  <c r="K287" i="1" s="1"/>
  <c r="AF16" i="2"/>
  <c r="AD16" i="2"/>
  <c r="AC16" i="2"/>
  <c r="AG16" i="2" s="1"/>
  <c r="E16" i="2" s="1"/>
  <c r="AA42" i="2"/>
  <c r="K335" i="1" s="1"/>
  <c r="AF42" i="2"/>
  <c r="AD42" i="2"/>
  <c r="AC42" i="2"/>
  <c r="AG42" i="2" s="1"/>
  <c r="E42" i="2" s="1"/>
  <c r="AA38" i="2"/>
  <c r="K331" i="1" s="1"/>
  <c r="AF38" i="2"/>
  <c r="AD38" i="2"/>
  <c r="AC38" i="2"/>
  <c r="AG38" i="2" s="1"/>
  <c r="E38" i="2" s="1"/>
  <c r="AA32" i="2"/>
  <c r="K326" i="1" s="1"/>
  <c r="AF32" i="2"/>
  <c r="AD32" i="2"/>
  <c r="AC32" i="2"/>
  <c r="AG32" i="2" s="1"/>
  <c r="AA27" i="2"/>
  <c r="K322" i="1" s="1"/>
  <c r="AF27" i="2"/>
  <c r="AD27" i="2"/>
  <c r="AC27" i="2"/>
  <c r="AG27" i="2" s="1"/>
  <c r="E27" i="2" s="1"/>
  <c r="AA20" i="2"/>
  <c r="K317" i="1" s="1"/>
  <c r="AD20" i="2"/>
  <c r="AC20" i="2"/>
  <c r="AG20" i="2" s="1"/>
  <c r="E20" i="2" s="1"/>
  <c r="AF20" i="2"/>
  <c r="AA15" i="2"/>
  <c r="K313" i="1" s="1"/>
  <c r="AD15" i="2"/>
  <c r="AF15" i="2"/>
  <c r="AC15" i="2"/>
  <c r="AG15" i="2" s="1"/>
  <c r="Y41" i="2"/>
  <c r="C41" i="2" s="1"/>
  <c r="K162" i="1" s="1"/>
  <c r="AD41" i="2"/>
  <c r="AC41" i="2"/>
  <c r="AG41" i="2" s="1"/>
  <c r="E41" i="2" s="1"/>
  <c r="AF41" i="2"/>
  <c r="Y35" i="2"/>
  <c r="C35" i="2" s="1"/>
  <c r="K156" i="1" s="1"/>
  <c r="AD35" i="2"/>
  <c r="AC35" i="2"/>
  <c r="AG35" i="2" s="1"/>
  <c r="E35" i="2" s="1"/>
  <c r="AF35" i="2"/>
  <c r="Y30" i="2"/>
  <c r="C30" i="2" s="1"/>
  <c r="AD30" i="2"/>
  <c r="AF30" i="2"/>
  <c r="AC30" i="2"/>
  <c r="AG30" i="2" s="1"/>
  <c r="E30" i="2" s="1"/>
  <c r="Y26" i="2"/>
  <c r="C26" i="2" s="1"/>
  <c r="K147" i="1" s="1"/>
  <c r="AD26" i="2"/>
  <c r="AC26" i="2"/>
  <c r="AG26" i="2" s="1"/>
  <c r="AF26" i="2"/>
  <c r="Y19" i="2"/>
  <c r="AC19" i="2"/>
  <c r="AG19" i="2" s="1"/>
  <c r="E19" i="2" s="1"/>
  <c r="AD19" i="2"/>
  <c r="AF19" i="2"/>
  <c r="Y14" i="2"/>
  <c r="K11" i="1" s="1"/>
  <c r="AC14" i="2"/>
  <c r="AG14" i="2" s="1"/>
  <c r="E14" i="2" s="1"/>
  <c r="AD14" i="2"/>
  <c r="AF14" i="2"/>
  <c r="K16" i="1"/>
  <c r="K271" i="1"/>
  <c r="K275" i="1"/>
  <c r="K272" i="1"/>
  <c r="K274" i="1"/>
  <c r="K22" i="1"/>
  <c r="K145" i="1"/>
  <c r="Y42" i="2"/>
  <c r="C42" i="2" s="1"/>
  <c r="Y38" i="2"/>
  <c r="C38" i="2" s="1"/>
  <c r="Y32" i="2"/>
  <c r="C32" i="2" s="1"/>
  <c r="Y27" i="2"/>
  <c r="C27" i="2" s="1"/>
  <c r="Y20" i="2"/>
  <c r="Y15" i="2"/>
  <c r="AB41" i="2"/>
  <c r="K307" i="1" s="1"/>
  <c r="AB35" i="2"/>
  <c r="K302" i="1" s="1"/>
  <c r="AB30" i="2"/>
  <c r="K298" i="1" s="1"/>
  <c r="AB26" i="2"/>
  <c r="K294" i="1" s="1"/>
  <c r="AB19" i="2"/>
  <c r="K289" i="1" s="1"/>
  <c r="AB14" i="2"/>
  <c r="K285" i="1" s="1"/>
  <c r="AA43" i="2"/>
  <c r="K336" i="1" s="1"/>
  <c r="AB40" i="2"/>
  <c r="K306" i="1" s="1"/>
  <c r="AB34" i="2"/>
  <c r="AB29" i="2"/>
  <c r="K297" i="1" s="1"/>
  <c r="AB22" i="2"/>
  <c r="K292" i="1" s="1"/>
  <c r="AB18" i="2"/>
  <c r="K288" i="1" s="1"/>
  <c r="Y43" i="2"/>
  <c r="C43" i="2" s="1"/>
  <c r="AA40" i="2"/>
  <c r="K333" i="1" s="1"/>
  <c r="AA34" i="2"/>
  <c r="K328" i="1" s="1"/>
  <c r="AA29" i="2"/>
  <c r="K324" i="1" s="1"/>
  <c r="AA22" i="2"/>
  <c r="K319" i="1" s="1"/>
  <c r="AA18" i="2"/>
  <c r="K315" i="1" s="1"/>
  <c r="Y13" i="2"/>
  <c r="AA39" i="2"/>
  <c r="K332" i="1" s="1"/>
  <c r="Y39" i="2"/>
  <c r="C39" i="2" s="1"/>
  <c r="Y21" i="2"/>
  <c r="AA33" i="2"/>
  <c r="K327" i="1" s="1"/>
  <c r="AA16" i="2"/>
  <c r="K314" i="1" s="1"/>
  <c r="AB13" i="2"/>
  <c r="Y16" i="2"/>
  <c r="AB42" i="2"/>
  <c r="K308" i="1" s="1"/>
  <c r="AA41" i="2"/>
  <c r="K334" i="1" s="1"/>
  <c r="AB38" i="2"/>
  <c r="K304" i="1" s="1"/>
  <c r="AA35" i="2"/>
  <c r="K329" i="1" s="1"/>
  <c r="AB32" i="2"/>
  <c r="K299" i="1" s="1"/>
  <c r="AA30" i="2"/>
  <c r="K325" i="1" s="1"/>
  <c r="AB27" i="2"/>
  <c r="K295" i="1" s="1"/>
  <c r="AA26" i="2"/>
  <c r="K321" i="1" s="1"/>
  <c r="AB20" i="2"/>
  <c r="K290" i="1" s="1"/>
  <c r="AA19" i="2"/>
  <c r="K316" i="1" s="1"/>
  <c r="AB15" i="2"/>
  <c r="K286" i="1" s="1"/>
  <c r="AA14" i="2"/>
  <c r="K312" i="1" s="1"/>
  <c r="AA28" i="2"/>
  <c r="K323" i="1" s="1"/>
  <c r="AA21" i="2"/>
  <c r="K318" i="1" s="1"/>
  <c r="Y33" i="2"/>
  <c r="C33" i="2" s="1"/>
  <c r="Y28" i="2"/>
  <c r="C28" i="2" s="1"/>
  <c r="E40" i="2" l="1"/>
  <c r="E26" i="2"/>
  <c r="D16" i="2"/>
  <c r="K175" i="1" s="1"/>
  <c r="E32" i="2"/>
  <c r="E15" i="2"/>
  <c r="K33" i="1"/>
  <c r="K32" i="1" s="1"/>
  <c r="K140" i="1"/>
  <c r="AE30" i="2"/>
  <c r="Z30" i="2" s="1"/>
  <c r="AE32" i="2"/>
  <c r="Z32" i="2" s="1"/>
  <c r="AE42" i="2"/>
  <c r="Z42" i="2" s="1"/>
  <c r="AE16" i="2"/>
  <c r="Z16" i="2" s="1"/>
  <c r="AE26" i="2"/>
  <c r="Z26" i="2" s="1"/>
  <c r="AE35" i="2"/>
  <c r="Z35" i="2" s="1"/>
  <c r="D35" i="2" s="1"/>
  <c r="K194" i="1" s="1"/>
  <c r="AE41" i="2"/>
  <c r="Z41" i="2" s="1"/>
  <c r="D41" i="2" s="1"/>
  <c r="K200" i="1" s="1"/>
  <c r="AE20" i="2"/>
  <c r="Z20" i="2" s="1"/>
  <c r="AE33" i="2"/>
  <c r="Z33" i="2" s="1"/>
  <c r="AE39" i="2"/>
  <c r="Z39" i="2" s="1"/>
  <c r="AE43" i="2"/>
  <c r="Z43" i="2" s="1"/>
  <c r="D43" i="2" s="1"/>
  <c r="K202" i="1" s="1"/>
  <c r="AE18" i="2"/>
  <c r="Z18" i="2" s="1"/>
  <c r="K24" i="1"/>
  <c r="AE14" i="2"/>
  <c r="Z14" i="2" s="1"/>
  <c r="AE19" i="2"/>
  <c r="Z19" i="2" s="1"/>
  <c r="AE28" i="2"/>
  <c r="Z28" i="2" s="1"/>
  <c r="AE22" i="2"/>
  <c r="Z22" i="2" s="1"/>
  <c r="AE29" i="2"/>
  <c r="Z29" i="2" s="1"/>
  <c r="AE34" i="2"/>
  <c r="Z34" i="2" s="1"/>
  <c r="AE40" i="2"/>
  <c r="Z40" i="2" s="1"/>
  <c r="AE15" i="2"/>
  <c r="Z15" i="2" s="1"/>
  <c r="AE27" i="2"/>
  <c r="Z27" i="2" s="1"/>
  <c r="D27" i="2" s="1"/>
  <c r="K186" i="1" s="1"/>
  <c r="AE38" i="2"/>
  <c r="Z38" i="2" s="1"/>
  <c r="AE21" i="2"/>
  <c r="Z21" i="2" s="1"/>
  <c r="K284" i="1"/>
  <c r="K135" i="1"/>
  <c r="K27" i="1"/>
  <c r="K143" i="1"/>
  <c r="K26" i="1"/>
  <c r="K149" i="1"/>
  <c r="K15" i="1"/>
  <c r="K139" i="1"/>
  <c r="K30" i="1"/>
  <c r="K153" i="1"/>
  <c r="K25" i="1"/>
  <c r="K148" i="1"/>
  <c r="K36" i="1"/>
  <c r="K160" i="1"/>
  <c r="K12" i="1"/>
  <c r="K136" i="1"/>
  <c r="K35" i="1"/>
  <c r="K159" i="1"/>
  <c r="K28" i="1"/>
  <c r="K151" i="1"/>
  <c r="K13" i="1"/>
  <c r="K137" i="1"/>
  <c r="K31" i="1"/>
  <c r="K154" i="1"/>
  <c r="K40" i="1"/>
  <c r="K164" i="1"/>
  <c r="K10" i="1"/>
  <c r="K134" i="1"/>
  <c r="K17" i="1"/>
  <c r="K141" i="1"/>
  <c r="K39" i="1"/>
  <c r="K163" i="1"/>
  <c r="K142" i="1"/>
  <c r="K301" i="1"/>
  <c r="AB36" i="2"/>
  <c r="K303" i="1" s="1"/>
  <c r="K37" i="1"/>
  <c r="K38" i="1" s="1"/>
  <c r="K18" i="1" l="1"/>
</calcChain>
</file>

<file path=xl/sharedStrings.xml><?xml version="1.0" encoding="utf-8"?>
<sst xmlns="http://schemas.openxmlformats.org/spreadsheetml/2006/main" count="1566" uniqueCount="519">
  <si>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</si>
  <si>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</si>
  <si>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</si>
  <si>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</si>
  <si>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</si>
  <si>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</si>
  <si>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</si>
  <si>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</si>
  <si>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</si>
  <si>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</si>
  <si>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</si>
  <si>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</si>
  <si>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</si>
  <si>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</si>
  <si>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</si>
  <si>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</si>
  <si>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</si>
  <si>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</si>
  <si>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</si>
  <si>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</si>
  <si>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</si>
  <si>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</si>
  <si>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</si>
  <si>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</si>
  <si>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</si>
  <si>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</si>
  <si>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</si>
  <si>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</si>
  <si>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</si>
  <si>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</si>
  <si>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</si>
  <si>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</si>
  <si>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</si>
  <si>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</si>
  <si>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</si>
  <si>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</si>
  <si>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</si>
  <si>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</si>
  <si>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</si>
  <si>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</si>
  <si>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</si>
  <si>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</si>
  <si>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</si>
  <si>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</si>
  <si>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</si>
  <si>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</si>
  <si>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</si>
  <si>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</si>
  <si>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</si>
  <si>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</si>
  <si>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</si>
  <si>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</si>
  <si>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</si>
  <si>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</si>
  <si>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</si>
  <si>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</si>
  <si>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</si>
  <si>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</si>
  <si>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</si>
  <si>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</si>
  <si>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</si>
  <si>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</si>
  <si>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</si>
  <si>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</si>
  <si>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</si>
  <si>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</si>
  <si>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</si>
  <si>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</si>
  <si>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</si>
  <si>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</si>
  <si>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</si>
  <si>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</si>
  <si>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</si>
  <si>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</si>
  <si>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</si>
  <si>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</si>
  <si>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</si>
  <si>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</si>
  <si>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</si>
  <si>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</si>
  <si>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</si>
  <si>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</si>
  <si>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</si>
  <si>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</si>
  <si>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</si>
  <si>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</si>
  <si>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</si>
  <si>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</si>
  <si>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</si>
  <si>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</si>
  <si>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</si>
  <si>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</si>
  <si>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</si>
  <si>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</si>
  <si>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</si>
  <si>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</si>
  <si>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</si>
  <si>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</si>
  <si>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</si>
  <si>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</si>
  <si>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</si>
  <si>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</si>
  <si>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</si>
  <si>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</si>
  <si>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</si>
  <si>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</si>
  <si>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</si>
  <si>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</si>
  <si>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</si>
  <si>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</si>
  <si>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</si>
  <si>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</si>
  <si>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</si>
  <si>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</si>
  <si>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</si>
  <si>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</si>
  <si>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</si>
  <si>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</si>
  <si>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</si>
  <si>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</si>
  <si>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</si>
  <si>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</si>
  <si>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</si>
  <si>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</si>
  <si>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</si>
  <si>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</si>
  <si>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</si>
  <si>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</si>
  <si>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</si>
  <si>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</si>
  <si>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</si>
  <si>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</si>
  <si>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</si>
  <si>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</si>
  <si>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</si>
  <si>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</si>
  <si>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</si>
  <si>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</si>
  <si>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</si>
  <si>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</si>
  <si>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</si>
  <si>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</si>
  <si>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</si>
  <si>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</si>
  <si>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</si>
  <si>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</si>
  <si>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</si>
  <si>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</si>
  <si>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</si>
  <si>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</si>
  <si>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</si>
  <si>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</si>
  <si>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</si>
  <si>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</si>
  <si>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</si>
  <si>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</si>
  <si>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</si>
  <si>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</si>
  <si>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</si>
  <si>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</si>
  <si>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</si>
  <si>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</si>
  <si>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</si>
  <si>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</si>
  <si>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</si>
  <si>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</si>
  <si>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</si>
  <si>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</si>
  <si>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</si>
  <si>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</si>
  <si>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</si>
  <si>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</si>
  <si>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</si>
  <si>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</si>
  <si>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</si>
  <si>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</si>
  <si>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</si>
  <si>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</si>
  <si>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</si>
  <si>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</si>
  <si>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</si>
  <si>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</si>
  <si>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</si>
  <si>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</si>
  <si>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</si>
  <si>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</si>
  <si>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</si>
  <si>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</si>
  <si>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</si>
  <si>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</si>
  <si>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</si>
  <si>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</si>
  <si>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</si>
  <si>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</si>
  <si>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</si>
  <si>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</si>
  <si>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</si>
  <si>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</si>
  <si>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</si>
  <si>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</si>
  <si>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</si>
  <si>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</si>
  <si>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</si>
  <si>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</si>
  <si>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</si>
  <si>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</si>
  <si>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</si>
  <si>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</si>
  <si>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</si>
  <si>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</si>
  <si>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</si>
  <si>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</si>
  <si>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</si>
  <si>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</si>
  <si>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</si>
  <si>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</si>
  <si>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</si>
  <si>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</si>
  <si>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</si>
  <si>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</si>
  <si>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</si>
  <si>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</si>
  <si>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</si>
  <si>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</si>
  <si>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</si>
  <si>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</si>
  <si>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</si>
  <si>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</si>
  <si>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</si>
  <si>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</si>
  <si>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</si>
  <si>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</si>
  <si>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</si>
  <si>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</si>
  <si>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</si>
  <si>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</si>
  <si>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</si>
  <si>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</si>
  <si>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</si>
  <si>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</si>
  <si>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</si>
  <si>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</si>
  <si>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</si>
  <si>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</si>
  <si>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</si>
  <si>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</si>
  <si>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</si>
  <si>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</si>
  <si>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</si>
  <si>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</si>
  <si>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</si>
  <si>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</si>
  <si>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</si>
  <si>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</si>
  <si>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</si>
  <si>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</si>
  <si>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</si>
  <si>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</si>
  <si>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</si>
  <si>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</si>
  <si>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</si>
  <si>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</si>
  <si>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</si>
  <si>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</si>
  <si>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</si>
  <si>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</si>
  <si>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</si>
  <si>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</si>
  <si>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</si>
  <si>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</si>
  <si>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</si>
  <si>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</si>
  <si>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</si>
  <si>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</si>
  <si>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</si>
  <si>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</si>
  <si>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</si>
  <si>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</si>
  <si>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</si>
  <si>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</si>
  <si>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</si>
  <si>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</si>
  <si>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</si>
  <si>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</si>
  <si>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</si>
  <si>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</si>
  <si>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</si>
  <si>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</si>
  <si>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</si>
  <si>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</si>
  <si>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</si>
  <si>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</si>
  <si>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</si>
  <si>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</si>
  <si>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</si>
  <si>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</si>
  <si>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</si>
  <si>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</si>
  <si>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</si>
  <si>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</si>
  <si>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</si>
  <si>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</si>
  <si>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</si>
  <si>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</si>
  <si>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</si>
  <si>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</si>
  <si>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</si>
  <si>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</si>
  <si>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</si>
  <si>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</si>
  <si>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</si>
  <si>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</si>
  <si>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</si>
  <si>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</si>
  <si>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</si>
  <si>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</si>
  <si>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</si>
  <si>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</si>
  <si>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</si>
  <si>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</si>
  <si>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</si>
  <si>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</si>
  <si>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</si>
  <si>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</si>
  <si>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</si>
  <si>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</si>
  <si>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</si>
  <si>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</si>
  <si>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</si>
  <si>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</si>
  <si>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</si>
  <si>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</si>
  <si>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</si>
  <si>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</si>
  <si>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</si>
  <si>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</si>
  <si>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</si>
  <si>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</si>
  <si>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</si>
  <si>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</si>
  <si>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</si>
  <si>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</si>
  <si>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</si>
  <si>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</si>
  <si>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</si>
  <si>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</si>
  <si>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</si>
  <si>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</si>
  <si>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</si>
  <si>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</si>
  <si>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</si>
  <si>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</si>
  <si>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</si>
  <si>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</si>
  <si>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</si>
  <si>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</si>
  <si>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</si>
  <si>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</si>
  <si>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</si>
  <si>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</si>
  <si>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</si>
  <si>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</si>
  <si>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</si>
  <si>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</si>
  <si>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</si>
  <si>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</si>
  <si>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</si>
  <si>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</si>
  <si>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</si>
  <si>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</si>
  <si>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</si>
  <si>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</si>
  <si>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</si>
  <si>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</si>
  <si>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</si>
  <si>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</si>
  <si>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</si>
  <si>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</si>
  <si>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</si>
  <si>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</si>
  <si>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</si>
  <si>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</si>
  <si>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</si>
  <si>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</si>
  <si>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</si>
  <si>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</si>
  <si>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</si>
  <si>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</si>
  <si>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</si>
  <si>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</si>
  <si>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</si>
  <si>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</si>
  <si>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</si>
  <si>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</si>
  <si>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</si>
  <si>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</si>
  <si>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</si>
  <si>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</si>
  <si>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</si>
  <si>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</si>
  <si>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</si>
  <si>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</si>
  <si>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</si>
  <si>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</si>
  <si>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</si>
  <si>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</si>
  <si>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</si>
  <si>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</si>
  <si>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</si>
  <si>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</si>
  <si>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</si>
  <si>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</si>
  <si>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</si>
  <si>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</si>
  <si>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</si>
  <si>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</si>
  <si>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</si>
  <si>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</si>
  <si>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</si>
  <si>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</si>
  <si>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</si>
  <si>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</si>
  <si>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</si>
  <si>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</si>
  <si>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</si>
  <si>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</si>
  <si>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</si>
  <si>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</si>
  <si>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</si>
  <si>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</si>
  <si>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</si>
  <si>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</si>
  <si>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</si>
  <si>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</si>
  <si>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</si>
  <si>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</si>
  <si>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</si>
  <si>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</si>
  <si>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</si>
  <si>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</si>
  <si>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</si>
  <si>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</si>
  <si>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</si>
  <si>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</si>
  <si>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</si>
  <si>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</si>
  <si>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</si>
  <si>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</si>
  <si>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</si>
  <si>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</si>
  <si>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</si>
  <si>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</si>
  <si>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</si>
  <si>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</si>
  <si>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</si>
  <si>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</si>
  <si>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</si>
  <si>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</si>
  <si>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</si>
  <si>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</si>
  <si>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</si>
  <si>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</si>
  <si>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</si>
  <si>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</si>
  <si>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</si>
  <si>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</si>
  <si>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</si>
  <si>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</si>
  <si>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</si>
  <si>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</si>
  <si>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</si>
  <si>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</si>
  <si>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</si>
  <si>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</si>
  <si>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</si>
  <si>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</si>
  <si>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</si>
  <si>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</si>
  <si>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</si>
  <si>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</si>
  <si>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</si>
  <si>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</si>
  <si>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</si>
  <si>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</si>
  <si>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</si>
  <si>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</si>
  <si>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</si>
  <si>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</si>
  <si>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</si>
  <si>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</si>
  <si>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</si>
  <si>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</si>
  <si>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</si>
  <si>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</si>
  <si>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</si>
  <si>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</si>
  <si>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</si>
  <si>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</si>
  <si>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</si>
  <si>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</si>
  <si>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</si>
  <si>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</si>
  <si>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</si>
  <si>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</si>
  <si>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</si>
  <si>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</si>
  <si>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</si>
  <si>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</si>
  <si>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</si>
  <si>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r>
      <t>Enteric fermentation</t>
    </r>
    <r>
      <rPr>
        <sz val="11"/>
        <color theme="1"/>
        <rFont val="Calibri"/>
        <family val="2"/>
        <scheme val="minor"/>
      </rPr>
      <t xml:space="preserve"> (for cattle Ym is calculated from feed ration)</t>
    </r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</si>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</sst>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64" fontId="16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  <xf numFmtId="1" fontId="8" fillId="0" borderId="2" xfId="0" applyNumberFormat="1" applyFont="1" applyBorder="1"/>
    <xf numFmtId="1" fontId="3" fillId="0" borderId="2" xfId="0" applyNumberFormat="1" applyFont="1" applyBorder="1"/>
    <xf numFmtId="0" fontId="8" fillId="0" borderId="2" xfId="0" applyFont="1" applyBorder="1"/>
    <xf numFmtId="0" fontId="0" fillId="10" borderId="0" xfId="0" applyFill="1" applyAlignment="1">
      <alignment horizontal="right"/>
    </xf>
    <xf numFmtId="164" fontId="0" fillId="0" borderId="5" xfId="0" applyNumberFormat="1" applyBorder="1"/>
    <xf numFmtId="2" fontId="0" fillId="0" borderId="0" xfId="0" applyNumberFormat="1" applyBorder="1"/>
    <xf numFmtId="2" fontId="0" fillId="0" borderId="3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2" fontId="16" fillId="0" borderId="0" xfId="0" applyNumberFormat="1" applyFont="1" applyBorder="1"/>
    <xf numFmtId="2" fontId="16" fillId="0" borderId="3" xfId="0" applyNumberFormat="1" applyFont="1" applyBorder="1"/>
    <xf numFmtId="0" fontId="0" fillId="0" borderId="0" xfId="0" applyFont="1"/>
    <xf numFmtId="0" fontId="1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feedipedia.org/node/11744" TargetMode="External"/><Relationship Id="rId7" Type="http://schemas.openxmlformats.org/officeDocument/2006/relationships/hyperlink" Target="https://www.feedtables.com/content/rapeseed-oil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www.feedtables.com/content/wheat-feed-flou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6"/>
  <sheetViews>
    <sheetView tabSelected="1" zoomScale="80" zoomScaleNormal="80" workbookViewId="0">
      <pane ySplit="1" topLeftCell="A85" activePane="bottomLeft" state="frozen"/>
      <selection pane="bottomLeft" activeCell="M116" sqref="M116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1.1627906976744187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1.1627906976744187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1.1627906976744187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1.1627906976744187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1.1627906976744187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1.1764705882352942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1.1764705882352942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1.0989010989010988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1.0989010989010988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1.1389521640091116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397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398</v>
      </c>
      <c r="N78" t="s">
        <v>394</v>
      </c>
    </row>
    <row r="79" spans="1:14" x14ac:dyDescent="0.25">
      <c r="A79" t="s">
        <v>396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399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399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400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400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401</v>
      </c>
      <c r="N83" t="s">
        <v>394</v>
      </c>
    </row>
    <row r="84" spans="1:14" x14ac:dyDescent="0.25">
      <c r="A84" t="s">
        <v>396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403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517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518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402</v>
      </c>
      <c r="K117" s="3"/>
      <c r="M117" s="26"/>
    </row>
    <row r="118" spans="1:14" x14ac:dyDescent="0.25">
      <c r="K118" s="3"/>
      <c r="M118" s="26"/>
    </row>
    <row r="119" spans="1:14" x14ac:dyDescent="0.25">
      <c r="A119" s="1" t="s">
        <v>509</v>
      </c>
      <c r="B119" s="1"/>
      <c r="C119" s="1"/>
      <c r="D119" s="1"/>
      <c r="E119" s="2"/>
      <c r="F119" s="2"/>
      <c r="G119" s="2"/>
      <c r="H119" s="2"/>
      <c r="I119" s="2"/>
      <c r="J119" s="2"/>
      <c r="K119" s="2"/>
      <c r="L119" s="2"/>
      <c r="M119" s="2" t="s">
        <v>300</v>
      </c>
      <c r="N119" s="2"/>
    </row>
    <row r="120" spans="1:14" x14ac:dyDescent="0.25">
      <c r="A120" s="3" t="s">
        <v>396</v>
      </c>
      <c r="B120" s="3"/>
      <c r="C120" s="3"/>
      <c r="D120" s="3"/>
      <c r="E120" s="3" t="s">
        <v>510</v>
      </c>
      <c r="F120" s="3"/>
      <c r="G120" s="3"/>
      <c r="H120" s="3"/>
      <c r="I120" s="3"/>
      <c r="J120" s="3" t="s">
        <v>511</v>
      </c>
      <c r="K120" s="3">
        <v>4.5</v>
      </c>
      <c r="L120" s="3" t="s">
        <v>512</v>
      </c>
      <c r="M120" s="3"/>
    </row>
    <row r="121" spans="1:14" x14ac:dyDescent="0.25">
      <c r="A121" s="3" t="s">
        <v>396</v>
      </c>
      <c r="B121" s="3"/>
      <c r="C121" s="3"/>
      <c r="D121" s="3"/>
      <c r="E121" s="3"/>
      <c r="F121" s="3"/>
      <c r="G121" s="3"/>
      <c r="H121" s="3"/>
      <c r="I121" s="3"/>
      <c r="J121" s="3" t="s">
        <v>511</v>
      </c>
      <c r="K121" s="3">
        <v>6.5</v>
      </c>
      <c r="L121" s="3" t="s">
        <v>512</v>
      </c>
      <c r="M121" s="3"/>
    </row>
    <row r="122" spans="1:14" x14ac:dyDescent="0.25">
      <c r="A122" t="s">
        <v>391</v>
      </c>
      <c r="J122" t="s">
        <v>513</v>
      </c>
      <c r="K122" s="26">
        <v>18</v>
      </c>
      <c r="L122" t="s">
        <v>514</v>
      </c>
      <c r="M122" s="3"/>
      <c r="N122" t="s">
        <v>515</v>
      </c>
    </row>
    <row r="123" spans="1:14" x14ac:dyDescent="0.25">
      <c r="A123" t="s">
        <v>25</v>
      </c>
      <c r="J123" t="s">
        <v>513</v>
      </c>
      <c r="K123" s="26">
        <v>1.5</v>
      </c>
      <c r="L123" t="s">
        <v>514</v>
      </c>
      <c r="M123" s="3"/>
      <c r="N123" t="s">
        <v>515</v>
      </c>
    </row>
    <row r="124" spans="1:14" x14ac:dyDescent="0.25">
      <c r="A124" t="s">
        <v>385</v>
      </c>
      <c r="J124" t="s">
        <v>513</v>
      </c>
      <c r="K124" s="26">
        <v>0</v>
      </c>
      <c r="L124" t="s">
        <v>514</v>
      </c>
      <c r="M124" s="3"/>
      <c r="N124" t="s">
        <v>515</v>
      </c>
    </row>
    <row r="125" spans="1:14" x14ac:dyDescent="0.25">
      <c r="K125" s="3"/>
      <c r="M125" s="3"/>
    </row>
    <row r="126" spans="1:14" x14ac:dyDescent="0.25">
      <c r="A126" s="1" t="s">
        <v>26</v>
      </c>
      <c r="B126" s="1"/>
      <c r="C126" s="1"/>
      <c r="D126" s="1"/>
      <c r="E126" s="2"/>
      <c r="F126" s="2"/>
      <c r="G126" s="2"/>
      <c r="H126" s="2"/>
      <c r="I126" s="2"/>
      <c r="J126" s="2"/>
      <c r="K126" s="2"/>
      <c r="L126" s="2"/>
      <c r="M126" s="2" t="s">
        <v>300</v>
      </c>
      <c r="N126" s="2"/>
    </row>
    <row r="127" spans="1:14" x14ac:dyDescent="0.25">
      <c r="A127" s="79" t="s">
        <v>494</v>
      </c>
      <c r="B127" s="80"/>
      <c r="C127" s="80"/>
      <c r="D127" s="80"/>
      <c r="E127" s="81"/>
      <c r="F127" s="81"/>
      <c r="G127" s="81"/>
      <c r="H127" s="81"/>
      <c r="I127" s="81"/>
      <c r="J127" s="81"/>
      <c r="K127" s="81"/>
      <c r="L127" s="81"/>
      <c r="M127" s="81"/>
      <c r="N127" s="81"/>
    </row>
    <row r="128" spans="1:14" x14ac:dyDescent="0.25">
      <c r="F128" t="s">
        <v>306</v>
      </c>
      <c r="J128" t="s">
        <v>386</v>
      </c>
      <c r="K128" s="82">
        <f>INDEX('feed pars'!C$6:C$43,MATCH(F128,'feed pars'!B$6:B$43,0))</f>
        <v>100</v>
      </c>
      <c r="L128" t="s">
        <v>28</v>
      </c>
      <c r="M128" s="26" t="s">
        <v>389</v>
      </c>
    </row>
    <row r="129" spans="6:13" x14ac:dyDescent="0.25">
      <c r="F129" t="s">
        <v>307</v>
      </c>
      <c r="J129" t="s">
        <v>386</v>
      </c>
      <c r="K129" s="82">
        <f>INDEX('feed pars'!C$6:C$43,MATCH(F129,'feed pars'!B$6:B$43,0))</f>
        <v>100</v>
      </c>
      <c r="M129" s="3"/>
    </row>
    <row r="130" spans="6:13" x14ac:dyDescent="0.25">
      <c r="F130" t="s">
        <v>308</v>
      </c>
      <c r="J130" t="s">
        <v>386</v>
      </c>
      <c r="K130" s="82">
        <f>INDEX('feed pars'!C$6:C$43,MATCH(F130,'feed pars'!B$6:B$43,0))</f>
        <v>100</v>
      </c>
      <c r="M130" s="3"/>
    </row>
    <row r="131" spans="6:13" x14ac:dyDescent="0.25">
      <c r="F131" t="s">
        <v>2</v>
      </c>
      <c r="J131" t="s">
        <v>386</v>
      </c>
      <c r="K131" s="82">
        <f>INDEX('feed pars'!C$6:C$43,MATCH(F131,'feed pars'!B$6:B$43,0))</f>
        <v>100</v>
      </c>
      <c r="M131" s="3"/>
    </row>
    <row r="132" spans="6:13" x14ac:dyDescent="0.25">
      <c r="F132" t="s">
        <v>12</v>
      </c>
      <c r="J132" t="s">
        <v>386</v>
      </c>
      <c r="K132" s="82">
        <f>INDEX('feed pars'!C$6:C$43,MATCH(F132,'feed pars'!B$6:B$43,0))</f>
        <v>100</v>
      </c>
      <c r="M132" s="3"/>
    </row>
    <row r="133" spans="6:13" x14ac:dyDescent="0.25">
      <c r="F133" t="s">
        <v>33</v>
      </c>
      <c r="J133" t="s">
        <v>386</v>
      </c>
      <c r="K133" s="82">
        <f>INDEX('feed pars'!C$6:C$43,MATCH(F133,'feed pars'!B$6:B$43,0))</f>
        <v>100</v>
      </c>
      <c r="M133" s="3"/>
    </row>
    <row r="134" spans="6:13" x14ac:dyDescent="0.25">
      <c r="F134" t="s">
        <v>17</v>
      </c>
      <c r="J134" t="s">
        <v>386</v>
      </c>
      <c r="K134" s="82">
        <f>INDEX('feed pars'!C$6:C$43,MATCH(F134,'feed pars'!B$6:B$43,0))</f>
        <v>86</v>
      </c>
      <c r="M134" s="3"/>
    </row>
    <row r="135" spans="6:13" x14ac:dyDescent="0.25">
      <c r="F135" t="s">
        <v>37</v>
      </c>
      <c r="J135" t="s">
        <v>386</v>
      </c>
      <c r="K135" s="82">
        <f>INDEX('feed pars'!C$6:C$43,MATCH(F135,'feed pars'!B$6:B$43,0))</f>
        <v>86</v>
      </c>
      <c r="M135" s="3"/>
    </row>
    <row r="136" spans="6:13" x14ac:dyDescent="0.25">
      <c r="F136" t="s">
        <v>38</v>
      </c>
      <c r="J136" t="s">
        <v>386</v>
      </c>
      <c r="K136" s="82">
        <f>INDEX('feed pars'!C$6:C$43,MATCH(F136,'feed pars'!B$6:B$43,0))</f>
        <v>86</v>
      </c>
      <c r="M136" s="3"/>
    </row>
    <row r="137" spans="6:13" x14ac:dyDescent="0.25">
      <c r="F137" t="s">
        <v>39</v>
      </c>
      <c r="J137" t="s">
        <v>386</v>
      </c>
      <c r="K137" s="82">
        <f>INDEX('feed pars'!C$6:C$43,MATCH(F137,'feed pars'!B$6:B$43,0))</f>
        <v>86</v>
      </c>
      <c r="M137" s="3"/>
    </row>
    <row r="138" spans="6:13" x14ac:dyDescent="0.25">
      <c r="F138" t="s">
        <v>313</v>
      </c>
      <c r="J138" t="s">
        <v>386</v>
      </c>
      <c r="K138" s="82">
        <f>INDEX('feed pars'!C$6:C$43,MATCH(F138,'feed pars'!B$6:B$43,0))</f>
        <v>86</v>
      </c>
      <c r="M138" s="3"/>
    </row>
    <row r="139" spans="6:13" x14ac:dyDescent="0.25">
      <c r="F139" t="s">
        <v>40</v>
      </c>
      <c r="J139" t="s">
        <v>386</v>
      </c>
      <c r="K139" s="82">
        <f>INDEX('feed pars'!C$6:C$43,MATCH(F139,'feed pars'!B$6:B$43,0))</f>
        <v>86</v>
      </c>
      <c r="M139" s="3"/>
    </row>
    <row r="140" spans="6:13" x14ac:dyDescent="0.25">
      <c r="F140" t="s">
        <v>41</v>
      </c>
      <c r="J140" t="s">
        <v>386</v>
      </c>
      <c r="K140" s="82">
        <f>INDEX('feed pars'!C$6:C$43,MATCH(F140,'feed pars'!B$6:B$43,0))</f>
        <v>85</v>
      </c>
      <c r="M140" s="3"/>
    </row>
    <row r="141" spans="6:13" x14ac:dyDescent="0.25">
      <c r="F141" t="s">
        <v>42</v>
      </c>
      <c r="J141" t="s">
        <v>386</v>
      </c>
      <c r="K141" s="82">
        <f>INDEX('feed pars'!C$6:C$43,MATCH(F141,'feed pars'!B$6:B$43,0))</f>
        <v>85</v>
      </c>
      <c r="M141" s="3"/>
    </row>
    <row r="142" spans="6:13" x14ac:dyDescent="0.25">
      <c r="F142" t="s">
        <v>35</v>
      </c>
      <c r="J142" t="s">
        <v>386</v>
      </c>
      <c r="K142" s="82">
        <f>INDEX('feed pars'!C$6:C$43,MATCH(F142,'feed pars'!B$6:B$43,0))</f>
        <v>91</v>
      </c>
      <c r="M142" s="3"/>
    </row>
    <row r="143" spans="6:13" x14ac:dyDescent="0.25">
      <c r="F143" t="s">
        <v>43</v>
      </c>
      <c r="J143" t="s">
        <v>386</v>
      </c>
      <c r="K143" s="82">
        <f>INDEX('feed pars'!C$6:C$43,MATCH(F143,'feed pars'!B$6:B$43,0))</f>
        <v>91</v>
      </c>
      <c r="M143" s="3"/>
    </row>
    <row r="144" spans="6:13" x14ac:dyDescent="0.25">
      <c r="F144" t="s">
        <v>310</v>
      </c>
      <c r="J144" t="s">
        <v>386</v>
      </c>
      <c r="K144" s="82">
        <f>INDEX('feed pars'!C$6:C$43,MATCH(F144,'feed pars'!B$6:B$43,0))</f>
        <v>100</v>
      </c>
      <c r="M144" s="3"/>
    </row>
    <row r="145" spans="6:13" x14ac:dyDescent="0.25">
      <c r="F145" t="s">
        <v>302</v>
      </c>
      <c r="J145" t="s">
        <v>386</v>
      </c>
      <c r="K145" s="82">
        <f>INDEX('feed pars'!C$6:C$43,MATCH(F145,'feed pars'!B$6:B$43,0))</f>
        <v>85</v>
      </c>
      <c r="M145" s="3"/>
    </row>
    <row r="146" spans="6:13" x14ac:dyDescent="0.25">
      <c r="F146" t="s">
        <v>314</v>
      </c>
      <c r="J146" t="s">
        <v>386</v>
      </c>
      <c r="K146" s="82">
        <f>INDEX('feed pars'!C$6:C$43,MATCH(F146,'feed pars'!B$6:B$43,0))</f>
        <v>87</v>
      </c>
      <c r="M146" s="3"/>
    </row>
    <row r="147" spans="6:13" x14ac:dyDescent="0.25">
      <c r="F147" t="s">
        <v>44</v>
      </c>
      <c r="J147" t="s">
        <v>386</v>
      </c>
      <c r="K147" s="82">
        <f>INDEX('feed pars'!C$6:C$43,MATCH(F147,'feed pars'!B$6:B$43,0))</f>
        <v>87.5</v>
      </c>
      <c r="M147" s="3"/>
    </row>
    <row r="148" spans="6:13" x14ac:dyDescent="0.25">
      <c r="F148" t="s">
        <v>45</v>
      </c>
      <c r="J148" t="s">
        <v>386</v>
      </c>
      <c r="K148" s="82">
        <f>INDEX('feed pars'!C$6:C$43,MATCH(F148,'feed pars'!B$6:B$43,0))</f>
        <v>87</v>
      </c>
      <c r="M148" s="3"/>
    </row>
    <row r="149" spans="6:13" x14ac:dyDescent="0.25">
      <c r="F149" t="s">
        <v>36</v>
      </c>
      <c r="J149" t="s">
        <v>386</v>
      </c>
      <c r="K149" s="82">
        <f>INDEX('feed pars'!C$6:C$43,MATCH(F149,'feed pars'!B$6:B$43,0))</f>
        <v>89.5</v>
      </c>
      <c r="M149" s="3"/>
    </row>
    <row r="150" spans="6:13" x14ac:dyDescent="0.25">
      <c r="F150" t="s">
        <v>46</v>
      </c>
      <c r="J150" t="s">
        <v>386</v>
      </c>
      <c r="K150" s="82">
        <f>INDEX('feed pars'!C$6:C$43,MATCH(F150,'feed pars'!B$6:B$43,0))</f>
        <v>91</v>
      </c>
      <c r="M150" s="3"/>
    </row>
    <row r="151" spans="6:13" x14ac:dyDescent="0.25">
      <c r="F151" t="s">
        <v>47</v>
      </c>
      <c r="J151" t="s">
        <v>386</v>
      </c>
      <c r="K151" s="82">
        <f>INDEX('feed pars'!C$6:C$43,MATCH(F151,'feed pars'!B$6:B$43,0))</f>
        <v>91</v>
      </c>
      <c r="M151" s="3"/>
    </row>
    <row r="152" spans="6:13" x14ac:dyDescent="0.25">
      <c r="F152" t="s">
        <v>315</v>
      </c>
      <c r="J152" t="s">
        <v>386</v>
      </c>
      <c r="K152" s="82">
        <f>INDEX('feed pars'!C$6:C$43,MATCH(F152,'feed pars'!B$6:B$43,0))</f>
        <v>90</v>
      </c>
      <c r="M152" s="3"/>
    </row>
    <row r="153" spans="6:13" x14ac:dyDescent="0.25">
      <c r="F153" t="s">
        <v>48</v>
      </c>
      <c r="J153" t="s">
        <v>386</v>
      </c>
      <c r="K153" s="82">
        <f>INDEX('feed pars'!C$6:C$43,MATCH(F153,'feed pars'!B$6:B$43,0))</f>
        <v>87</v>
      </c>
      <c r="M153" s="3"/>
    </row>
    <row r="154" spans="6:13" x14ac:dyDescent="0.25">
      <c r="F154" t="s">
        <v>49</v>
      </c>
      <c r="J154" t="s">
        <v>386</v>
      </c>
      <c r="K154" s="82">
        <f>INDEX('feed pars'!C$6:C$43,MATCH(F154,'feed pars'!B$6:B$43,0))</f>
        <v>87.8</v>
      </c>
      <c r="M154" s="3"/>
    </row>
    <row r="155" spans="6:13" x14ac:dyDescent="0.25">
      <c r="F155" t="s">
        <v>50</v>
      </c>
      <c r="J155" t="s">
        <v>386</v>
      </c>
      <c r="K155" s="82">
        <f>INDEX('feed pars'!C$6:C$43,MATCH(F155,'feed pars'!B$6:B$43,0))</f>
        <v>90</v>
      </c>
      <c r="M155" s="3"/>
    </row>
    <row r="156" spans="6:13" x14ac:dyDescent="0.25">
      <c r="F156" t="s">
        <v>51</v>
      </c>
      <c r="J156" t="s">
        <v>386</v>
      </c>
      <c r="K156" s="82">
        <f>INDEX('feed pars'!C$6:C$43,MATCH(F156,'feed pars'!B$6:B$43,0))</f>
        <v>11</v>
      </c>
      <c r="M156" s="3"/>
    </row>
    <row r="157" spans="6:13" x14ac:dyDescent="0.25">
      <c r="F157" t="s">
        <v>309</v>
      </c>
      <c r="J157" t="s">
        <v>386</v>
      </c>
      <c r="K157" s="82">
        <f>INDEX('feed pars'!C$6:C$43,MATCH(F157,'feed pars'!B$6:B$43,0))</f>
        <v>90</v>
      </c>
      <c r="M157" s="3"/>
    </row>
    <row r="158" spans="6:13" x14ac:dyDescent="0.25">
      <c r="F158" t="s">
        <v>384</v>
      </c>
      <c r="J158" t="s">
        <v>386</v>
      </c>
      <c r="K158" s="82">
        <f>INDEX('feed pars'!C$6:C$43,MATCH(F158,'feed pars'!B$6:B$43,0))</f>
        <v>88.5</v>
      </c>
      <c r="M158" s="3"/>
    </row>
    <row r="159" spans="6:13" x14ac:dyDescent="0.25">
      <c r="F159" t="s">
        <v>52</v>
      </c>
      <c r="J159" t="s">
        <v>386</v>
      </c>
      <c r="K159" s="82">
        <f>INDEX('feed pars'!C$6:C$43,MATCH(F159,'feed pars'!B$6:B$43,0))</f>
        <v>75.5</v>
      </c>
      <c r="M159" s="3"/>
    </row>
    <row r="160" spans="6:13" x14ac:dyDescent="0.25">
      <c r="F160" t="s">
        <v>53</v>
      </c>
      <c r="J160" t="s">
        <v>386</v>
      </c>
      <c r="K160" s="82">
        <f>INDEX('feed pars'!C$6:C$43,MATCH(F160,'feed pars'!B$6:B$43,0))</f>
        <v>89.5</v>
      </c>
      <c r="M160" s="3"/>
    </row>
    <row r="161" spans="6:13" x14ac:dyDescent="0.25">
      <c r="F161" t="s">
        <v>54</v>
      </c>
      <c r="J161" t="s">
        <v>386</v>
      </c>
      <c r="K161" s="82">
        <f>INDEX('feed pars'!C$6:C$43,MATCH(F161,'feed pars'!B$6:B$43,0))</f>
        <v>6.25</v>
      </c>
      <c r="M161" s="3"/>
    </row>
    <row r="162" spans="6:13" x14ac:dyDescent="0.25">
      <c r="F162" t="s">
        <v>55</v>
      </c>
      <c r="J162" t="s">
        <v>386</v>
      </c>
      <c r="K162" s="82">
        <f>INDEX('feed pars'!C$6:C$43,MATCH(F162,'feed pars'!B$6:B$43,0))</f>
        <v>97</v>
      </c>
      <c r="M162" s="3"/>
    </row>
    <row r="163" spans="6:13" x14ac:dyDescent="0.25">
      <c r="F163" t="s">
        <v>56</v>
      </c>
      <c r="J163" t="s">
        <v>386</v>
      </c>
      <c r="K163" s="82">
        <f>INDEX('feed pars'!C$6:C$43,MATCH(F163,'feed pars'!B$6:B$43,0))</f>
        <v>91</v>
      </c>
      <c r="M163" s="3"/>
    </row>
    <row r="164" spans="6:13" x14ac:dyDescent="0.25">
      <c r="F164" t="s">
        <v>57</v>
      </c>
      <c r="J164" t="s">
        <v>386</v>
      </c>
      <c r="K164" s="82">
        <f>INDEX('feed pars'!C$6:C$43,MATCH(F164,'feed pars'!B$6:B$43,0))</f>
        <v>92</v>
      </c>
      <c r="M164" s="3"/>
    </row>
    <row r="165" spans="6:13" x14ac:dyDescent="0.25">
      <c r="F165" t="s">
        <v>320</v>
      </c>
      <c r="J165" t="s">
        <v>386</v>
      </c>
      <c r="K165" s="85">
        <v>100</v>
      </c>
      <c r="M165" s="3"/>
    </row>
    <row r="166" spans="6:13" x14ac:dyDescent="0.25">
      <c r="F166" t="s">
        <v>306</v>
      </c>
      <c r="J166" t="s">
        <v>496</v>
      </c>
      <c r="K166" s="25">
        <f>INDEX('feed pars'!D$6:D$43,MATCH(F166,'feed pars'!B$6:B$43,0))</f>
        <v>17.316948400000001</v>
      </c>
      <c r="L166" t="s">
        <v>495</v>
      </c>
      <c r="M166" s="26" t="s">
        <v>497</v>
      </c>
    </row>
    <row r="167" spans="6:13" x14ac:dyDescent="0.25">
      <c r="F167" t="s">
        <v>307</v>
      </c>
      <c r="J167" t="s">
        <v>496</v>
      </c>
      <c r="K167" s="25">
        <f>INDEX('feed pars'!D$6:D$43,MATCH(F167,'feed pars'!B$6:B$43,0))</f>
        <v>17.150216</v>
      </c>
      <c r="M167" s="3"/>
    </row>
    <row r="168" spans="6:13" x14ac:dyDescent="0.25">
      <c r="F168" t="s">
        <v>308</v>
      </c>
      <c r="J168" t="s">
        <v>496</v>
      </c>
      <c r="K168" s="25">
        <f>INDEX('feed pars'!D$6:D$43,MATCH(F168,'feed pars'!B$6:B$43,0))</f>
        <v>16.789764399999999</v>
      </c>
      <c r="M168" s="3"/>
    </row>
    <row r="169" spans="6:13" x14ac:dyDescent="0.25">
      <c r="F169" t="s">
        <v>2</v>
      </c>
      <c r="J169" t="s">
        <v>496</v>
      </c>
      <c r="K169" s="25">
        <f>INDEX('feed pars'!D$6:D$43,MATCH(F169,'feed pars'!B$6:B$43,0))</f>
        <v>17.160257599999998</v>
      </c>
      <c r="M169" s="3"/>
    </row>
    <row r="170" spans="6:13" x14ac:dyDescent="0.25">
      <c r="F170" t="s">
        <v>12</v>
      </c>
      <c r="J170" t="s">
        <v>496</v>
      </c>
      <c r="K170" s="25">
        <f>INDEX('feed pars'!D$6:D$43,MATCH(F170,'feed pars'!B$6:B$43,0))</f>
        <v>17.6573168</v>
      </c>
      <c r="M170" s="3"/>
    </row>
    <row r="171" spans="6:13" x14ac:dyDescent="0.25">
      <c r="F171" t="s">
        <v>33</v>
      </c>
      <c r="J171" t="s">
        <v>496</v>
      </c>
      <c r="K171" s="25">
        <f>INDEX('feed pars'!D$6:D$43,MATCH(F171,'feed pars'!B$6:B$43,0))</f>
        <v>17.411437066666668</v>
      </c>
      <c r="M171" s="3"/>
    </row>
    <row r="172" spans="6:13" x14ac:dyDescent="0.25">
      <c r="F172" t="s">
        <v>17</v>
      </c>
      <c r="J172" t="s">
        <v>496</v>
      </c>
      <c r="K172" s="25">
        <f>INDEX('feed pars'!D$6:D$43,MATCH(F172,'feed pars'!B$6:B$43,0))</f>
        <v>18.210023200000002</v>
      </c>
      <c r="M172" s="3"/>
    </row>
    <row r="173" spans="6:13" x14ac:dyDescent="0.25">
      <c r="F173" t="s">
        <v>37</v>
      </c>
      <c r="J173" t="s">
        <v>496</v>
      </c>
      <c r="K173" s="25">
        <f>INDEX('feed pars'!D$6:D$43,MATCH(F173,'feed pars'!B$6:B$43,0))</f>
        <v>18.089524000000001</v>
      </c>
      <c r="M173" s="3"/>
    </row>
    <row r="174" spans="6:13" x14ac:dyDescent="0.25">
      <c r="F174" t="s">
        <v>38</v>
      </c>
      <c r="J174" t="s">
        <v>496</v>
      </c>
      <c r="K174" s="25">
        <f>INDEX('feed pars'!D$6:D$43,MATCH(F174,'feed pars'!B$6:B$43,0))</f>
        <v>18.6602216</v>
      </c>
      <c r="M174" s="3"/>
    </row>
    <row r="175" spans="6:13" x14ac:dyDescent="0.25">
      <c r="F175" t="s">
        <v>39</v>
      </c>
      <c r="J175" t="s">
        <v>496</v>
      </c>
      <c r="K175" s="25">
        <f>INDEX('feed pars'!D$6:D$43,MATCH(F175,'feed pars'!B$6:B$43,0))</f>
        <v>18.2284328</v>
      </c>
      <c r="M175" s="3"/>
    </row>
    <row r="176" spans="6:13" x14ac:dyDescent="0.25">
      <c r="F176" t="s">
        <v>313</v>
      </c>
      <c r="J176" t="s">
        <v>496</v>
      </c>
      <c r="K176" s="25">
        <f>INDEX('feed pars'!D$6:D$43,MATCH(F176,'feed pars'!B$6:B$43,0))</f>
        <v>17.924256</v>
      </c>
      <c r="M176" s="3"/>
    </row>
    <row r="177" spans="6:13" x14ac:dyDescent="0.25">
      <c r="F177" t="s">
        <v>40</v>
      </c>
      <c r="J177" t="s">
        <v>496</v>
      </c>
      <c r="K177" s="25">
        <f>INDEX('feed pars'!D$6:D$43,MATCH(F177,'feed pars'!B$6:B$43,0))</f>
        <v>18.3899352</v>
      </c>
      <c r="M177" s="3"/>
    </row>
    <row r="178" spans="6:13" x14ac:dyDescent="0.25">
      <c r="F178" t="s">
        <v>41</v>
      </c>
      <c r="J178" t="s">
        <v>496</v>
      </c>
      <c r="K178" s="25">
        <f>INDEX('feed pars'!D$6:D$43,MATCH(F178,'feed pars'!B$6:B$43,0))</f>
        <v>18.478217600000001</v>
      </c>
      <c r="M178" s="3"/>
    </row>
    <row r="179" spans="6:13" x14ac:dyDescent="0.25">
      <c r="F179" t="s">
        <v>42</v>
      </c>
      <c r="J179" t="s">
        <v>496</v>
      </c>
      <c r="K179" s="25">
        <f>INDEX('feed pars'!D$6:D$43,MATCH(F179,'feed pars'!B$6:B$43,0))</f>
        <v>18.737207199999997</v>
      </c>
      <c r="M179" s="3"/>
    </row>
    <row r="180" spans="6:13" x14ac:dyDescent="0.25">
      <c r="F180" t="s">
        <v>35</v>
      </c>
      <c r="J180" t="s">
        <v>496</v>
      </c>
      <c r="K180" s="25">
        <f>INDEX('feed pars'!D$6:D$43,MATCH(F180,'feed pars'!B$6:B$43,0))</f>
        <v>27.903096000000001</v>
      </c>
      <c r="M180" s="3"/>
    </row>
    <row r="181" spans="6:13" x14ac:dyDescent="0.25">
      <c r="F181" t="s">
        <v>43</v>
      </c>
      <c r="J181" t="s">
        <v>496</v>
      </c>
      <c r="K181" s="25">
        <f>INDEX('feed pars'!D$6:D$43,MATCH(F181,'feed pars'!B$6:B$43,0))</f>
        <v>26.501456000000001</v>
      </c>
      <c r="M181" s="3"/>
    </row>
    <row r="182" spans="6:13" x14ac:dyDescent="0.25">
      <c r="F182" t="s">
        <v>310</v>
      </c>
      <c r="J182" t="s">
        <v>496</v>
      </c>
      <c r="K182" s="25">
        <f>INDEX('feed pars'!D$6:D$43,MATCH(F182,'feed pars'!B$6:B$43,0))</f>
        <v>39.329599999999999</v>
      </c>
      <c r="M182" s="3"/>
    </row>
    <row r="183" spans="6:13" x14ac:dyDescent="0.25">
      <c r="F183" t="s">
        <v>302</v>
      </c>
      <c r="J183" t="s">
        <v>496</v>
      </c>
      <c r="K183" s="25">
        <f>INDEX('feed pars'!D$6:D$43,MATCH(F183,'feed pars'!B$6:B$43,0))</f>
        <v>16.927627199999996</v>
      </c>
      <c r="M183" s="3"/>
    </row>
    <row r="184" spans="6:13" x14ac:dyDescent="0.25">
      <c r="F184" t="s">
        <v>314</v>
      </c>
      <c r="J184" t="s">
        <v>496</v>
      </c>
      <c r="K184" s="25">
        <f>INDEX('feed pars'!D$6:D$43,MATCH(F184,'feed pars'!B$6:B$43,0))</f>
        <v>22.965976000000001</v>
      </c>
      <c r="M184" s="3"/>
    </row>
    <row r="185" spans="6:13" x14ac:dyDescent="0.25">
      <c r="F185" t="s">
        <v>44</v>
      </c>
      <c r="J185" t="s">
        <v>496</v>
      </c>
      <c r="K185" s="25">
        <f>INDEX('feed pars'!D$6:D$43,MATCH(F185,'feed pars'!B$6:B$43,0))</f>
        <v>19.589487999999999</v>
      </c>
      <c r="M185" s="3"/>
    </row>
    <row r="186" spans="6:13" x14ac:dyDescent="0.25">
      <c r="F186" t="s">
        <v>45</v>
      </c>
      <c r="J186" t="s">
        <v>496</v>
      </c>
      <c r="K186" s="25">
        <f>INDEX('feed pars'!D$6:D$43,MATCH(F186,'feed pars'!B$6:B$43,0))</f>
        <v>20.560594400000003</v>
      </c>
      <c r="M186" s="3"/>
    </row>
    <row r="187" spans="6:13" x14ac:dyDescent="0.25">
      <c r="F187" t="s">
        <v>36</v>
      </c>
      <c r="J187" t="s">
        <v>496</v>
      </c>
      <c r="K187" s="25">
        <f>INDEX('feed pars'!D$6:D$43,MATCH(F187,'feed pars'!B$6:B$43,0))</f>
        <v>19.4920008</v>
      </c>
      <c r="M187" s="3"/>
    </row>
    <row r="188" spans="6:13" x14ac:dyDescent="0.25">
      <c r="F188" t="s">
        <v>46</v>
      </c>
      <c r="J188" t="s">
        <v>496</v>
      </c>
      <c r="K188" s="25">
        <f>INDEX('feed pars'!D$6:D$43,MATCH(F188,'feed pars'!B$6:B$43,0))</f>
        <v>19.083224000000001</v>
      </c>
      <c r="M188" s="3"/>
    </row>
    <row r="189" spans="6:13" x14ac:dyDescent="0.25">
      <c r="F189" t="s">
        <v>47</v>
      </c>
      <c r="J189" t="s">
        <v>496</v>
      </c>
      <c r="K189" s="25">
        <f>INDEX('feed pars'!D$6:D$43,MATCH(F189,'feed pars'!B$6:B$43,0))</f>
        <v>19.581538399999999</v>
      </c>
      <c r="M189" s="3"/>
    </row>
    <row r="190" spans="6:13" x14ac:dyDescent="0.25">
      <c r="F190" t="s">
        <v>315</v>
      </c>
      <c r="J190" t="s">
        <v>496</v>
      </c>
      <c r="K190" s="25">
        <f>INDEX('feed pars'!D$6:D$43,MATCH(F190,'feed pars'!B$6:B$43,0))</f>
        <v>16.971140800000001</v>
      </c>
      <c r="M190" s="3"/>
    </row>
    <row r="191" spans="6:13" x14ac:dyDescent="0.25">
      <c r="F191" t="s">
        <v>48</v>
      </c>
      <c r="J191" t="s">
        <v>496</v>
      </c>
      <c r="K191" s="25">
        <f>INDEX('feed pars'!D$6:D$43,MATCH(F191,'feed pars'!B$6:B$43,0))</f>
        <v>18.194124000000002</v>
      </c>
      <c r="M191" s="3"/>
    </row>
    <row r="192" spans="6:13" x14ac:dyDescent="0.25">
      <c r="F192" t="s">
        <v>49</v>
      </c>
      <c r="J192" t="s">
        <v>496</v>
      </c>
      <c r="K192" s="25">
        <f>INDEX('feed pars'!D$6:D$43,MATCH(F192,'feed pars'!B$6:B$43,0))</f>
        <v>18.472360000000002</v>
      </c>
      <c r="M192" s="3"/>
    </row>
    <row r="193" spans="1:14" x14ac:dyDescent="0.25">
      <c r="F193" t="s">
        <v>50</v>
      </c>
      <c r="J193" t="s">
        <v>496</v>
      </c>
      <c r="K193" s="25">
        <f>INDEX('feed pars'!D$6:D$43,MATCH(F193,'feed pars'!B$6:B$43,0))</f>
        <v>19.659779199999999</v>
      </c>
      <c r="M193" s="3"/>
    </row>
    <row r="194" spans="1:14" x14ac:dyDescent="0.25">
      <c r="F194" t="s">
        <v>51</v>
      </c>
      <c r="J194" t="s">
        <v>496</v>
      </c>
      <c r="K194" s="25">
        <f>INDEX('feed pars'!D$6:D$43,MATCH(F194,'feed pars'!B$6:B$43,0))</f>
        <v>18.8602168</v>
      </c>
      <c r="M194" s="3"/>
    </row>
    <row r="195" spans="1:14" x14ac:dyDescent="0.25">
      <c r="F195" t="s">
        <v>309</v>
      </c>
      <c r="J195" t="s">
        <v>496</v>
      </c>
      <c r="K195" s="25">
        <f>INDEX('feed pars'!D$6:D$43,MATCH(F195,'feed pars'!B$6:B$43,0))</f>
        <v>19.848896</v>
      </c>
      <c r="M195" s="3"/>
    </row>
    <row r="196" spans="1:14" x14ac:dyDescent="0.25">
      <c r="F196" t="s">
        <v>384</v>
      </c>
      <c r="J196" t="s">
        <v>496</v>
      </c>
      <c r="K196" s="25">
        <f>INDEX('feed pars'!D$6:D$43,MATCH(F196,'feed pars'!B$6:B$43,0))</f>
        <v>22.900705599999998</v>
      </c>
      <c r="M196" s="3"/>
    </row>
    <row r="197" spans="1:14" x14ac:dyDescent="0.25">
      <c r="F197" t="s">
        <v>52</v>
      </c>
      <c r="J197" t="s">
        <v>496</v>
      </c>
      <c r="K197" s="25">
        <f>INDEX('feed pars'!D$6:D$43,MATCH(F197,'feed pars'!B$6:B$43,0))</f>
        <v>16.1615368</v>
      </c>
      <c r="M197" s="3"/>
    </row>
    <row r="198" spans="1:14" x14ac:dyDescent="0.25">
      <c r="F198" t="s">
        <v>53</v>
      </c>
      <c r="J198" t="s">
        <v>496</v>
      </c>
      <c r="K198" s="25">
        <f>INDEX('feed pars'!D$6:D$43,MATCH(F198,'feed pars'!B$6:B$43,0))</f>
        <v>17.334312000000001</v>
      </c>
      <c r="M198" s="3"/>
    </row>
    <row r="199" spans="1:14" x14ac:dyDescent="0.25">
      <c r="F199" t="s">
        <v>54</v>
      </c>
      <c r="J199" t="s">
        <v>496</v>
      </c>
      <c r="K199" s="25">
        <f>INDEX('feed pars'!D$6:D$43,MATCH(F199,'feed pars'!B$6:B$43,0))</f>
        <v>16.464040000000001</v>
      </c>
      <c r="M199" s="3"/>
    </row>
    <row r="200" spans="1:14" x14ac:dyDescent="0.25">
      <c r="F200" t="s">
        <v>55</v>
      </c>
      <c r="J200" t="s">
        <v>496</v>
      </c>
      <c r="K200" s="25">
        <f>INDEX('feed pars'!D$6:D$43,MATCH(F200,'feed pars'!B$6:B$43,0))</f>
        <v>16.975324799999999</v>
      </c>
      <c r="M200" s="3"/>
    </row>
    <row r="201" spans="1:14" x14ac:dyDescent="0.25">
      <c r="F201" t="s">
        <v>56</v>
      </c>
      <c r="J201" t="s">
        <v>496</v>
      </c>
      <c r="K201" s="25">
        <f>INDEX('feed pars'!D$6:D$43,MATCH(F201,'feed pars'!B$6:B$43,0))</f>
        <v>23.055932000000002</v>
      </c>
      <c r="M201" s="3"/>
    </row>
    <row r="202" spans="1:14" x14ac:dyDescent="0.25">
      <c r="F202" t="s">
        <v>57</v>
      </c>
      <c r="J202" t="s">
        <v>496</v>
      </c>
      <c r="K202" s="25">
        <f>INDEX('feed pars'!D$6:D$43,MATCH(F202,'feed pars'!B$6:B$43,0))</f>
        <v>22.254696000000003</v>
      </c>
      <c r="M202" s="3"/>
    </row>
    <row r="203" spans="1:14" x14ac:dyDescent="0.25">
      <c r="F203" t="s">
        <v>320</v>
      </c>
      <c r="J203" t="s">
        <v>496</v>
      </c>
      <c r="K203" s="84">
        <v>0</v>
      </c>
      <c r="M203" s="3"/>
    </row>
    <row r="204" spans="1:14" x14ac:dyDescent="0.25">
      <c r="A204" s="7" t="s">
        <v>20</v>
      </c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x14ac:dyDescent="0.25">
      <c r="A205" t="s">
        <v>24</v>
      </c>
      <c r="F205" t="s">
        <v>306</v>
      </c>
      <c r="J205" t="s">
        <v>18</v>
      </c>
      <c r="K205" s="25">
        <f>INDEX('feed pars'!M$6:M$43,MATCH(F205,'feed pars'!B$6:B$43,0))</f>
        <v>11.3</v>
      </c>
      <c r="L205" t="s">
        <v>19</v>
      </c>
      <c r="M205" s="26" t="s">
        <v>500</v>
      </c>
    </row>
    <row r="206" spans="1:14" x14ac:dyDescent="0.25">
      <c r="A206" t="s">
        <v>24</v>
      </c>
      <c r="F206" t="s">
        <v>307</v>
      </c>
      <c r="J206" t="s">
        <v>18</v>
      </c>
      <c r="K206" s="25">
        <f>INDEX('feed pars'!M$6:M$43,MATCH(F206,'feed pars'!B$6:B$43,0))</f>
        <v>10.1</v>
      </c>
      <c r="M206" s="3"/>
    </row>
    <row r="207" spans="1:14" x14ac:dyDescent="0.25">
      <c r="A207" t="s">
        <v>24</v>
      </c>
      <c r="F207" t="s">
        <v>308</v>
      </c>
      <c r="J207" t="s">
        <v>18</v>
      </c>
      <c r="K207" s="25">
        <f>INDEX('feed pars'!M$6:M$43,MATCH(F207,'feed pars'!B$6:B$43,0))</f>
        <v>8.5</v>
      </c>
      <c r="M207" s="3"/>
    </row>
    <row r="208" spans="1:14" x14ac:dyDescent="0.25">
      <c r="A208" t="s">
        <v>24</v>
      </c>
      <c r="F208" t="s">
        <v>12</v>
      </c>
      <c r="J208" t="s">
        <v>18</v>
      </c>
      <c r="K208" s="25">
        <f>INDEX('feed pars'!M$6:M$43,MATCH(F208,'feed pars'!B$6:B$43,0))</f>
        <v>11</v>
      </c>
    </row>
    <row r="209" spans="1:11" x14ac:dyDescent="0.25">
      <c r="A209" t="s">
        <v>24</v>
      </c>
      <c r="F209" t="s">
        <v>33</v>
      </c>
      <c r="J209" t="s">
        <v>18</v>
      </c>
      <c r="K209" s="25">
        <f>INDEX('feed pars'!M$6:M$43,MATCH(F209,'feed pars'!B$6:B$43,0))</f>
        <v>9.9416666666666664</v>
      </c>
    </row>
    <row r="210" spans="1:11" x14ac:dyDescent="0.25">
      <c r="A210" t="s">
        <v>24</v>
      </c>
      <c r="F210" t="s">
        <v>17</v>
      </c>
      <c r="J210" t="s">
        <v>18</v>
      </c>
      <c r="K210" s="25">
        <f>INDEX('feed pars'!M$6:M$43,MATCH(F210,'feed pars'!B$6:B$43,0))</f>
        <v>14.1</v>
      </c>
    </row>
    <row r="211" spans="1:11" x14ac:dyDescent="0.25">
      <c r="A211" t="s">
        <v>24</v>
      </c>
      <c r="F211" t="s">
        <v>37</v>
      </c>
      <c r="J211" t="s">
        <v>18</v>
      </c>
      <c r="K211" s="25">
        <f>INDEX('feed pars'!M$6:M$43,MATCH(F211,'feed pars'!B$6:B$43,0))</f>
        <v>13.2</v>
      </c>
    </row>
    <row r="212" spans="1:11" x14ac:dyDescent="0.25">
      <c r="A212" t="s">
        <v>24</v>
      </c>
      <c r="F212" t="s">
        <v>38</v>
      </c>
      <c r="J212" t="s">
        <v>18</v>
      </c>
      <c r="K212" s="25">
        <f>INDEX('feed pars'!M$6:M$43,MATCH(F212,'feed pars'!B$6:B$43,0))</f>
        <v>11.7</v>
      </c>
    </row>
    <row r="213" spans="1:11" x14ac:dyDescent="0.25">
      <c r="A213" t="s">
        <v>24</v>
      </c>
      <c r="F213" t="s">
        <v>39</v>
      </c>
      <c r="J213" t="s">
        <v>18</v>
      </c>
      <c r="K213" s="25">
        <f>INDEX('feed pars'!M$6:M$43,MATCH(F213,'feed pars'!B$6:B$43,0))</f>
        <v>14</v>
      </c>
    </row>
    <row r="214" spans="1:11" x14ac:dyDescent="0.25">
      <c r="A214" t="s">
        <v>24</v>
      </c>
      <c r="F214" t="s">
        <v>313</v>
      </c>
      <c r="J214" t="s">
        <v>18</v>
      </c>
      <c r="K214" s="25">
        <f>INDEX('feed pars'!M$6:M$43,MATCH(F214,'feed pars'!B$6:B$43,0))</f>
        <v>13.9</v>
      </c>
    </row>
    <row r="215" spans="1:11" x14ac:dyDescent="0.25">
      <c r="A215" t="s">
        <v>24</v>
      </c>
      <c r="F215" t="s">
        <v>40</v>
      </c>
      <c r="J215" t="s">
        <v>18</v>
      </c>
      <c r="K215" s="25">
        <f>INDEX('feed pars'!M$6:M$43,MATCH(F215,'feed pars'!B$6:B$43,0))</f>
        <v>12.8</v>
      </c>
    </row>
    <row r="216" spans="1:11" x14ac:dyDescent="0.25">
      <c r="A216" t="s">
        <v>24</v>
      </c>
      <c r="F216" t="s">
        <v>41</v>
      </c>
      <c r="J216" t="s">
        <v>18</v>
      </c>
      <c r="K216" s="25">
        <f>INDEX('feed pars'!M$6:M$43,MATCH(F216,'feed pars'!B$6:B$43,0))</f>
        <v>13.8</v>
      </c>
    </row>
    <row r="217" spans="1:11" x14ac:dyDescent="0.25">
      <c r="A217" t="s">
        <v>24</v>
      </c>
      <c r="F217" t="s">
        <v>42</v>
      </c>
      <c r="J217" t="s">
        <v>18</v>
      </c>
      <c r="K217" s="25">
        <f>INDEX('feed pars'!M$6:M$43,MATCH(F217,'feed pars'!B$6:B$43,0))</f>
        <v>13.3</v>
      </c>
    </row>
    <row r="218" spans="1:11" x14ac:dyDescent="0.25">
      <c r="A218" t="s">
        <v>24</v>
      </c>
      <c r="F218" t="s">
        <v>35</v>
      </c>
      <c r="J218" t="s">
        <v>18</v>
      </c>
      <c r="K218" s="25">
        <f>INDEX('feed pars'!M$6:M$43,MATCH(F218,'feed pars'!B$6:B$43,0))</f>
        <v>22.1</v>
      </c>
    </row>
    <row r="219" spans="1:11" x14ac:dyDescent="0.25">
      <c r="A219" t="s">
        <v>24</v>
      </c>
      <c r="F219" t="s">
        <v>43</v>
      </c>
      <c r="J219" t="s">
        <v>18</v>
      </c>
      <c r="K219" s="25">
        <f>INDEX('feed pars'!M$6:M$43,MATCH(F219,'feed pars'!B$6:B$43,0))</f>
        <v>20.100000000000001</v>
      </c>
    </row>
    <row r="220" spans="1:11" x14ac:dyDescent="0.25">
      <c r="A220" t="s">
        <v>24</v>
      </c>
      <c r="F220" t="s">
        <v>302</v>
      </c>
      <c r="J220" t="s">
        <v>18</v>
      </c>
      <c r="K220" s="25">
        <f>INDEX('feed pars'!M$6:M$43,MATCH(F220,'feed pars'!B$6:B$43,0))</f>
        <v>6.6</v>
      </c>
    </row>
    <row r="221" spans="1:11" x14ac:dyDescent="0.25">
      <c r="A221" t="s">
        <v>24</v>
      </c>
      <c r="F221" t="s">
        <v>310</v>
      </c>
      <c r="J221" t="s">
        <v>18</v>
      </c>
      <c r="K221" s="25">
        <f>INDEX('feed pars'!M$6:M$43,MATCH(F221,'feed pars'!B$6:B$43,0))</f>
        <v>36.6</v>
      </c>
    </row>
    <row r="222" spans="1:11" x14ac:dyDescent="0.25">
      <c r="A222" t="s">
        <v>24</v>
      </c>
      <c r="F222" t="s">
        <v>314</v>
      </c>
      <c r="J222" t="s">
        <v>18</v>
      </c>
      <c r="K222" s="25">
        <f>INDEX('feed pars'!M$6:M$43,MATCH(F222,'feed pars'!B$6:B$43,0))</f>
        <v>16.399999999999999</v>
      </c>
    </row>
    <row r="223" spans="1:11" x14ac:dyDescent="0.25">
      <c r="A223" t="s">
        <v>24</v>
      </c>
      <c r="F223" t="s">
        <v>44</v>
      </c>
      <c r="J223" t="s">
        <v>18</v>
      </c>
      <c r="K223" s="25">
        <f>INDEX('feed pars'!M$6:M$43,MATCH(F223,'feed pars'!B$6:B$43,0))</f>
        <v>14.6</v>
      </c>
    </row>
    <row r="224" spans="1:11" x14ac:dyDescent="0.25">
      <c r="A224" t="s">
        <v>24</v>
      </c>
      <c r="F224" t="s">
        <v>36</v>
      </c>
      <c r="J224" t="s">
        <v>18</v>
      </c>
      <c r="K224" s="25">
        <f>INDEX('feed pars'!M$6:M$43,MATCH(F224,'feed pars'!B$6:B$43,0))</f>
        <v>12.2</v>
      </c>
    </row>
    <row r="225" spans="1:13" x14ac:dyDescent="0.25">
      <c r="A225" t="s">
        <v>24</v>
      </c>
      <c r="F225" t="s">
        <v>46</v>
      </c>
      <c r="J225" t="s">
        <v>18</v>
      </c>
      <c r="K225" s="25">
        <f>INDEX('feed pars'!M$6:M$43,MATCH(F225,'feed pars'!B$6:B$43,0))</f>
        <v>11.4</v>
      </c>
    </row>
    <row r="226" spans="1:13" x14ac:dyDescent="0.25">
      <c r="A226" t="s">
        <v>24</v>
      </c>
      <c r="F226" t="s">
        <v>47</v>
      </c>
      <c r="J226" t="s">
        <v>18</v>
      </c>
      <c r="K226" s="25">
        <f>INDEX('feed pars'!M$6:M$43,MATCH(F226,'feed pars'!B$6:B$43,0))</f>
        <v>13.4</v>
      </c>
    </row>
    <row r="227" spans="1:13" x14ac:dyDescent="0.25">
      <c r="A227" t="s">
        <v>24</v>
      </c>
      <c r="F227" t="s">
        <v>315</v>
      </c>
      <c r="J227" t="s">
        <v>18</v>
      </c>
      <c r="K227" s="25">
        <f>INDEX('feed pars'!M$6:M$43,MATCH(F227,'feed pars'!B$6:B$43,0))</f>
        <v>8.5</v>
      </c>
    </row>
    <row r="228" spans="1:13" x14ac:dyDescent="0.25">
      <c r="A228" t="s">
        <v>24</v>
      </c>
      <c r="F228" t="s">
        <v>48</v>
      </c>
      <c r="J228" t="s">
        <v>18</v>
      </c>
      <c r="K228" s="25">
        <f>INDEX('feed pars'!M$6:M$43,MATCH(F228,'feed pars'!B$6:B$43,0))</f>
        <v>11</v>
      </c>
    </row>
    <row r="229" spans="1:13" x14ac:dyDescent="0.25">
      <c r="A229" t="s">
        <v>24</v>
      </c>
      <c r="F229" t="s">
        <v>50</v>
      </c>
      <c r="J229" t="s">
        <v>18</v>
      </c>
      <c r="K229" s="25">
        <f>INDEX('feed pars'!M$6:M$43,MATCH(F229,'feed pars'!B$6:B$43,0))</f>
        <v>13.3</v>
      </c>
    </row>
    <row r="230" spans="1:13" x14ac:dyDescent="0.25">
      <c r="A230" t="s">
        <v>24</v>
      </c>
      <c r="F230" t="s">
        <v>309</v>
      </c>
      <c r="J230" t="s">
        <v>18</v>
      </c>
      <c r="K230" s="25">
        <f>INDEX('feed pars'!M$6:M$43,MATCH(F230,'feed pars'!B$6:B$43,0))</f>
        <v>11.6</v>
      </c>
    </row>
    <row r="231" spans="1:13" x14ac:dyDescent="0.25">
      <c r="A231" t="s">
        <v>24</v>
      </c>
      <c r="F231" t="s">
        <v>52</v>
      </c>
      <c r="J231" t="s">
        <v>18</v>
      </c>
      <c r="K231" s="25">
        <f>INDEX('feed pars'!M$6:M$43,MATCH(F231,'feed pars'!B$6:B$43,0))</f>
        <v>12.4</v>
      </c>
    </row>
    <row r="232" spans="1:13" x14ac:dyDescent="0.25">
      <c r="A232" t="s">
        <v>24</v>
      </c>
      <c r="F232" t="s">
        <v>53</v>
      </c>
      <c r="J232" t="s">
        <v>18</v>
      </c>
      <c r="K232" s="25">
        <f>INDEX('feed pars'!M$6:M$43,MATCH(F232,'feed pars'!B$6:B$43,0))</f>
        <v>12.3</v>
      </c>
    </row>
    <row r="233" spans="1:13" x14ac:dyDescent="0.25">
      <c r="A233" t="s">
        <v>24</v>
      </c>
      <c r="F233" t="s">
        <v>54</v>
      </c>
      <c r="J233" t="s">
        <v>18</v>
      </c>
      <c r="K233" s="25">
        <f>INDEX('feed pars'!M$6:M$43,MATCH(F233,'feed pars'!B$6:B$43,0))</f>
        <v>13.6</v>
      </c>
    </row>
    <row r="234" spans="1:13" x14ac:dyDescent="0.25">
      <c r="A234" t="s">
        <v>24</v>
      </c>
      <c r="F234" t="s">
        <v>56</v>
      </c>
      <c r="J234" t="s">
        <v>18</v>
      </c>
      <c r="K234" s="25">
        <f>INDEX('feed pars'!M$6:M$43,MATCH(F234,'feed pars'!B$6:B$43,0))</f>
        <v>15.5</v>
      </c>
    </row>
    <row r="235" spans="1:13" x14ac:dyDescent="0.25">
      <c r="A235" t="s">
        <v>24</v>
      </c>
      <c r="F235" t="s">
        <v>320</v>
      </c>
      <c r="J235" t="s">
        <v>18</v>
      </c>
      <c r="K235" s="3">
        <v>0</v>
      </c>
    </row>
    <row r="236" spans="1:13" x14ac:dyDescent="0.25">
      <c r="A236" t="s">
        <v>24</v>
      </c>
      <c r="F236" t="s">
        <v>306</v>
      </c>
      <c r="J236" t="s">
        <v>498</v>
      </c>
      <c r="K236" s="82">
        <f>INDEX('feed pars'!O$6:O$43,MATCH(F236,'feed pars'!B$6:B$43,0))</f>
        <v>20</v>
      </c>
      <c r="L236" t="s">
        <v>499</v>
      </c>
      <c r="M236" s="26" t="s">
        <v>503</v>
      </c>
    </row>
    <row r="237" spans="1:13" x14ac:dyDescent="0.25">
      <c r="A237" t="s">
        <v>24</v>
      </c>
      <c r="F237" t="s">
        <v>307</v>
      </c>
      <c r="J237" t="s">
        <v>498</v>
      </c>
      <c r="K237" s="82">
        <f>INDEX('feed pars'!O$6:O$43,MATCH(F237,'feed pars'!B$6:B$43,0))</f>
        <v>20</v>
      </c>
      <c r="M237" s="3"/>
    </row>
    <row r="238" spans="1:13" x14ac:dyDescent="0.25">
      <c r="A238" t="s">
        <v>24</v>
      </c>
      <c r="F238" t="s">
        <v>308</v>
      </c>
      <c r="J238" t="s">
        <v>498</v>
      </c>
      <c r="K238" s="82">
        <f>INDEX('feed pars'!O$6:O$43,MATCH(F238,'feed pars'!B$6:B$43,0))</f>
        <v>22.5</v>
      </c>
      <c r="M238" s="3"/>
    </row>
    <row r="239" spans="1:13" x14ac:dyDescent="0.25">
      <c r="A239" t="s">
        <v>24</v>
      </c>
      <c r="F239" t="s">
        <v>12</v>
      </c>
      <c r="J239" t="s">
        <v>498</v>
      </c>
      <c r="K239" s="82">
        <f>INDEX('feed pars'!O$6:O$43,MATCH(F239,'feed pars'!B$6:B$43,0))</f>
        <v>30</v>
      </c>
    </row>
    <row r="240" spans="1:13" x14ac:dyDescent="0.25">
      <c r="A240" t="s">
        <v>24</v>
      </c>
      <c r="F240" t="s">
        <v>33</v>
      </c>
      <c r="J240" t="s">
        <v>498</v>
      </c>
      <c r="K240" s="82">
        <f>INDEX('feed pars'!O$6:O$43,MATCH(F240,'feed pars'!B$6:B$43,0))</f>
        <v>20</v>
      </c>
    </row>
    <row r="241" spans="1:11" x14ac:dyDescent="0.25">
      <c r="A241" t="s">
        <v>24</v>
      </c>
      <c r="F241" t="s">
        <v>17</v>
      </c>
      <c r="J241" t="s">
        <v>498</v>
      </c>
      <c r="K241" s="82">
        <f>INDEX('feed pars'!O$6:O$43,MATCH(F241,'feed pars'!B$6:B$43,0))</f>
        <v>25</v>
      </c>
    </row>
    <row r="242" spans="1:11" x14ac:dyDescent="0.25">
      <c r="A242" t="s">
        <v>24</v>
      </c>
      <c r="F242" t="s">
        <v>37</v>
      </c>
      <c r="J242" t="s">
        <v>498</v>
      </c>
      <c r="K242" s="82">
        <f>INDEX('feed pars'!O$6:O$43,MATCH(F242,'feed pars'!B$6:B$43,0))</f>
        <v>27</v>
      </c>
    </row>
    <row r="243" spans="1:11" x14ac:dyDescent="0.25">
      <c r="A243" t="s">
        <v>24</v>
      </c>
      <c r="F243" t="s">
        <v>38</v>
      </c>
      <c r="J243" t="s">
        <v>498</v>
      </c>
      <c r="K243" s="82">
        <f>INDEX('feed pars'!O$6:O$43,MATCH(F243,'feed pars'!B$6:B$43,0))</f>
        <v>61</v>
      </c>
    </row>
    <row r="244" spans="1:11" x14ac:dyDescent="0.25">
      <c r="A244" t="s">
        <v>24</v>
      </c>
      <c r="F244" t="s">
        <v>39</v>
      </c>
      <c r="J244" t="s">
        <v>498</v>
      </c>
      <c r="K244" s="82">
        <f>INDEX('feed pars'!O$6:O$43,MATCH(F244,'feed pars'!B$6:B$43,0))</f>
        <v>26</v>
      </c>
    </row>
    <row r="245" spans="1:11" x14ac:dyDescent="0.25">
      <c r="A245" t="s">
        <v>24</v>
      </c>
      <c r="F245" t="s">
        <v>313</v>
      </c>
      <c r="J245" t="s">
        <v>498</v>
      </c>
      <c r="K245" s="82">
        <f>INDEX('feed pars'!O$6:O$43,MATCH(F245,'feed pars'!B$6:B$43,0))</f>
        <v>20</v>
      </c>
    </row>
    <row r="246" spans="1:11" x14ac:dyDescent="0.25">
      <c r="A246" t="s">
        <v>24</v>
      </c>
      <c r="F246" t="s">
        <v>40</v>
      </c>
      <c r="J246" t="s">
        <v>498</v>
      </c>
      <c r="K246" s="82">
        <f>INDEX('feed pars'!O$6:O$43,MATCH(F246,'feed pars'!B$6:B$43,0))</f>
        <v>40</v>
      </c>
    </row>
    <row r="247" spans="1:11" x14ac:dyDescent="0.25">
      <c r="A247" t="s">
        <v>24</v>
      </c>
      <c r="F247" t="s">
        <v>41</v>
      </c>
      <c r="J247" t="s">
        <v>498</v>
      </c>
      <c r="K247" s="82">
        <f>INDEX('feed pars'!O$6:O$43,MATCH(F247,'feed pars'!B$6:B$43,0))</f>
        <v>17</v>
      </c>
    </row>
    <row r="248" spans="1:11" x14ac:dyDescent="0.25">
      <c r="A248" t="s">
        <v>24</v>
      </c>
      <c r="F248" t="s">
        <v>42</v>
      </c>
      <c r="J248" t="s">
        <v>498</v>
      </c>
      <c r="K248" s="82">
        <f>INDEX('feed pars'!O$6:O$43,MATCH(F248,'feed pars'!B$6:B$43,0))</f>
        <v>14</v>
      </c>
    </row>
    <row r="249" spans="1:11" x14ac:dyDescent="0.25">
      <c r="A249" t="s">
        <v>24</v>
      </c>
      <c r="F249" t="s">
        <v>35</v>
      </c>
      <c r="J249" t="s">
        <v>498</v>
      </c>
      <c r="K249" s="82">
        <f>INDEX('feed pars'!O$6:O$43,MATCH(F249,'feed pars'!B$6:B$43,0))</f>
        <v>460</v>
      </c>
    </row>
    <row r="250" spans="1:11" x14ac:dyDescent="0.25">
      <c r="A250" t="s">
        <v>24</v>
      </c>
      <c r="F250" t="s">
        <v>43</v>
      </c>
      <c r="J250" t="s">
        <v>498</v>
      </c>
      <c r="K250" s="82">
        <f>INDEX('feed pars'!O$6:O$43,MATCH(F250,'feed pars'!B$6:B$43,0))</f>
        <v>380</v>
      </c>
    </row>
    <row r="251" spans="1:11" x14ac:dyDescent="0.25">
      <c r="A251" t="s">
        <v>24</v>
      </c>
      <c r="F251" t="s">
        <v>302</v>
      </c>
      <c r="J251" t="s">
        <v>498</v>
      </c>
      <c r="K251" s="82">
        <f>INDEX('feed pars'!O$6:O$43,MATCH(F251,'feed pars'!B$6:B$43,0))</f>
        <v>20</v>
      </c>
    </row>
    <row r="252" spans="1:11" x14ac:dyDescent="0.25">
      <c r="A252" t="s">
        <v>24</v>
      </c>
      <c r="F252" t="s">
        <v>310</v>
      </c>
      <c r="J252" t="s">
        <v>498</v>
      </c>
      <c r="K252" s="82">
        <f>INDEX('feed pars'!O$6:O$43,MATCH(F252,'feed pars'!B$6:B$43,0))</f>
        <v>1000</v>
      </c>
    </row>
    <row r="253" spans="1:11" x14ac:dyDescent="0.25">
      <c r="A253" t="s">
        <v>24</v>
      </c>
      <c r="F253" t="s">
        <v>314</v>
      </c>
      <c r="J253" t="s">
        <v>498</v>
      </c>
      <c r="K253" s="82">
        <f>INDEX('feed pars'!O$6:O$43,MATCH(F253,'feed pars'!B$6:B$43,0))</f>
        <v>180</v>
      </c>
    </row>
    <row r="254" spans="1:11" x14ac:dyDescent="0.25">
      <c r="A254" t="s">
        <v>24</v>
      </c>
      <c r="F254" t="s">
        <v>44</v>
      </c>
      <c r="J254" t="s">
        <v>498</v>
      </c>
      <c r="K254" s="82">
        <f>INDEX('feed pars'!O$6:O$43,MATCH(F254,'feed pars'!B$6:B$43,0))</f>
        <v>10</v>
      </c>
    </row>
    <row r="255" spans="1:11" x14ac:dyDescent="0.25">
      <c r="A255" t="s">
        <v>24</v>
      </c>
      <c r="F255" t="s">
        <v>36</v>
      </c>
      <c r="J255" t="s">
        <v>498</v>
      </c>
      <c r="K255" s="82">
        <f>INDEX('feed pars'!O$6:O$43,MATCH(F255,'feed pars'!B$6:B$43,0))</f>
        <v>46</v>
      </c>
    </row>
    <row r="256" spans="1:11" x14ac:dyDescent="0.25">
      <c r="A256" t="s">
        <v>24</v>
      </c>
      <c r="F256" t="s">
        <v>46</v>
      </c>
      <c r="J256" t="s">
        <v>498</v>
      </c>
      <c r="K256" s="82">
        <f>INDEX('feed pars'!O$6:O$43,MATCH(F256,'feed pars'!B$6:B$43,0))</f>
        <v>10</v>
      </c>
    </row>
    <row r="257" spans="1:14" x14ac:dyDescent="0.25">
      <c r="A257" t="s">
        <v>24</v>
      </c>
      <c r="F257" t="s">
        <v>47</v>
      </c>
      <c r="J257" t="s">
        <v>498</v>
      </c>
      <c r="K257" s="82">
        <f>INDEX('feed pars'!O$6:O$43,MATCH(F257,'feed pars'!B$6:B$43,0))</f>
        <v>97</v>
      </c>
    </row>
    <row r="258" spans="1:14" x14ac:dyDescent="0.25">
      <c r="A258" t="s">
        <v>24</v>
      </c>
      <c r="F258" t="s">
        <v>315</v>
      </c>
      <c r="J258" t="s">
        <v>498</v>
      </c>
      <c r="K258" s="82">
        <f>INDEX('feed pars'!O$6:O$43,MATCH(F258,'feed pars'!B$6:B$43,0))</f>
        <v>27</v>
      </c>
    </row>
    <row r="259" spans="1:14" x14ac:dyDescent="0.25">
      <c r="A259" t="s">
        <v>24</v>
      </c>
      <c r="F259" t="s">
        <v>48</v>
      </c>
      <c r="J259" t="s">
        <v>498</v>
      </c>
      <c r="K259" s="82">
        <f>INDEX('feed pars'!O$6:O$43,MATCH(F259,'feed pars'!B$6:B$43,0))</f>
        <v>45</v>
      </c>
    </row>
    <row r="260" spans="1:14" x14ac:dyDescent="0.25">
      <c r="A260" t="s">
        <v>24</v>
      </c>
      <c r="F260" t="s">
        <v>50</v>
      </c>
      <c r="J260" t="s">
        <v>498</v>
      </c>
      <c r="K260" s="82">
        <f>INDEX('feed pars'!O$6:O$43,MATCH(F260,'feed pars'!B$6:B$43,0))</f>
        <v>45</v>
      </c>
    </row>
    <row r="261" spans="1:14" x14ac:dyDescent="0.25">
      <c r="A261" t="s">
        <v>24</v>
      </c>
      <c r="F261" t="s">
        <v>309</v>
      </c>
      <c r="J261" t="s">
        <v>498</v>
      </c>
      <c r="K261" s="82">
        <f>INDEX('feed pars'!O$6:O$43,MATCH(F261,'feed pars'!B$6:B$43,0))</f>
        <v>80</v>
      </c>
    </row>
    <row r="262" spans="1:14" x14ac:dyDescent="0.25">
      <c r="A262" t="s">
        <v>24</v>
      </c>
      <c r="F262" t="s">
        <v>52</v>
      </c>
      <c r="J262" t="s">
        <v>498</v>
      </c>
      <c r="K262" s="82">
        <f>INDEX('feed pars'!O$6:O$43,MATCH(F262,'feed pars'!B$6:B$43,0))</f>
        <v>0</v>
      </c>
    </row>
    <row r="263" spans="1:14" x14ac:dyDescent="0.25">
      <c r="A263" t="s">
        <v>24</v>
      </c>
      <c r="F263" t="s">
        <v>53</v>
      </c>
      <c r="J263" t="s">
        <v>498</v>
      </c>
      <c r="K263" s="82">
        <f>INDEX('feed pars'!O$6:O$43,MATCH(F263,'feed pars'!B$6:B$43,0))</f>
        <v>32</v>
      </c>
    </row>
    <row r="264" spans="1:14" x14ac:dyDescent="0.25">
      <c r="A264" t="s">
        <v>24</v>
      </c>
      <c r="F264" t="s">
        <v>54</v>
      </c>
      <c r="J264" t="s">
        <v>498</v>
      </c>
      <c r="K264" s="82">
        <f>INDEX('feed pars'!O$6:O$43,MATCH(F264,'feed pars'!B$6:B$43,0))</f>
        <v>10</v>
      </c>
    </row>
    <row r="265" spans="1:14" x14ac:dyDescent="0.25">
      <c r="A265" t="s">
        <v>24</v>
      </c>
      <c r="F265" t="s">
        <v>56</v>
      </c>
      <c r="J265" t="s">
        <v>498</v>
      </c>
      <c r="K265" s="82">
        <f>INDEX('feed pars'!O$6:O$43,MATCH(F265,'feed pars'!B$6:B$43,0))</f>
        <v>33</v>
      </c>
    </row>
    <row r="266" spans="1:14" x14ac:dyDescent="0.25">
      <c r="A266" t="s">
        <v>24</v>
      </c>
      <c r="F266" t="s">
        <v>320</v>
      </c>
      <c r="J266" t="s">
        <v>498</v>
      </c>
      <c r="K266" s="3">
        <v>0</v>
      </c>
    </row>
    <row r="267" spans="1:14" x14ac:dyDescent="0.25">
      <c r="A267" s="7" t="s">
        <v>404</v>
      </c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x14ac:dyDescent="0.25">
      <c r="A268" t="s">
        <v>391</v>
      </c>
      <c r="F268" t="s">
        <v>2</v>
      </c>
      <c r="J268" t="s">
        <v>18</v>
      </c>
      <c r="K268" s="25">
        <f>INDEX('feed pars'!M$6:M$43,MATCH(F268,'feed pars'!B$6:B$43,0))</f>
        <v>9.1</v>
      </c>
      <c r="L268" t="s">
        <v>19</v>
      </c>
      <c r="M268" s="26" t="s">
        <v>500</v>
      </c>
    </row>
    <row r="269" spans="1:14" x14ac:dyDescent="0.25">
      <c r="A269" t="s">
        <v>391</v>
      </c>
      <c r="F269" t="s">
        <v>33</v>
      </c>
      <c r="J269" t="s">
        <v>18</v>
      </c>
      <c r="K269" s="31">
        <f>K209</f>
        <v>9.9416666666666664</v>
      </c>
    </row>
    <row r="270" spans="1:14" x14ac:dyDescent="0.25">
      <c r="K270" s="31"/>
    </row>
    <row r="271" spans="1:14" x14ac:dyDescent="0.25">
      <c r="A271" t="s">
        <v>391</v>
      </c>
      <c r="F271" t="s">
        <v>38</v>
      </c>
      <c r="J271" t="s">
        <v>18</v>
      </c>
      <c r="K271" s="31">
        <f>K212</f>
        <v>11.7</v>
      </c>
    </row>
    <row r="272" spans="1:14" x14ac:dyDescent="0.25">
      <c r="A272" t="s">
        <v>391</v>
      </c>
      <c r="F272" t="s">
        <v>37</v>
      </c>
      <c r="J272" t="s">
        <v>18</v>
      </c>
      <c r="K272" s="31">
        <f>K211</f>
        <v>13.2</v>
      </c>
    </row>
    <row r="273" spans="1:14" x14ac:dyDescent="0.25">
      <c r="A273" t="s">
        <v>391</v>
      </c>
      <c r="F273" t="s">
        <v>17</v>
      </c>
      <c r="J273" t="s">
        <v>18</v>
      </c>
      <c r="K273" s="31">
        <f>K210</f>
        <v>14.1</v>
      </c>
    </row>
    <row r="274" spans="1:14" x14ac:dyDescent="0.25">
      <c r="A274" t="s">
        <v>391</v>
      </c>
      <c r="F274" t="s">
        <v>49</v>
      </c>
      <c r="J274" t="s">
        <v>18</v>
      </c>
      <c r="K274" s="31">
        <f t="shared" ref="K274:K280" si="14">K211</f>
        <v>13.2</v>
      </c>
    </row>
    <row r="275" spans="1:14" x14ac:dyDescent="0.25">
      <c r="A275" t="s">
        <v>391</v>
      </c>
      <c r="F275" t="s">
        <v>48</v>
      </c>
      <c r="J275" t="s">
        <v>18</v>
      </c>
      <c r="K275" s="31">
        <f t="shared" si="14"/>
        <v>11.7</v>
      </c>
    </row>
    <row r="276" spans="1:14" x14ac:dyDescent="0.25">
      <c r="A276" t="s">
        <v>391</v>
      </c>
      <c r="F276" t="s">
        <v>310</v>
      </c>
      <c r="J276" t="s">
        <v>18</v>
      </c>
      <c r="K276" s="31">
        <f t="shared" si="14"/>
        <v>14</v>
      </c>
    </row>
    <row r="277" spans="1:14" x14ac:dyDescent="0.25">
      <c r="A277" t="s">
        <v>391</v>
      </c>
      <c r="F277" t="s">
        <v>53</v>
      </c>
      <c r="J277" t="s">
        <v>18</v>
      </c>
      <c r="K277" s="31">
        <f t="shared" si="14"/>
        <v>13.9</v>
      </c>
    </row>
    <row r="278" spans="1:14" x14ac:dyDescent="0.25">
      <c r="A278" t="s">
        <v>391</v>
      </c>
      <c r="F278" t="s">
        <v>52</v>
      </c>
      <c r="J278" t="s">
        <v>18</v>
      </c>
      <c r="K278" s="31">
        <f t="shared" si="14"/>
        <v>12.8</v>
      </c>
    </row>
    <row r="279" spans="1:14" x14ac:dyDescent="0.25">
      <c r="A279" t="s">
        <v>391</v>
      </c>
      <c r="F279" t="s">
        <v>56</v>
      </c>
      <c r="J279" t="s">
        <v>18</v>
      </c>
      <c r="K279" s="31">
        <f t="shared" si="14"/>
        <v>13.8</v>
      </c>
    </row>
    <row r="280" spans="1:14" x14ac:dyDescent="0.25">
      <c r="A280" t="s">
        <v>391</v>
      </c>
      <c r="F280" t="s">
        <v>315</v>
      </c>
      <c r="J280" t="s">
        <v>18</v>
      </c>
      <c r="K280" s="31">
        <f t="shared" si="14"/>
        <v>13.3</v>
      </c>
    </row>
    <row r="281" spans="1:14" x14ac:dyDescent="0.25">
      <c r="K281" s="3"/>
    </row>
    <row r="282" spans="1:14" x14ac:dyDescent="0.25">
      <c r="A282" s="8" t="s">
        <v>21</v>
      </c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</row>
    <row r="283" spans="1:14" x14ac:dyDescent="0.25">
      <c r="A283" s="27" t="s">
        <v>387</v>
      </c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</row>
    <row r="284" spans="1:14" x14ac:dyDescent="0.25">
      <c r="A284" t="s">
        <v>25</v>
      </c>
      <c r="E284" t="s">
        <v>296</v>
      </c>
      <c r="F284" t="s">
        <v>17</v>
      </c>
      <c r="J284" t="s">
        <v>18</v>
      </c>
      <c r="K284" s="25">
        <f>INDEX('feed pars'!AB$6:AB$43,MATCH(F284,'feed pars'!B$6:B$43,0))</f>
        <v>12.3</v>
      </c>
      <c r="L284" t="s">
        <v>297</v>
      </c>
      <c r="M284" t="s">
        <v>501</v>
      </c>
    </row>
    <row r="285" spans="1:14" x14ac:dyDescent="0.25">
      <c r="A285" t="s">
        <v>25</v>
      </c>
      <c r="E285" t="s">
        <v>296</v>
      </c>
      <c r="F285" t="s">
        <v>37</v>
      </c>
      <c r="J285" t="s">
        <v>18</v>
      </c>
      <c r="K285" s="25">
        <f>INDEX('feed pars'!AB$6:AB$43,MATCH(F285,'feed pars'!B$6:B$43,0))</f>
        <v>11.2</v>
      </c>
    </row>
    <row r="286" spans="1:14" x14ac:dyDescent="0.25">
      <c r="A286" t="s">
        <v>25</v>
      </c>
      <c r="E286" t="s">
        <v>296</v>
      </c>
      <c r="F286" t="s">
        <v>38</v>
      </c>
      <c r="J286" t="s">
        <v>18</v>
      </c>
      <c r="K286" s="25">
        <f>INDEX('feed pars'!AB$6:AB$43,MATCH(F286,'feed pars'!B$6:B$43,0))</f>
        <v>9.4</v>
      </c>
    </row>
    <row r="287" spans="1:14" x14ac:dyDescent="0.25">
      <c r="A287" t="s">
        <v>25</v>
      </c>
      <c r="E287" t="s">
        <v>296</v>
      </c>
      <c r="F287" t="s">
        <v>39</v>
      </c>
      <c r="J287" t="s">
        <v>18</v>
      </c>
      <c r="K287" s="25">
        <f>INDEX('feed pars'!AB$6:AB$43,MATCH(F287,'feed pars'!B$6:B$43,0))</f>
        <v>12</v>
      </c>
    </row>
    <row r="288" spans="1:14" x14ac:dyDescent="0.25">
      <c r="A288" t="s">
        <v>25</v>
      </c>
      <c r="E288" t="s">
        <v>296</v>
      </c>
      <c r="F288" t="s">
        <v>40</v>
      </c>
      <c r="J288" t="s">
        <v>18</v>
      </c>
      <c r="K288" s="25">
        <f>INDEX('feed pars'!AB$6:AB$43,MATCH(F288,'feed pars'!B$6:B$43,0))</f>
        <v>13.2</v>
      </c>
    </row>
    <row r="289" spans="1:11" x14ac:dyDescent="0.25">
      <c r="A289" t="s">
        <v>25</v>
      </c>
      <c r="E289" t="s">
        <v>296</v>
      </c>
      <c r="F289" t="s">
        <v>41</v>
      </c>
      <c r="J289" t="s">
        <v>18</v>
      </c>
      <c r="K289" s="25">
        <f>INDEX('feed pars'!AB$6:AB$43,MATCH(F289,'feed pars'!B$6:B$43,0))</f>
        <v>11.5</v>
      </c>
    </row>
    <row r="290" spans="1:11" x14ac:dyDescent="0.25">
      <c r="A290" t="s">
        <v>25</v>
      </c>
      <c r="E290" t="s">
        <v>296</v>
      </c>
      <c r="F290" t="s">
        <v>42</v>
      </c>
      <c r="J290" t="s">
        <v>18</v>
      </c>
      <c r="K290" s="25">
        <f>INDEX('feed pars'!AB$6:AB$43,MATCH(F290,'feed pars'!B$6:B$43,0))</f>
        <v>10.9</v>
      </c>
    </row>
    <row r="291" spans="1:11" x14ac:dyDescent="0.25">
      <c r="A291" t="s">
        <v>25</v>
      </c>
      <c r="E291" t="s">
        <v>296</v>
      </c>
      <c r="F291" t="s">
        <v>35</v>
      </c>
      <c r="J291" t="s">
        <v>18</v>
      </c>
      <c r="K291" s="25">
        <f>INDEX('feed pars'!AB$6:AB$43,MATCH(F291,'feed pars'!B$6:B$43,0))</f>
        <v>18.5</v>
      </c>
    </row>
    <row r="292" spans="1:11" x14ac:dyDescent="0.25">
      <c r="A292" t="s">
        <v>25</v>
      </c>
      <c r="E292" t="s">
        <v>296</v>
      </c>
      <c r="F292" t="s">
        <v>43</v>
      </c>
      <c r="J292" t="s">
        <v>18</v>
      </c>
      <c r="K292" s="25">
        <f>INDEX('feed pars'!AB$6:AB$43,MATCH(F292,'feed pars'!B$6:B$43,0))</f>
        <v>17.5</v>
      </c>
    </row>
    <row r="293" spans="1:11" x14ac:dyDescent="0.25">
      <c r="A293" t="s">
        <v>25</v>
      </c>
      <c r="E293" t="s">
        <v>296</v>
      </c>
      <c r="F293" t="s">
        <v>310</v>
      </c>
      <c r="J293" t="s">
        <v>18</v>
      </c>
      <c r="K293" s="25">
        <f>INDEX('feed pars'!AB$6:AB$43,MATCH(F293,'feed pars'!B$6:B$43,0))</f>
        <v>29.8</v>
      </c>
    </row>
    <row r="294" spans="1:11" x14ac:dyDescent="0.25">
      <c r="A294" t="s">
        <v>25</v>
      </c>
      <c r="E294" t="s">
        <v>296</v>
      </c>
      <c r="F294" t="s">
        <v>44</v>
      </c>
      <c r="J294" t="s">
        <v>18</v>
      </c>
      <c r="K294" s="25">
        <f>INDEX('feed pars'!AB$6:AB$43,MATCH(F294,'feed pars'!B$6:B$43,0))</f>
        <v>9.9</v>
      </c>
    </row>
    <row r="295" spans="1:11" x14ac:dyDescent="0.25">
      <c r="A295" t="s">
        <v>25</v>
      </c>
      <c r="E295" t="s">
        <v>296</v>
      </c>
      <c r="F295" t="s">
        <v>45</v>
      </c>
      <c r="J295" t="s">
        <v>18</v>
      </c>
      <c r="K295" s="25">
        <f>INDEX('feed pars'!AB$6:AB$43,MATCH(F295,'feed pars'!B$6:B$43,0))</f>
        <v>10.3</v>
      </c>
    </row>
    <row r="296" spans="1:11" x14ac:dyDescent="0.25">
      <c r="A296" t="s">
        <v>25</v>
      </c>
      <c r="E296" t="s">
        <v>296</v>
      </c>
      <c r="F296" t="s">
        <v>36</v>
      </c>
      <c r="J296" t="s">
        <v>18</v>
      </c>
      <c r="K296" s="25">
        <f>INDEX('feed pars'!AB$6:AB$43,MATCH(F296,'feed pars'!B$6:B$43,0))</f>
        <v>7.7</v>
      </c>
    </row>
    <row r="297" spans="1:11" x14ac:dyDescent="0.25">
      <c r="A297" t="s">
        <v>25</v>
      </c>
      <c r="E297" t="s">
        <v>296</v>
      </c>
      <c r="F297" t="s">
        <v>46</v>
      </c>
      <c r="J297" t="s">
        <v>18</v>
      </c>
      <c r="K297" s="25">
        <f>INDEX('feed pars'!AB$6:AB$43,MATCH(F297,'feed pars'!B$6:B$43,0))</f>
        <v>6.5</v>
      </c>
    </row>
    <row r="298" spans="1:11" x14ac:dyDescent="0.25">
      <c r="A298" t="s">
        <v>25</v>
      </c>
      <c r="E298" t="s">
        <v>296</v>
      </c>
      <c r="F298" t="s">
        <v>47</v>
      </c>
      <c r="J298" t="s">
        <v>18</v>
      </c>
      <c r="K298" s="25">
        <f>INDEX('feed pars'!AB$6:AB$43,MATCH(F298,'feed pars'!B$6:B$43,0))</f>
        <v>6.2</v>
      </c>
    </row>
    <row r="299" spans="1:11" x14ac:dyDescent="0.25">
      <c r="A299" t="s">
        <v>25</v>
      </c>
      <c r="E299" t="s">
        <v>296</v>
      </c>
      <c r="F299" t="s">
        <v>48</v>
      </c>
      <c r="J299" t="s">
        <v>18</v>
      </c>
      <c r="K299" s="25">
        <f>INDEX('feed pars'!AB$6:AB$43,MATCH(F299,'feed pars'!B$6:B$43,0))</f>
        <v>7.8</v>
      </c>
    </row>
    <row r="300" spans="1:11" x14ac:dyDescent="0.25">
      <c r="A300" t="s">
        <v>25</v>
      </c>
      <c r="E300" t="s">
        <v>296</v>
      </c>
      <c r="F300" t="s">
        <v>49</v>
      </c>
      <c r="J300" t="s">
        <v>18</v>
      </c>
      <c r="K300" s="25">
        <f>INDEX('feed pars'!AB$6:AB$43,MATCH(F300,'feed pars'!B$6:B$43,0))</f>
        <v>9.1999999999999993</v>
      </c>
    </row>
    <row r="301" spans="1:11" x14ac:dyDescent="0.25">
      <c r="A301" t="s">
        <v>25</v>
      </c>
      <c r="E301" t="s">
        <v>296</v>
      </c>
      <c r="F301" t="s">
        <v>50</v>
      </c>
      <c r="J301" t="s">
        <v>18</v>
      </c>
      <c r="K301" s="25">
        <f>INDEX('feed pars'!AB$6:AB$43,MATCH(F301,'feed pars'!B$6:B$43,0))</f>
        <v>8.6999999999999993</v>
      </c>
    </row>
    <row r="302" spans="1:11" x14ac:dyDescent="0.25">
      <c r="A302" t="s">
        <v>25</v>
      </c>
      <c r="E302" t="s">
        <v>296</v>
      </c>
      <c r="F302" t="s">
        <v>51</v>
      </c>
      <c r="J302" t="s">
        <v>18</v>
      </c>
      <c r="K302" s="25">
        <f>INDEX('feed pars'!AB$6:AB$43,MATCH(F302,'feed pars'!B$6:B$43,0))</f>
        <v>8.9</v>
      </c>
    </row>
    <row r="303" spans="1:11" x14ac:dyDescent="0.25">
      <c r="A303" t="s">
        <v>25</v>
      </c>
      <c r="E303" t="s">
        <v>296</v>
      </c>
      <c r="F303" t="s">
        <v>309</v>
      </c>
      <c r="J303" t="s">
        <v>18</v>
      </c>
      <c r="K303" s="25">
        <f>INDEX('feed pars'!AB$6:AB$43,MATCH(F303,'feed pars'!B$6:B$43,0))</f>
        <v>7.0888888888888877</v>
      </c>
    </row>
    <row r="304" spans="1:11" x14ac:dyDescent="0.25">
      <c r="A304" t="s">
        <v>25</v>
      </c>
      <c r="E304" t="s">
        <v>296</v>
      </c>
      <c r="F304" t="s">
        <v>52</v>
      </c>
      <c r="J304" t="s">
        <v>18</v>
      </c>
      <c r="K304" s="25">
        <f>INDEX('feed pars'!AB$6:AB$43,MATCH(F304,'feed pars'!B$6:B$43,0))</f>
        <v>9</v>
      </c>
    </row>
    <row r="305" spans="1:14" x14ac:dyDescent="0.25">
      <c r="A305" t="s">
        <v>25</v>
      </c>
      <c r="E305" t="s">
        <v>296</v>
      </c>
      <c r="F305" t="s">
        <v>53</v>
      </c>
      <c r="J305" t="s">
        <v>18</v>
      </c>
      <c r="K305" s="25">
        <f>INDEX('feed pars'!AB$6:AB$43,MATCH(F305,'feed pars'!B$6:B$43,0))</f>
        <v>8</v>
      </c>
    </row>
    <row r="306" spans="1:14" x14ac:dyDescent="0.25">
      <c r="A306" t="s">
        <v>25</v>
      </c>
      <c r="E306" t="s">
        <v>296</v>
      </c>
      <c r="F306" t="s">
        <v>54</v>
      </c>
      <c r="J306" t="s">
        <v>18</v>
      </c>
      <c r="K306" s="25">
        <f>INDEX('feed pars'!AB$6:AB$43,MATCH(F306,'feed pars'!B$6:B$43,0))</f>
        <v>12.2</v>
      </c>
    </row>
    <row r="307" spans="1:14" x14ac:dyDescent="0.25">
      <c r="A307" t="s">
        <v>25</v>
      </c>
      <c r="E307" t="s">
        <v>296</v>
      </c>
      <c r="F307" t="s">
        <v>55</v>
      </c>
      <c r="J307" t="s">
        <v>18</v>
      </c>
      <c r="K307" s="25">
        <f>INDEX('feed pars'!AB$6:AB$43,MATCH(F307,'feed pars'!B$6:B$43,0))</f>
        <v>12.2</v>
      </c>
    </row>
    <row r="308" spans="1:14" x14ac:dyDescent="0.25">
      <c r="A308" t="s">
        <v>25</v>
      </c>
      <c r="E308" t="s">
        <v>296</v>
      </c>
      <c r="F308" t="s">
        <v>56</v>
      </c>
      <c r="J308" t="s">
        <v>18</v>
      </c>
      <c r="K308" s="25">
        <f>INDEX('feed pars'!AB$6:AB$43,MATCH(F308,'feed pars'!B$6:B$43,0))</f>
        <v>11.3</v>
      </c>
    </row>
    <row r="309" spans="1:14" x14ac:dyDescent="0.25">
      <c r="A309" t="s">
        <v>25</v>
      </c>
      <c r="E309" t="s">
        <v>296</v>
      </c>
      <c r="F309" t="s">
        <v>57</v>
      </c>
      <c r="J309" t="s">
        <v>18</v>
      </c>
      <c r="K309" s="25">
        <f>INDEX('feed pars'!AB$6:AB$43,MATCH(F309,'feed pars'!B$6:B$43,0))</f>
        <v>10.8</v>
      </c>
    </row>
    <row r="310" spans="1:14" x14ac:dyDescent="0.25">
      <c r="A310" s="27" t="s">
        <v>388</v>
      </c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</row>
    <row r="311" spans="1:14" x14ac:dyDescent="0.25">
      <c r="A311" t="s">
        <v>25</v>
      </c>
      <c r="F311" t="s">
        <v>17</v>
      </c>
      <c r="J311" t="s">
        <v>18</v>
      </c>
      <c r="K311" s="25">
        <f>INDEX('feed pars'!AA$6:AA$43,MATCH(F311,'feed pars'!B$6:B$43,0))</f>
        <v>12.1</v>
      </c>
      <c r="L311" t="s">
        <v>22</v>
      </c>
      <c r="M311" t="s">
        <v>502</v>
      </c>
    </row>
    <row r="312" spans="1:14" x14ac:dyDescent="0.25">
      <c r="A312" t="s">
        <v>25</v>
      </c>
      <c r="F312" t="s">
        <v>37</v>
      </c>
      <c r="J312" t="s">
        <v>18</v>
      </c>
      <c r="K312" s="25">
        <f>INDEX('feed pars'!AA$6:AA$43,MATCH(F312,'feed pars'!B$6:B$43,0))</f>
        <v>11</v>
      </c>
    </row>
    <row r="313" spans="1:14" x14ac:dyDescent="0.25">
      <c r="A313" t="s">
        <v>25</v>
      </c>
      <c r="F313" t="s">
        <v>38</v>
      </c>
      <c r="J313" t="s">
        <v>18</v>
      </c>
      <c r="K313" s="25">
        <f>INDEX('feed pars'!AA$6:AA$43,MATCH(F313,'feed pars'!B$6:B$43,0))</f>
        <v>9</v>
      </c>
    </row>
    <row r="314" spans="1:14" x14ac:dyDescent="0.25">
      <c r="A314" t="s">
        <v>25</v>
      </c>
      <c r="F314" t="s">
        <v>39</v>
      </c>
      <c r="J314" t="s">
        <v>18</v>
      </c>
      <c r="K314" s="25">
        <f>INDEX('feed pars'!AA$6:AA$43,MATCH(F314,'feed pars'!B$6:B$43,0))</f>
        <v>11.9</v>
      </c>
    </row>
    <row r="315" spans="1:14" x14ac:dyDescent="0.25">
      <c r="A315" t="s">
        <v>25</v>
      </c>
      <c r="F315" t="s">
        <v>40</v>
      </c>
      <c r="J315" t="s">
        <v>18</v>
      </c>
      <c r="K315" s="25">
        <f>INDEX('feed pars'!AA$6:AA$43,MATCH(F315,'feed pars'!B$6:B$43,0))</f>
        <v>12.8</v>
      </c>
    </row>
    <row r="316" spans="1:14" x14ac:dyDescent="0.25">
      <c r="A316" t="s">
        <v>25</v>
      </c>
      <c r="F316" t="s">
        <v>41</v>
      </c>
      <c r="J316" t="s">
        <v>18</v>
      </c>
      <c r="K316" s="25">
        <f>INDEX('feed pars'!AA$6:AA$43,MATCH(F316,'feed pars'!B$6:B$43,0))</f>
        <v>11.2</v>
      </c>
    </row>
    <row r="317" spans="1:14" x14ac:dyDescent="0.25">
      <c r="A317" t="s">
        <v>25</v>
      </c>
      <c r="F317" t="s">
        <v>42</v>
      </c>
      <c r="J317" t="s">
        <v>18</v>
      </c>
      <c r="K317" s="25">
        <f>INDEX('feed pars'!AA$6:AA$43,MATCH(F317,'feed pars'!B$6:B$43,0))</f>
        <v>10.7</v>
      </c>
    </row>
    <row r="318" spans="1:14" x14ac:dyDescent="0.25">
      <c r="A318" t="s">
        <v>25</v>
      </c>
      <c r="F318" t="s">
        <v>35</v>
      </c>
      <c r="J318" t="s">
        <v>18</v>
      </c>
      <c r="K318" s="25">
        <f>INDEX('feed pars'!AA$6:AA$43,MATCH(F318,'feed pars'!B$6:B$43,0))</f>
        <v>18</v>
      </c>
    </row>
    <row r="319" spans="1:14" x14ac:dyDescent="0.25">
      <c r="A319" t="s">
        <v>25</v>
      </c>
      <c r="F319" t="s">
        <v>43</v>
      </c>
      <c r="J319" t="s">
        <v>18</v>
      </c>
      <c r="K319" s="25">
        <f>INDEX('feed pars'!AA$6:AA$43,MATCH(F319,'feed pars'!B$6:B$43,0))</f>
        <v>17.3</v>
      </c>
    </row>
    <row r="320" spans="1:14" x14ac:dyDescent="0.25">
      <c r="A320" t="s">
        <v>25</v>
      </c>
      <c r="F320" t="s">
        <v>310</v>
      </c>
      <c r="J320" t="s">
        <v>18</v>
      </c>
      <c r="K320" s="25">
        <f>INDEX('feed pars'!AA$6:AA$43,MATCH(F320,'feed pars'!B$6:B$43,0))</f>
        <v>29.8</v>
      </c>
    </row>
    <row r="321" spans="1:11" x14ac:dyDescent="0.25">
      <c r="A321" t="s">
        <v>25</v>
      </c>
      <c r="F321" t="s">
        <v>44</v>
      </c>
      <c r="J321" t="s">
        <v>18</v>
      </c>
      <c r="K321" s="25">
        <f>INDEX('feed pars'!AA$6:AA$43,MATCH(F321,'feed pars'!B$6:B$43,0))</f>
        <v>9.3000000000000007</v>
      </c>
    </row>
    <row r="322" spans="1:11" x14ac:dyDescent="0.25">
      <c r="A322" t="s">
        <v>25</v>
      </c>
      <c r="F322" t="s">
        <v>45</v>
      </c>
      <c r="J322" t="s">
        <v>18</v>
      </c>
      <c r="K322" s="25">
        <f>INDEX('feed pars'!AA$6:AA$43,MATCH(F322,'feed pars'!B$6:B$43,0))</f>
        <v>9.6999999999999993</v>
      </c>
    </row>
    <row r="323" spans="1:11" x14ac:dyDescent="0.25">
      <c r="A323" t="s">
        <v>25</v>
      </c>
      <c r="F323" t="s">
        <v>36</v>
      </c>
      <c r="J323" t="s">
        <v>18</v>
      </c>
      <c r="K323" s="25">
        <f>INDEX('feed pars'!AA$6:AA$43,MATCH(F323,'feed pars'!B$6:B$43,0))</f>
        <v>7.1</v>
      </c>
    </row>
    <row r="324" spans="1:11" x14ac:dyDescent="0.25">
      <c r="A324" t="s">
        <v>25</v>
      </c>
      <c r="F324" t="s">
        <v>46</v>
      </c>
      <c r="J324" t="s">
        <v>18</v>
      </c>
      <c r="K324" s="25">
        <f>INDEX('feed pars'!AA$6:AA$43,MATCH(F324,'feed pars'!B$6:B$43,0))</f>
        <v>5.9</v>
      </c>
    </row>
    <row r="325" spans="1:11" x14ac:dyDescent="0.25">
      <c r="A325" t="s">
        <v>25</v>
      </c>
      <c r="F325" t="s">
        <v>47</v>
      </c>
      <c r="J325" t="s">
        <v>18</v>
      </c>
      <c r="K325" s="25">
        <f>INDEX('feed pars'!AA$6:AA$43,MATCH(F325,'feed pars'!B$6:B$43,0))</f>
        <v>5.4</v>
      </c>
    </row>
    <row r="326" spans="1:11" x14ac:dyDescent="0.25">
      <c r="A326" t="s">
        <v>25</v>
      </c>
      <c r="F326" t="s">
        <v>48</v>
      </c>
      <c r="J326" t="s">
        <v>18</v>
      </c>
      <c r="K326" s="25">
        <f>INDEX('feed pars'!AA$6:AA$43,MATCH(F326,'feed pars'!B$6:B$43,0))</f>
        <v>7.2</v>
      </c>
    </row>
    <row r="327" spans="1:11" x14ac:dyDescent="0.25">
      <c r="A327" t="s">
        <v>25</v>
      </c>
      <c r="F327" t="s">
        <v>49</v>
      </c>
      <c r="J327" t="s">
        <v>18</v>
      </c>
      <c r="K327" s="25">
        <f>INDEX('feed pars'!AA$6:AA$43,MATCH(F327,'feed pars'!B$6:B$43,0))</f>
        <v>8.6999999999999993</v>
      </c>
    </row>
    <row r="328" spans="1:11" x14ac:dyDescent="0.25">
      <c r="A328" t="s">
        <v>25</v>
      </c>
      <c r="F328" t="s">
        <v>50</v>
      </c>
      <c r="J328" t="s">
        <v>18</v>
      </c>
      <c r="K328" s="25">
        <f>INDEX('feed pars'!AA$6:AA$43,MATCH(F328,'feed pars'!B$6:B$43,0))</f>
        <v>8.1</v>
      </c>
    </row>
    <row r="329" spans="1:11" x14ac:dyDescent="0.25">
      <c r="A329" t="s">
        <v>25</v>
      </c>
      <c r="F329" t="s">
        <v>51</v>
      </c>
      <c r="J329" t="s">
        <v>18</v>
      </c>
      <c r="K329" s="25">
        <f>INDEX('feed pars'!AA$6:AA$43,MATCH(F329,'feed pars'!B$6:B$43,0))</f>
        <v>8.1999999999999993</v>
      </c>
    </row>
    <row r="330" spans="1:11" x14ac:dyDescent="0.25">
      <c r="A330" t="s">
        <v>25</v>
      </c>
      <c r="F330" t="s">
        <v>309</v>
      </c>
      <c r="J330" t="s">
        <v>18</v>
      </c>
      <c r="K330" s="25">
        <f>INDEX('feed pars'!AA$6:AA$43,MATCH(F330,'feed pars'!B$6:B$43,0))</f>
        <v>6.6</v>
      </c>
    </row>
    <row r="331" spans="1:11" x14ac:dyDescent="0.25">
      <c r="A331" t="s">
        <v>25</v>
      </c>
      <c r="F331" t="s">
        <v>52</v>
      </c>
      <c r="J331" t="s">
        <v>18</v>
      </c>
      <c r="K331" s="25">
        <f>INDEX('feed pars'!AA$6:AA$43,MATCH(F331,'feed pars'!B$6:B$43,0))</f>
        <v>8.6999999999999993</v>
      </c>
    </row>
    <row r="332" spans="1:11" x14ac:dyDescent="0.25">
      <c r="A332" t="s">
        <v>25</v>
      </c>
      <c r="F332" t="s">
        <v>53</v>
      </c>
      <c r="J332" t="s">
        <v>18</v>
      </c>
      <c r="K332" s="25">
        <f>INDEX('feed pars'!AA$6:AA$43,MATCH(F332,'feed pars'!B$6:B$43,0))</f>
        <v>6.9</v>
      </c>
    </row>
    <row r="333" spans="1:11" x14ac:dyDescent="0.25">
      <c r="A333" t="s">
        <v>25</v>
      </c>
      <c r="F333" t="s">
        <v>54</v>
      </c>
      <c r="J333" t="s">
        <v>18</v>
      </c>
      <c r="K333" s="25">
        <f>INDEX('feed pars'!AA$6:AA$43,MATCH(F333,'feed pars'!B$6:B$43,0))</f>
        <v>12.4</v>
      </c>
    </row>
    <row r="334" spans="1:11" x14ac:dyDescent="0.25">
      <c r="A334" t="s">
        <v>25</v>
      </c>
      <c r="F334" t="s">
        <v>55</v>
      </c>
      <c r="J334" t="s">
        <v>18</v>
      </c>
      <c r="K334" s="25">
        <f>INDEX('feed pars'!AA$6:AA$43,MATCH(F334,'feed pars'!B$6:B$43,0))</f>
        <v>12.4</v>
      </c>
    </row>
    <row r="335" spans="1:11" x14ac:dyDescent="0.25">
      <c r="A335" t="s">
        <v>25</v>
      </c>
      <c r="F335" t="s">
        <v>56</v>
      </c>
      <c r="J335" t="s">
        <v>18</v>
      </c>
      <c r="K335" s="25">
        <f>INDEX('feed pars'!AA$6:AA$43,MATCH(F335,'feed pars'!B$6:B$43,0))</f>
        <v>11.1</v>
      </c>
    </row>
    <row r="336" spans="1:11" x14ac:dyDescent="0.25">
      <c r="A336" t="s">
        <v>25</v>
      </c>
      <c r="F336" t="s">
        <v>57</v>
      </c>
      <c r="J336" t="s">
        <v>18</v>
      </c>
      <c r="K336" s="25">
        <f>INDEX('feed pars'!AA$6:AA$43,MATCH(F336,'feed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N46"/>
  <sheetViews>
    <sheetView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C35" sqref="C35"/>
    </sheetView>
  </sheetViews>
  <sheetFormatPr defaultRowHeight="15" x14ac:dyDescent="0.25"/>
  <cols>
    <col min="2" max="2" width="27" bestFit="1" customWidth="1"/>
    <col min="3" max="9" width="7.5703125" customWidth="1"/>
    <col min="24" max="24" width="7.5703125" customWidth="1"/>
  </cols>
  <sheetData>
    <row r="1" spans="2:40" x14ac:dyDescent="0.25">
      <c r="B1" t="s">
        <v>489</v>
      </c>
      <c r="C1" s="11" t="s">
        <v>118</v>
      </c>
      <c r="D1" s="11"/>
      <c r="E1" s="11"/>
      <c r="F1" s="11"/>
      <c r="G1" s="11"/>
      <c r="H1" s="11"/>
      <c r="I1" s="11"/>
      <c r="X1" s="11"/>
    </row>
    <row r="3" spans="2:40" x14ac:dyDescent="0.25">
      <c r="C3" s="62" t="s">
        <v>303</v>
      </c>
      <c r="D3" s="63"/>
      <c r="E3" s="63"/>
      <c r="F3" s="63"/>
      <c r="G3" s="63"/>
      <c r="J3" s="62" t="s">
        <v>487</v>
      </c>
      <c r="K3" s="63"/>
      <c r="L3" s="63"/>
      <c r="M3" s="63"/>
      <c r="N3" s="63"/>
      <c r="O3" s="63"/>
      <c r="P3" s="63"/>
      <c r="Q3" s="63"/>
      <c r="R3" s="89" t="s">
        <v>507</v>
      </c>
      <c r="S3" s="63">
        <f>1/6.25</f>
        <v>0.16</v>
      </c>
      <c r="T3" s="63"/>
      <c r="U3" s="63"/>
      <c r="X3" s="62" t="s">
        <v>25</v>
      </c>
      <c r="Y3" s="63"/>
      <c r="Z3" s="63"/>
      <c r="AA3" s="63"/>
      <c r="AB3" s="63"/>
      <c r="AC3" s="63"/>
      <c r="AD3" s="63"/>
      <c r="AE3" s="63"/>
      <c r="AF3" s="89" t="s">
        <v>507</v>
      </c>
      <c r="AG3" s="63">
        <f>1/6.25</f>
        <v>0.16</v>
      </c>
      <c r="AH3" s="63"/>
      <c r="AI3" s="63"/>
      <c r="AL3" s="62" t="s">
        <v>385</v>
      </c>
      <c r="AM3" s="63"/>
    </row>
    <row r="4" spans="2:40" x14ac:dyDescent="0.25">
      <c r="C4" s="61"/>
      <c r="D4" s="2"/>
      <c r="E4" s="2"/>
      <c r="F4" s="2"/>
      <c r="G4" s="2"/>
      <c r="J4" s="68" t="s">
        <v>294</v>
      </c>
      <c r="K4" s="69">
        <v>1</v>
      </c>
      <c r="L4" s="69"/>
      <c r="M4" s="69">
        <v>2</v>
      </c>
      <c r="N4" s="69">
        <v>7</v>
      </c>
      <c r="O4" s="69">
        <v>8</v>
      </c>
      <c r="P4" s="69">
        <v>9</v>
      </c>
      <c r="Q4" s="69">
        <v>11</v>
      </c>
      <c r="R4" s="69">
        <v>10</v>
      </c>
      <c r="S4" s="69"/>
      <c r="T4" s="69">
        <v>26</v>
      </c>
      <c r="U4" s="69">
        <v>28</v>
      </c>
      <c r="V4" s="4"/>
      <c r="W4" s="4"/>
      <c r="X4" s="68" t="s">
        <v>294</v>
      </c>
      <c r="Y4" s="69">
        <v>1</v>
      </c>
      <c r="Z4" s="69"/>
      <c r="AA4" s="69">
        <v>2</v>
      </c>
      <c r="AB4" s="69">
        <v>3</v>
      </c>
      <c r="AC4" s="69">
        <v>5</v>
      </c>
      <c r="AD4" s="69">
        <v>6</v>
      </c>
      <c r="AE4" s="69"/>
      <c r="AF4" s="69">
        <v>12</v>
      </c>
      <c r="AG4" s="69"/>
      <c r="AH4" s="69">
        <v>29</v>
      </c>
      <c r="AI4" s="69">
        <v>31</v>
      </c>
      <c r="AJ4" s="4"/>
      <c r="AK4" s="4"/>
      <c r="AL4" s="68" t="s">
        <v>294</v>
      </c>
      <c r="AM4" s="69">
        <v>1</v>
      </c>
    </row>
    <row r="5" spans="2:40" x14ac:dyDescent="0.25">
      <c r="B5" s="4" t="s">
        <v>58</v>
      </c>
      <c r="C5" s="71" t="s">
        <v>59</v>
      </c>
      <c r="D5" s="73" t="s">
        <v>405</v>
      </c>
      <c r="E5" s="72" t="s">
        <v>504</v>
      </c>
      <c r="F5" s="72" t="s">
        <v>505</v>
      </c>
      <c r="G5" s="73" t="s">
        <v>506</v>
      </c>
      <c r="H5" s="75" t="s">
        <v>490</v>
      </c>
      <c r="J5" s="68" t="s">
        <v>295</v>
      </c>
      <c r="K5" s="71" t="s">
        <v>59</v>
      </c>
      <c r="L5" s="72" t="s">
        <v>493</v>
      </c>
      <c r="M5" s="72" t="s">
        <v>492</v>
      </c>
      <c r="N5" s="71" t="s">
        <v>408</v>
      </c>
      <c r="O5" s="72" t="s">
        <v>409</v>
      </c>
      <c r="P5" s="72" t="s">
        <v>410</v>
      </c>
      <c r="Q5" s="72" t="s">
        <v>282</v>
      </c>
      <c r="R5" s="73" t="s">
        <v>485</v>
      </c>
      <c r="S5" s="72" t="s">
        <v>504</v>
      </c>
      <c r="T5" s="72" t="s">
        <v>505</v>
      </c>
      <c r="U5" s="73" t="s">
        <v>506</v>
      </c>
      <c r="V5" s="75" t="s">
        <v>490</v>
      </c>
      <c r="X5" s="68" t="s">
        <v>295</v>
      </c>
      <c r="Y5" s="71" t="s">
        <v>59</v>
      </c>
      <c r="Z5" s="72" t="s">
        <v>493</v>
      </c>
      <c r="AA5" s="72" t="s">
        <v>121</v>
      </c>
      <c r="AB5" s="72" t="s">
        <v>120</v>
      </c>
      <c r="AC5" s="71" t="s">
        <v>408</v>
      </c>
      <c r="AD5" s="72" t="s">
        <v>409</v>
      </c>
      <c r="AE5" s="72" t="s">
        <v>491</v>
      </c>
      <c r="AF5" s="73" t="s">
        <v>485</v>
      </c>
      <c r="AG5" s="72" t="s">
        <v>504</v>
      </c>
      <c r="AH5" s="72" t="s">
        <v>505</v>
      </c>
      <c r="AI5" s="73" t="s">
        <v>506</v>
      </c>
      <c r="AJ5" s="75" t="s">
        <v>490</v>
      </c>
      <c r="AK5" s="4"/>
      <c r="AL5" s="68" t="s">
        <v>295</v>
      </c>
      <c r="AM5" s="70" t="s">
        <v>59</v>
      </c>
      <c r="AN5" s="75" t="s">
        <v>490</v>
      </c>
    </row>
    <row r="6" spans="2:40" x14ac:dyDescent="0.25">
      <c r="B6" t="s">
        <v>306</v>
      </c>
      <c r="C6" s="37">
        <f t="shared" ref="C6:C11" si="0">AVERAGE(Y6,K6)</f>
        <v>100</v>
      </c>
      <c r="D6" s="64">
        <f t="shared" ref="D6:D11" si="1">L6</f>
        <v>17.316948400000001</v>
      </c>
      <c r="E6" s="38">
        <f>AVERAGE(S6,AG6)</f>
        <v>2.4239999999999999</v>
      </c>
      <c r="F6" s="91">
        <f t="shared" ref="F6:G6" si="2">AVERAGE(T6,AH6)</f>
        <v>0.27999999999999997</v>
      </c>
      <c r="G6" s="92">
        <f t="shared" si="2"/>
        <v>2.4250000000000003</v>
      </c>
      <c r="J6" s="68"/>
      <c r="K6" s="37">
        <v>100</v>
      </c>
      <c r="L6" s="77">
        <f t="shared" ref="L6:L11" si="3">( 5.7*N6+9.4*O6+4.1*(P6+Q6) ) * 0.004184</f>
        <v>17.316948400000001</v>
      </c>
      <c r="M6" s="38">
        <f>AVERAGE('ruminants, roughage'!D21:D22)</f>
        <v>11.3</v>
      </c>
      <c r="N6" s="65">
        <f>AVERAGE('ruminants, roughage'!I21:I22)</f>
        <v>151.5</v>
      </c>
      <c r="O6" s="44">
        <v>20</v>
      </c>
      <c r="P6" s="39"/>
      <c r="Q6" s="41">
        <f t="shared" ref="Q6:Q11" si="4">1000-SUM(N6:P6,R6)</f>
        <v>753</v>
      </c>
      <c r="R6" s="42">
        <f>AVERAGE('ruminants, roughage'!K21:K22)</f>
        <v>75.5</v>
      </c>
      <c r="S6" s="38">
        <f>N6*S$3/1000*100</f>
        <v>2.4239999999999999</v>
      </c>
      <c r="T6" s="91">
        <f>AVERAGE('ruminants, roughage'!X21:X22)/1000*100</f>
        <v>0.27999999999999997</v>
      </c>
      <c r="U6" s="92">
        <f>AVERAGE('ruminants, roughage'!Z21:Z22)/1000*100</f>
        <v>2.4250000000000003</v>
      </c>
      <c r="X6" s="68"/>
      <c r="Y6" s="37"/>
      <c r="Z6" s="54"/>
      <c r="AA6" s="54"/>
      <c r="AB6" s="54"/>
      <c r="AC6" s="37"/>
      <c r="AD6" s="54"/>
      <c r="AE6" s="54"/>
      <c r="AF6" s="55"/>
      <c r="AG6" s="39"/>
      <c r="AH6" s="39"/>
      <c r="AI6" s="42"/>
      <c r="AL6" s="68"/>
      <c r="AM6" s="59"/>
    </row>
    <row r="7" spans="2:40" x14ac:dyDescent="0.25">
      <c r="B7" t="s">
        <v>307</v>
      </c>
      <c r="C7" s="37">
        <f t="shared" si="0"/>
        <v>100</v>
      </c>
      <c r="D7" s="64">
        <f t="shared" si="1"/>
        <v>17.150216</v>
      </c>
      <c r="E7" s="38">
        <f t="shared" ref="E7:E14" si="5">AVERAGE(S7,AG7)</f>
        <v>2.1280000000000001</v>
      </c>
      <c r="F7" s="91">
        <f t="shared" ref="F7:F14" si="6">AVERAGE(T7,AH7)</f>
        <v>0.27</v>
      </c>
      <c r="G7" s="92">
        <f t="shared" ref="G7:G14" si="7">AVERAGE(U7,AI7)</f>
        <v>2.34</v>
      </c>
      <c r="J7" s="68"/>
      <c r="K7" s="37">
        <v>100</v>
      </c>
      <c r="L7" s="77">
        <f t="shared" si="3"/>
        <v>17.150216</v>
      </c>
      <c r="M7" s="38">
        <f>AVERAGE('ruminants, roughage'!D25:D25)</f>
        <v>10.1</v>
      </c>
      <c r="N7" s="65">
        <f>AVERAGE('ruminants, roughage'!I25:I25)</f>
        <v>133</v>
      </c>
      <c r="O7" s="44">
        <v>20</v>
      </c>
      <c r="P7" s="39"/>
      <c r="Q7" s="41">
        <f t="shared" si="4"/>
        <v>769</v>
      </c>
      <c r="R7" s="42">
        <f>AVERAGE('ruminants, roughage'!K25:K25)</f>
        <v>78</v>
      </c>
      <c r="S7" s="38">
        <f t="shared" ref="S7:S42" si="8">N7*S$3/1000*100</f>
        <v>2.1280000000000001</v>
      </c>
      <c r="T7" s="91">
        <f>AVERAGE('ruminants, roughage'!X25:X25)/1000*100</f>
        <v>0.27</v>
      </c>
      <c r="U7" s="92">
        <f>AVERAGE('ruminants, roughage'!Z25:Z25)/1000*100</f>
        <v>2.34</v>
      </c>
      <c r="X7" s="68"/>
      <c r="Y7" s="37"/>
      <c r="Z7" s="54"/>
      <c r="AA7" s="54"/>
      <c r="AB7" s="54"/>
      <c r="AC7" s="37"/>
      <c r="AD7" s="54"/>
      <c r="AE7" s="54"/>
      <c r="AF7" s="55"/>
      <c r="AG7" s="39"/>
      <c r="AH7" s="39"/>
      <c r="AI7" s="42"/>
      <c r="AL7" s="68"/>
      <c r="AM7" s="59"/>
    </row>
    <row r="8" spans="2:40" x14ac:dyDescent="0.25">
      <c r="B8" t="s">
        <v>308</v>
      </c>
      <c r="C8" s="37">
        <f t="shared" si="0"/>
        <v>100</v>
      </c>
      <c r="D8" s="64">
        <f t="shared" si="1"/>
        <v>16.789764399999999</v>
      </c>
      <c r="E8" s="38">
        <f t="shared" si="5"/>
        <v>1.5439999999999998</v>
      </c>
      <c r="F8" s="91">
        <f t="shared" si="6"/>
        <v>0.21000000000000002</v>
      </c>
      <c r="G8" s="92">
        <f t="shared" si="7"/>
        <v>2.35</v>
      </c>
      <c r="J8" s="68"/>
      <c r="K8" s="37">
        <v>100</v>
      </c>
      <c r="L8" s="77">
        <f t="shared" si="3"/>
        <v>16.789764399999999</v>
      </c>
      <c r="M8" s="43">
        <f>(8.3+8.7)/2</f>
        <v>8.5</v>
      </c>
      <c r="N8" s="86">
        <f>(91+102)/2</f>
        <v>96.5</v>
      </c>
      <c r="O8" s="44">
        <f>(22+23)/2</f>
        <v>22.5</v>
      </c>
      <c r="P8" s="40"/>
      <c r="Q8" s="41">
        <f t="shared" si="4"/>
        <v>793</v>
      </c>
      <c r="R8" s="45">
        <f>(83+93)/2</f>
        <v>88</v>
      </c>
      <c r="S8" s="38">
        <f t="shared" si="8"/>
        <v>1.5439999999999998</v>
      </c>
      <c r="T8" s="91">
        <f>(2+2.2)/2/1000*100</f>
        <v>0.21000000000000002</v>
      </c>
      <c r="U8" s="92">
        <f>(20.3+26.7)/2/1000*100</f>
        <v>2.35</v>
      </c>
      <c r="V8" t="s">
        <v>486</v>
      </c>
      <c r="W8" t="s">
        <v>488</v>
      </c>
      <c r="X8" s="68"/>
      <c r="Y8" s="37"/>
      <c r="Z8" s="54"/>
      <c r="AA8" s="54"/>
      <c r="AB8" s="54"/>
      <c r="AC8" s="37"/>
      <c r="AD8" s="54"/>
      <c r="AE8" s="54"/>
      <c r="AF8" s="55"/>
      <c r="AG8" s="40"/>
      <c r="AH8" s="40"/>
      <c r="AI8" s="45"/>
      <c r="AL8" s="68"/>
      <c r="AM8" s="59"/>
    </row>
    <row r="9" spans="2:40" x14ac:dyDescent="0.25">
      <c r="B9" t="s">
        <v>2</v>
      </c>
      <c r="C9" s="37">
        <f t="shared" si="0"/>
        <v>100</v>
      </c>
      <c r="D9" s="64">
        <f t="shared" si="1"/>
        <v>17.160257599999998</v>
      </c>
      <c r="E9" s="38">
        <f t="shared" si="5"/>
        <v>1.496</v>
      </c>
      <c r="F9" s="91">
        <f t="shared" si="6"/>
        <v>0.21000000000000002</v>
      </c>
      <c r="G9" s="92">
        <f t="shared" si="7"/>
        <v>1.81</v>
      </c>
      <c r="J9" s="68"/>
      <c r="K9" s="37">
        <v>100</v>
      </c>
      <c r="L9" s="77">
        <f t="shared" si="3"/>
        <v>17.160257599999998</v>
      </c>
      <c r="M9" s="38">
        <f>AVERAGE('ruminants, roughage'!D33:D33)</f>
        <v>9.1</v>
      </c>
      <c r="N9" s="65">
        <f>AVERAGE('ruminants, roughage'!I33:I33)</f>
        <v>93.5</v>
      </c>
      <c r="O9" s="44">
        <v>20</v>
      </c>
      <c r="P9" s="39"/>
      <c r="Q9" s="41">
        <f t="shared" si="4"/>
        <v>824.5</v>
      </c>
      <c r="R9" s="42">
        <f>AVERAGE('ruminants, roughage'!K33:K33)</f>
        <v>62</v>
      </c>
      <c r="S9" s="38">
        <f t="shared" si="8"/>
        <v>1.496</v>
      </c>
      <c r="T9" s="91">
        <f>AVERAGE('ruminants, roughage'!X33:X33)/1000*100</f>
        <v>0.21000000000000002</v>
      </c>
      <c r="U9" s="92">
        <f>AVERAGE('ruminants, roughage'!Z33:Z33)/1000*100</f>
        <v>1.81</v>
      </c>
      <c r="X9" s="68"/>
      <c r="Y9" s="37"/>
      <c r="Z9" s="54"/>
      <c r="AA9" s="54"/>
      <c r="AB9" s="54"/>
      <c r="AC9" s="37"/>
      <c r="AD9" s="54"/>
      <c r="AE9" s="54"/>
      <c r="AF9" s="55"/>
      <c r="AG9" s="39"/>
      <c r="AH9" s="39"/>
      <c r="AI9" s="42"/>
      <c r="AL9" s="68"/>
      <c r="AM9" s="59"/>
    </row>
    <row r="10" spans="2:40" x14ac:dyDescent="0.25">
      <c r="B10" t="s">
        <v>12</v>
      </c>
      <c r="C10" s="37">
        <f t="shared" si="0"/>
        <v>100</v>
      </c>
      <c r="D10" s="64">
        <f t="shared" si="1"/>
        <v>17.6573168</v>
      </c>
      <c r="E10" s="38">
        <f t="shared" si="5"/>
        <v>1.0880000000000001</v>
      </c>
      <c r="F10" s="91">
        <f t="shared" si="6"/>
        <v>0.16999999999999998</v>
      </c>
      <c r="G10" s="92">
        <f t="shared" si="7"/>
        <v>1.03</v>
      </c>
      <c r="J10" s="68"/>
      <c r="K10" s="37">
        <v>100</v>
      </c>
      <c r="L10" s="77">
        <f t="shared" si="3"/>
        <v>17.6573168</v>
      </c>
      <c r="M10" s="38">
        <v>11</v>
      </c>
      <c r="N10" s="65">
        <v>68</v>
      </c>
      <c r="O10" s="39">
        <v>30</v>
      </c>
      <c r="P10" s="39">
        <v>198</v>
      </c>
      <c r="Q10" s="41">
        <f t="shared" si="4"/>
        <v>668</v>
      </c>
      <c r="R10" s="42">
        <v>36</v>
      </c>
      <c r="S10" s="38">
        <f t="shared" si="8"/>
        <v>1.0880000000000001</v>
      </c>
      <c r="T10" s="91">
        <f>1.7/1000*100</f>
        <v>0.16999999999999998</v>
      </c>
      <c r="U10" s="92">
        <f>10.3/1000*100</f>
        <v>1.03</v>
      </c>
      <c r="V10" s="11" t="s">
        <v>406</v>
      </c>
      <c r="W10" s="11" t="s">
        <v>488</v>
      </c>
      <c r="X10" s="68"/>
      <c r="Y10" s="37"/>
      <c r="Z10" s="54"/>
      <c r="AA10" s="54"/>
      <c r="AB10" s="54"/>
      <c r="AC10" s="37"/>
      <c r="AD10" s="54"/>
      <c r="AE10" s="54"/>
      <c r="AF10" s="55"/>
      <c r="AG10" s="39"/>
      <c r="AH10" s="39"/>
      <c r="AI10" s="42"/>
      <c r="AL10" s="68"/>
      <c r="AM10" s="59"/>
    </row>
    <row r="11" spans="2:40" x14ac:dyDescent="0.25">
      <c r="B11" t="s">
        <v>33</v>
      </c>
      <c r="C11" s="37">
        <f t="shared" si="0"/>
        <v>100</v>
      </c>
      <c r="D11" s="64">
        <f t="shared" si="1"/>
        <v>17.411437066666668</v>
      </c>
      <c r="E11" s="38">
        <f t="shared" si="5"/>
        <v>2.2466666666666666</v>
      </c>
      <c r="F11" s="91">
        <f t="shared" si="6"/>
        <v>0.27</v>
      </c>
      <c r="G11" s="92">
        <f t="shared" si="7"/>
        <v>2.34</v>
      </c>
      <c r="J11" s="68"/>
      <c r="K11" s="37">
        <v>100</v>
      </c>
      <c r="L11" s="77">
        <f t="shared" si="3"/>
        <v>17.411437066666668</v>
      </c>
      <c r="M11" s="38">
        <f>AVERAGE('ruminants, roughage'!D3:D14)</f>
        <v>9.9416666666666664</v>
      </c>
      <c r="N11" s="65">
        <f>AVERAGE('ruminants, roughage'!I3:I14)</f>
        <v>140.41666666666666</v>
      </c>
      <c r="O11" s="44">
        <v>20</v>
      </c>
      <c r="P11" s="39"/>
      <c r="Q11" s="41">
        <f t="shared" si="4"/>
        <v>773.91666666666674</v>
      </c>
      <c r="R11" s="42">
        <f>AVERAGE('ruminants, roughage'!K3:K14)</f>
        <v>65.666666666666657</v>
      </c>
      <c r="S11" s="38">
        <f t="shared" si="8"/>
        <v>2.2466666666666666</v>
      </c>
      <c r="T11" s="96">
        <f>T7</f>
        <v>0.27</v>
      </c>
      <c r="U11" s="97">
        <f>U7</f>
        <v>2.34</v>
      </c>
      <c r="X11" s="68"/>
      <c r="Y11" s="37"/>
      <c r="Z11" s="54"/>
      <c r="AA11" s="54"/>
      <c r="AB11" s="54"/>
      <c r="AC11" s="37"/>
      <c r="AD11" s="54"/>
      <c r="AE11" s="54"/>
      <c r="AF11" s="55"/>
      <c r="AG11" s="39"/>
      <c r="AH11" s="39"/>
      <c r="AI11" s="42"/>
      <c r="AL11" s="68"/>
      <c r="AM11" s="59"/>
    </row>
    <row r="12" spans="2:40" x14ac:dyDescent="0.25">
      <c r="B12" s="4"/>
      <c r="C12" s="46"/>
      <c r="D12" s="55"/>
      <c r="E12" s="48"/>
      <c r="F12" s="48"/>
      <c r="G12" s="49"/>
      <c r="J12" s="68"/>
      <c r="K12" s="46"/>
      <c r="L12" s="56"/>
      <c r="M12" s="47"/>
      <c r="N12" s="87"/>
      <c r="O12" s="48"/>
      <c r="P12" s="48"/>
      <c r="Q12" s="48"/>
      <c r="R12" s="49"/>
      <c r="S12" s="38"/>
      <c r="T12" s="48"/>
      <c r="U12" s="49"/>
      <c r="X12" s="68"/>
      <c r="Y12" s="46"/>
      <c r="Z12" s="56"/>
      <c r="AA12" s="56"/>
      <c r="AB12" s="56"/>
      <c r="AC12" s="46"/>
      <c r="AD12" s="56"/>
      <c r="AE12" s="56"/>
      <c r="AF12" s="57"/>
      <c r="AG12" s="48"/>
      <c r="AH12" s="48"/>
      <c r="AI12" s="49"/>
      <c r="AJ12" s="4"/>
      <c r="AK12" s="4"/>
      <c r="AL12" s="68"/>
      <c r="AM12" s="59"/>
    </row>
    <row r="13" spans="2:40" x14ac:dyDescent="0.25">
      <c r="B13" t="s">
        <v>17</v>
      </c>
      <c r="C13" s="65">
        <f>100-14</f>
        <v>86</v>
      </c>
      <c r="D13" s="64">
        <f t="shared" ref="D13:D26" si="9">L13</f>
        <v>18.210023200000002</v>
      </c>
      <c r="E13" s="38">
        <f t="shared" si="5"/>
        <v>1.9359999999999999</v>
      </c>
      <c r="F13" s="91">
        <f t="shared" si="6"/>
        <v>0.34499999999999997</v>
      </c>
      <c r="G13" s="92">
        <f t="shared" si="7"/>
        <v>0.52500000000000002</v>
      </c>
      <c r="H13" s="99" t="s">
        <v>516</v>
      </c>
      <c r="I13" s="98"/>
      <c r="J13" s="68">
        <f>MATCH($B13,ruminants!$A$3:$A$120,0)</f>
        <v>112</v>
      </c>
      <c r="K13" s="37">
        <f>INDEX(ruminants!$D$3:$AH$120,$J13,K$4)</f>
        <v>87</v>
      </c>
      <c r="L13" s="77">
        <f>( 5.7*N13+9.4*O13+4.1*(P13+Q13) ) * 0.004184</f>
        <v>18.210023200000002</v>
      </c>
      <c r="M13" s="38">
        <f>INDEX(ruminants!$D$3:$AH$120,$J13,M$4)</f>
        <v>14.1</v>
      </c>
      <c r="N13" s="65">
        <f>INDEX(ruminants!$D$3:$AH$120,$J13,N$4)</f>
        <v>121</v>
      </c>
      <c r="O13" s="39">
        <f>INDEX(ruminants!$D$3:$AH$120,$J13,O$4)</f>
        <v>25</v>
      </c>
      <c r="P13" s="39">
        <f>INDEX(ruminants!$D$3:$AH$120,$J13,P$4)</f>
        <v>30</v>
      </c>
      <c r="Q13" s="39">
        <f>INDEX(ruminants!$D$3:$AH$120,$J13,Q$4)</f>
        <v>806</v>
      </c>
      <c r="R13" s="42">
        <f>INDEX(ruminants!$D$3:$AH$120,$J13,R$4)</f>
        <v>18</v>
      </c>
      <c r="S13" s="38">
        <f t="shared" si="8"/>
        <v>1.9359999999999999</v>
      </c>
      <c r="T13" s="91">
        <f>INDEX(ruminants!$D$3:$AH$120,$J13,T$4)/1000*100</f>
        <v>0.37</v>
      </c>
      <c r="U13" s="92">
        <f>INDEX(ruminants!$D$3:$AH$120,$J13,U$4)/1000*100</f>
        <v>0.47000000000000003</v>
      </c>
      <c r="X13" s="68">
        <f>MATCH($B13,pigs!$A$3:$A$60,0)</f>
        <v>53</v>
      </c>
      <c r="Y13" s="37">
        <f>INDEX(pigs!$D$3:$AO$60,$X13,Y$4)</f>
        <v>87</v>
      </c>
      <c r="Z13" s="77">
        <f>( 5.7*AC13+9.4*AD13+4.1*(AE13) ) * 0.004184</f>
        <v>18.032621599999999</v>
      </c>
      <c r="AA13" s="54">
        <f>INDEX(pigs!$D$3:$AO$60,$X13,AA$4)</f>
        <v>12.1</v>
      </c>
      <c r="AB13" s="54">
        <f>INDEX(pigs!$D$3:$AO$60,$X13,AB$4)</f>
        <v>12.3</v>
      </c>
      <c r="AC13" s="37">
        <f>INDEX(pigs!$D$3:$AO$60,$X13,AC$4)</f>
        <v>121</v>
      </c>
      <c r="AD13" s="54">
        <f>INDEX(pigs!$D$3:$AO$60,$X13,AD$4)</f>
        <v>17</v>
      </c>
      <c r="AE13" s="41">
        <f>1000-SUM(AC13:AD13,AF13)</f>
        <v>844</v>
      </c>
      <c r="AF13" s="55">
        <f>INDEX(pigs!$D$3:$AO$60,$X13,AF$4)</f>
        <v>18</v>
      </c>
      <c r="AG13" s="38">
        <f>AC13*AG$3/1000*100</f>
        <v>1.9359999999999999</v>
      </c>
      <c r="AH13" s="91">
        <f>INDEX(pigs!$D$3:$AO$60,$X13,AH$4)/1000*100</f>
        <v>0.32</v>
      </c>
      <c r="AI13" s="92">
        <f>INDEX(pigs!$D$3:$AO$60,$X13,AI$4)/1000*100</f>
        <v>0.57999999999999996</v>
      </c>
      <c r="AL13" s="68">
        <f>MATCH($B13,poultry!$A$3:$A$41,0)</f>
        <v>35</v>
      </c>
      <c r="AM13" s="59">
        <f>INDEX(poultry!$D$3:$U$41,$AL13,AM$4)</f>
        <v>87</v>
      </c>
    </row>
    <row r="14" spans="2:40" x14ac:dyDescent="0.25">
      <c r="B14" t="s">
        <v>37</v>
      </c>
      <c r="C14" s="65">
        <f t="shared" ref="C14:C18" si="10">100-14</f>
        <v>86</v>
      </c>
      <c r="D14" s="64">
        <f t="shared" si="9"/>
        <v>18.089524000000001</v>
      </c>
      <c r="E14" s="38">
        <f t="shared" si="5"/>
        <v>1.9039999999999999</v>
      </c>
      <c r="F14" s="91">
        <f t="shared" si="6"/>
        <v>0.375</v>
      </c>
      <c r="G14" s="92">
        <f t="shared" si="7"/>
        <v>0.58000000000000007</v>
      </c>
      <c r="H14" s="99" t="s">
        <v>516</v>
      </c>
      <c r="I14" s="4"/>
      <c r="J14" s="68">
        <f>MATCH($B14,ruminants!$A$3:$A$120,0)</f>
        <v>42</v>
      </c>
      <c r="K14" s="37">
        <f>INDEX(ruminants!$D$3:$AH$120,$J14,K$4)</f>
        <v>87</v>
      </c>
      <c r="L14" s="77">
        <f t="shared" ref="L14:L42" si="11">( 5.7*N14+9.4*O14+4.1*(P14+Q14) ) * 0.004184</f>
        <v>18.089524000000001</v>
      </c>
      <c r="M14" s="38">
        <f>INDEX(ruminants!$D$3:$AH$120,$J14,M$4)</f>
        <v>13.2</v>
      </c>
      <c r="N14" s="65">
        <f>INDEX(ruminants!$D$3:$AH$120,$J14,N$4)</f>
        <v>122</v>
      </c>
      <c r="O14" s="39">
        <f>INDEX(ruminants!$D$3:$AH$120,$J14,O$4)</f>
        <v>27</v>
      </c>
      <c r="P14" s="39">
        <f>INDEX(ruminants!$D$3:$AH$120,$J14,P$4)</f>
        <v>62</v>
      </c>
      <c r="Q14" s="39">
        <f>INDEX(ruminants!$D$3:$AH$120,$J14,Q$4)</f>
        <v>761</v>
      </c>
      <c r="R14" s="42">
        <f>INDEX(ruminants!$D$3:$AH$120,$J14,R$4)</f>
        <v>28</v>
      </c>
      <c r="S14" s="38">
        <f t="shared" si="8"/>
        <v>1.952</v>
      </c>
      <c r="T14" s="91">
        <f>INDEX(ruminants!$D$3:$AH$120,$J14,T$4)/1000*100</f>
        <v>0.4</v>
      </c>
      <c r="U14" s="92">
        <f>INDEX(ruminants!$D$3:$AH$120,$J14,U$4)/1000*100</f>
        <v>0.59000000000000008</v>
      </c>
      <c r="X14" s="68">
        <f>MATCH($B14,pigs!$A$3:$A$60,0)</f>
        <v>13</v>
      </c>
      <c r="Y14" s="37">
        <f>INDEX(pigs!$D$3:$AO$60,$X14,Y$4)</f>
        <v>87</v>
      </c>
      <c r="Z14" s="77">
        <f t="shared" ref="Z14:Z16" si="12">( 5.7*AC14+9.4*AD14+4.1*(AE14) ) * 0.004184</f>
        <v>17.950615200000001</v>
      </c>
      <c r="AA14" s="54">
        <f>INDEX(pigs!$D$3:$AO$60,$X14,AA$4)</f>
        <v>11</v>
      </c>
      <c r="AB14" s="54">
        <f>INDEX(pigs!$D$3:$AO$60,$X14,AB$4)</f>
        <v>11.2</v>
      </c>
      <c r="AC14" s="37">
        <f>INDEX(pigs!$D$3:$AO$60,$X14,AC$4)</f>
        <v>116</v>
      </c>
      <c r="AD14" s="54">
        <f>INDEX(pigs!$D$3:$AO$60,$X14,AD$4)</f>
        <v>21</v>
      </c>
      <c r="AE14" s="41">
        <f t="shared" ref="AE14:AE16" si="13">1000-SUM(AC14:AD14,AF14)</f>
        <v>837</v>
      </c>
      <c r="AF14" s="55">
        <f>INDEX(pigs!$D$3:$AO$60,$X14,AF$4)</f>
        <v>26</v>
      </c>
      <c r="AG14" s="38">
        <f t="shared" ref="AG14:AG43" si="14">AC14*AG$3/1000*100</f>
        <v>1.8560000000000001</v>
      </c>
      <c r="AH14" s="91">
        <f>INDEX(pigs!$D$3:$AO$60,$X14,AH$4)/1000*100</f>
        <v>0.35000000000000003</v>
      </c>
      <c r="AI14" s="92">
        <f>INDEX(pigs!$D$3:$AO$60,$X14,AI$4)/1000*100</f>
        <v>0.57000000000000006</v>
      </c>
      <c r="AL14" s="68">
        <f>MATCH($B14,poultry!$A$3:$A$41,0)</f>
        <v>16</v>
      </c>
      <c r="AM14" s="59">
        <f>INDEX(poultry!$D$3:$U$41,$AL14,AM$4)</f>
        <v>87</v>
      </c>
    </row>
    <row r="15" spans="2:40" x14ac:dyDescent="0.25">
      <c r="B15" t="s">
        <v>38</v>
      </c>
      <c r="C15" s="65">
        <f t="shared" si="10"/>
        <v>86</v>
      </c>
      <c r="D15" s="64">
        <f t="shared" si="9"/>
        <v>18.6602216</v>
      </c>
      <c r="E15" s="38">
        <f t="shared" ref="E15:E16" si="15">AVERAGE(S15,AG15)</f>
        <v>1.7680000000000002</v>
      </c>
      <c r="F15" s="91">
        <f t="shared" ref="F15:F16" si="16">AVERAGE(T15,AH15)</f>
        <v>0.36499999999999999</v>
      </c>
      <c r="G15" s="92">
        <f t="shared" ref="G15:G16" si="17">AVERAGE(U15,AI15)</f>
        <v>0.54</v>
      </c>
      <c r="H15" s="99" t="s">
        <v>516</v>
      </c>
      <c r="I15" s="4"/>
      <c r="J15" s="68">
        <f>MATCH($B15,ruminants!$A$3:$A$120,0)</f>
        <v>28</v>
      </c>
      <c r="K15" s="37">
        <f>INDEX(ruminants!$D$3:$AH$120,$J15,K$4)</f>
        <v>85</v>
      </c>
      <c r="L15" s="77">
        <f t="shared" si="11"/>
        <v>18.6602216</v>
      </c>
      <c r="M15" s="38">
        <f>INDEX(ruminants!$D$3:$AH$120,$J15,M$4)</f>
        <v>11.7</v>
      </c>
      <c r="N15" s="65">
        <f>INDEX(ruminants!$D$3:$AH$120,$J15,N$4)</f>
        <v>110</v>
      </c>
      <c r="O15" s="39">
        <f>INDEX(ruminants!$D$3:$AH$120,$J15,O$4)</f>
        <v>61</v>
      </c>
      <c r="P15" s="39">
        <f>INDEX(ruminants!$D$3:$AH$120,$J15,P$4)</f>
        <v>141</v>
      </c>
      <c r="Q15" s="39">
        <f>INDEX(ruminants!$D$3:$AH$120,$J15,Q$4)</f>
        <v>654</v>
      </c>
      <c r="R15" s="42">
        <f>INDEX(ruminants!$D$3:$AH$120,$J15,R$4)</f>
        <v>34</v>
      </c>
      <c r="S15" s="38">
        <f t="shared" si="8"/>
        <v>1.76</v>
      </c>
      <c r="T15" s="91">
        <f>INDEX(ruminants!$D$3:$AH$120,$J15,T$4)/1000*100</f>
        <v>0.37</v>
      </c>
      <c r="U15" s="92">
        <f>INDEX(ruminants!$D$3:$AH$120,$J15,U$4)/1000*100</f>
        <v>0.53</v>
      </c>
      <c r="X15" s="68">
        <f>MATCH($B15,pigs!$A$3:$A$60,0)</f>
        <v>11</v>
      </c>
      <c r="Y15" s="37">
        <f>INDEX(pigs!$D$3:$AO$60,$X15,Y$4)</f>
        <v>87</v>
      </c>
      <c r="Z15" s="77">
        <f t="shared" si="12"/>
        <v>18.580307199999996</v>
      </c>
      <c r="AA15" s="54">
        <f>INDEX(pigs!$D$3:$AO$60,$X15,AA$4)</f>
        <v>9</v>
      </c>
      <c r="AB15" s="54">
        <f>INDEX(pigs!$D$3:$AO$60,$X15,AB$4)</f>
        <v>9.4</v>
      </c>
      <c r="AC15" s="37">
        <f>INDEX(pigs!$D$3:$AO$60,$X15,AC$4)</f>
        <v>111</v>
      </c>
      <c r="AD15" s="54">
        <f>INDEX(pigs!$D$3:$AO$60,$X15,AD$4)</f>
        <v>54</v>
      </c>
      <c r="AE15" s="41">
        <f t="shared" si="13"/>
        <v>805</v>
      </c>
      <c r="AF15" s="55">
        <f>INDEX(pigs!$D$3:$AO$60,$X15,AF$4)</f>
        <v>30</v>
      </c>
      <c r="AG15" s="38">
        <f t="shared" si="14"/>
        <v>1.7760000000000002</v>
      </c>
      <c r="AH15" s="91">
        <f>INDEX(pigs!$D$3:$AO$60,$X15,AH$4)/1000*100</f>
        <v>0.36</v>
      </c>
      <c r="AI15" s="92">
        <f>INDEX(pigs!$D$3:$AO$60,$X15,AI$4)/1000*100</f>
        <v>0.54999999999999993</v>
      </c>
      <c r="AL15" s="68">
        <f>MATCH($B15,poultry!$A$3:$A$41,0)</f>
        <v>10</v>
      </c>
      <c r="AM15" s="59">
        <f>INDEX(poultry!$D$3:$U$41,$AL15,AM$4)</f>
        <v>87</v>
      </c>
    </row>
    <row r="16" spans="2:40" x14ac:dyDescent="0.25">
      <c r="B16" t="s">
        <v>39</v>
      </c>
      <c r="C16" s="65">
        <f t="shared" si="10"/>
        <v>86</v>
      </c>
      <c r="D16" s="64">
        <f>L16</f>
        <v>18.2284328</v>
      </c>
      <c r="E16" s="38">
        <f t="shared" si="15"/>
        <v>1.8639999999999999</v>
      </c>
      <c r="F16" s="91">
        <f t="shared" si="16"/>
        <v>0.38</v>
      </c>
      <c r="G16" s="92">
        <f t="shared" si="17"/>
        <v>0.58000000000000007</v>
      </c>
      <c r="H16" s="99" t="s">
        <v>516</v>
      </c>
      <c r="I16" s="4"/>
      <c r="J16" s="68">
        <f>MATCH($B16,ruminants!$A$3:$A$120,0)</f>
        <v>78</v>
      </c>
      <c r="K16" s="37">
        <f>INDEX(ruminants!$D$3:$AH$120,$J16,K$4)</f>
        <v>87</v>
      </c>
      <c r="L16" s="77">
        <f t="shared" si="11"/>
        <v>18.2284328</v>
      </c>
      <c r="M16" s="38">
        <f>INDEX(ruminants!$D$3:$AH$120,$J16,M$4)</f>
        <v>14</v>
      </c>
      <c r="N16" s="65">
        <f>INDEX(ruminants!$D$3:$AH$120,$J16,N$4)</f>
        <v>123</v>
      </c>
      <c r="O16" s="39">
        <f>INDEX(ruminants!$D$3:$AH$120,$J16,O$4)</f>
        <v>26</v>
      </c>
      <c r="P16" s="39">
        <f>INDEX(ruminants!$D$3:$AH$120,$J16,P$4)</f>
        <v>33</v>
      </c>
      <c r="Q16" s="39">
        <f>INDEX(ruminants!$D$3:$AH$120,$J16,Q$4)</f>
        <v>799</v>
      </c>
      <c r="R16" s="42">
        <f>INDEX(ruminants!$D$3:$AH$120,$J16,R$4)</f>
        <v>19</v>
      </c>
      <c r="S16" s="38">
        <f t="shared" si="8"/>
        <v>1.968</v>
      </c>
      <c r="T16" s="91">
        <f>INDEX(ruminants!$D$3:$AH$120,$J16,T$4)/1000*100</f>
        <v>0.4</v>
      </c>
      <c r="U16" s="92">
        <f>INDEX(ruminants!$D$3:$AH$120,$J16,U$4)/1000*100</f>
        <v>0.54</v>
      </c>
      <c r="X16" s="68">
        <f>MATCH($B16,pigs!$A$3:$A$60,0)</f>
        <v>39</v>
      </c>
      <c r="Y16" s="37">
        <f>INDEX(pigs!$D$3:$AO$60,$X16,Y$4)</f>
        <v>87</v>
      </c>
      <c r="Z16" s="77">
        <f t="shared" si="12"/>
        <v>17.846015199999997</v>
      </c>
      <c r="AA16" s="54">
        <f>INDEX(pigs!$D$3:$AO$60,$X16,AA$4)</f>
        <v>11.9</v>
      </c>
      <c r="AB16" s="54">
        <f>INDEX(pigs!$D$3:$AO$60,$X16,AB$4)</f>
        <v>12</v>
      </c>
      <c r="AC16" s="37">
        <f>INDEX(pigs!$D$3:$AO$60,$X16,AC$4)</f>
        <v>110</v>
      </c>
      <c r="AD16" s="54">
        <f>INDEX(pigs!$D$3:$AO$60,$X16,AD$4)</f>
        <v>15</v>
      </c>
      <c r="AE16" s="41">
        <f t="shared" si="13"/>
        <v>853</v>
      </c>
      <c r="AF16" s="55">
        <f>INDEX(pigs!$D$3:$AO$60,$X16,AF$4)</f>
        <v>22</v>
      </c>
      <c r="AG16" s="38">
        <f t="shared" si="14"/>
        <v>1.76</v>
      </c>
      <c r="AH16" s="91">
        <f>INDEX(pigs!$D$3:$AO$60,$X16,AH$4)/1000*100</f>
        <v>0.36</v>
      </c>
      <c r="AI16" s="92">
        <f>INDEX(pigs!$D$3:$AO$60,$X16,AI$4)/1000*100</f>
        <v>0.62</v>
      </c>
      <c r="AL16" s="68">
        <f>MATCH($B16,poultry!$A$3:$A$41,0)</f>
        <v>31</v>
      </c>
      <c r="AM16" s="59">
        <f>INDEX(poultry!$D$3:$U$41,$AL16,AM$4)</f>
        <v>89</v>
      </c>
    </row>
    <row r="17" spans="2:39" x14ac:dyDescent="0.25">
      <c r="B17" t="s">
        <v>313</v>
      </c>
      <c r="C17" s="65">
        <f t="shared" si="10"/>
        <v>86</v>
      </c>
      <c r="D17" s="64">
        <f t="shared" si="9"/>
        <v>17.924256</v>
      </c>
      <c r="E17" s="38">
        <f t="shared" ref="E17:E43" si="18">AVERAGE(S17,AG17)</f>
        <v>1.6</v>
      </c>
      <c r="F17" s="91">
        <f t="shared" ref="F17:F43" si="19">AVERAGE(T17,AH17)</f>
        <v>0.33999999999999997</v>
      </c>
      <c r="G17" s="92">
        <f t="shared" ref="G17:G43" si="20">AVERAGE(U17,AI17)</f>
        <v>0.54999999999999993</v>
      </c>
      <c r="H17" s="99" t="s">
        <v>516</v>
      </c>
      <c r="I17" s="4"/>
      <c r="J17" s="68">
        <f>MATCH($B17,ruminants!$A$3:$A$120,0)</f>
        <v>77</v>
      </c>
      <c r="K17" s="37">
        <f>INDEX(ruminants!$D$3:$AH$120,$J17,K$4)</f>
        <v>87</v>
      </c>
      <c r="L17" s="77">
        <f t="shared" si="11"/>
        <v>17.924256</v>
      </c>
      <c r="M17" s="38">
        <f>INDEX(ruminants!$D$3:$AH$120,$J17,M$4)</f>
        <v>13.9</v>
      </c>
      <c r="N17" s="65">
        <f>INDEX(ruminants!$D$3:$AH$120,$J17,N$4)</f>
        <v>100</v>
      </c>
      <c r="O17" s="39">
        <f>INDEX(ruminants!$D$3:$AH$120,$J17,O$4)</f>
        <v>20</v>
      </c>
      <c r="P17" s="39">
        <f>INDEX(ruminants!$D$3:$AH$120,$J17,P$4)</f>
        <v>25</v>
      </c>
      <c r="Q17" s="39">
        <f>INDEX(ruminants!$D$3:$AH$120,$J17,Q$4)</f>
        <v>835</v>
      </c>
      <c r="R17" s="42">
        <f>INDEX(ruminants!$D$3:$AH$120,$J17,R$4)</f>
        <v>20</v>
      </c>
      <c r="S17" s="38">
        <f t="shared" si="8"/>
        <v>1.6</v>
      </c>
      <c r="T17" s="91">
        <f>INDEX(ruminants!$D$3:$AH$120,$J17,T$4)/1000*100</f>
        <v>0.33999999999999997</v>
      </c>
      <c r="U17" s="92">
        <f>INDEX(ruminants!$D$3:$AH$120,$J17,U$4)/1000*100</f>
        <v>0.54999999999999993</v>
      </c>
      <c r="X17" s="68">
        <f>MATCH($B17,pigs!$A$3:$A$60,0)</f>
        <v>38</v>
      </c>
      <c r="Y17" s="37"/>
      <c r="Z17" s="54"/>
      <c r="AA17" s="54"/>
      <c r="AB17" s="54"/>
      <c r="AC17" s="37"/>
      <c r="AD17" s="54"/>
      <c r="AE17" s="54"/>
      <c r="AF17" s="55"/>
      <c r="AG17" s="38"/>
      <c r="AH17" s="91"/>
      <c r="AI17" s="92"/>
      <c r="AL17" s="68">
        <f>MATCH($B17,poultry!$A$3:$A$41,0)</f>
        <v>30</v>
      </c>
      <c r="AM17" s="59">
        <f>INDEX(poultry!$D$3:$U$41,$AL17,AM$4)</f>
        <v>87</v>
      </c>
    </row>
    <row r="18" spans="2:39" x14ac:dyDescent="0.25">
      <c r="B18" t="s">
        <v>40</v>
      </c>
      <c r="C18" s="65">
        <f t="shared" si="10"/>
        <v>86</v>
      </c>
      <c r="D18" s="64">
        <f t="shared" si="9"/>
        <v>18.3899352</v>
      </c>
      <c r="E18" s="38">
        <f t="shared" si="18"/>
        <v>1.6400000000000001</v>
      </c>
      <c r="F18" s="91">
        <f t="shared" si="19"/>
        <v>0.33999999999999997</v>
      </c>
      <c r="G18" s="92">
        <f t="shared" si="20"/>
        <v>0.46500000000000002</v>
      </c>
      <c r="H18" s="99" t="s">
        <v>516</v>
      </c>
      <c r="I18" s="4"/>
      <c r="J18" s="68">
        <f>MATCH($B18,ruminants!$A$3:$A$120,0)</f>
        <v>53</v>
      </c>
      <c r="K18" s="37">
        <f>INDEX(ruminants!$D$3:$AH$120,$J18,K$4)</f>
        <v>48</v>
      </c>
      <c r="L18" s="77">
        <f t="shared" si="11"/>
        <v>18.3899352</v>
      </c>
      <c r="M18" s="38">
        <f>INDEX(ruminants!$D$3:$AH$120,$J18,M$4)</f>
        <v>12.8</v>
      </c>
      <c r="N18" s="65">
        <f>INDEX(ruminants!$D$3:$AH$120,$J18,N$4)</f>
        <v>111</v>
      </c>
      <c r="O18" s="39">
        <f>INDEX(ruminants!$D$3:$AH$120,$J18,O$4)</f>
        <v>40</v>
      </c>
      <c r="P18" s="39">
        <f>INDEX(ruminants!$D$3:$AH$120,$J18,P$4)</f>
        <v>63</v>
      </c>
      <c r="Q18" s="39">
        <f>INDEX(ruminants!$D$3:$AH$120,$J18,Q$4)</f>
        <v>763</v>
      </c>
      <c r="R18" s="42">
        <f>INDEX(ruminants!$D$3:$AH$120,$J18,R$4)</f>
        <v>23</v>
      </c>
      <c r="S18" s="38">
        <f t="shared" si="8"/>
        <v>1.7760000000000002</v>
      </c>
      <c r="T18" s="91">
        <f>INDEX(ruminants!$D$3:$AH$120,$J18,T$4)/1000*100</f>
        <v>0.36</v>
      </c>
      <c r="U18" s="92">
        <f>INDEX(ruminants!$D$3:$AH$120,$J18,U$4)/1000*100</f>
        <v>0.53</v>
      </c>
      <c r="X18" s="68">
        <f>MATCH($B18,pigs!$A$3:$A$60,0)</f>
        <v>19</v>
      </c>
      <c r="Y18" s="37">
        <f>INDEX(pigs!$D$3:$AO$60,$X18,Y$4)</f>
        <v>87</v>
      </c>
      <c r="Z18" s="77">
        <f t="shared" ref="Z18:Z23" si="21">( 5.7*AC18+9.4*AD18+4.1*(AE18) ) * 0.004184</f>
        <v>18.4970456</v>
      </c>
      <c r="AA18" s="54">
        <f>INDEX(pigs!$D$3:$AO$60,$X18,AA$4)</f>
        <v>12.8</v>
      </c>
      <c r="AB18" s="54">
        <f>INDEX(pigs!$D$3:$AO$60,$X18,AB$4)</f>
        <v>13.2</v>
      </c>
      <c r="AC18" s="37">
        <f>INDEX(pigs!$D$3:$AO$60,$X18,AC$4)</f>
        <v>94</v>
      </c>
      <c r="AD18" s="54">
        <f>INDEX(pigs!$D$3:$AO$60,$X18,AD$4)</f>
        <v>43</v>
      </c>
      <c r="AE18" s="41">
        <f t="shared" ref="AE18:AE23" si="22">1000-SUM(AC18:AD18,AF18)</f>
        <v>849</v>
      </c>
      <c r="AF18" s="55">
        <f>INDEX(pigs!$D$3:$AO$60,$X18,AF$4)</f>
        <v>14</v>
      </c>
      <c r="AG18" s="38">
        <f t="shared" si="14"/>
        <v>1.5040000000000002</v>
      </c>
      <c r="AH18" s="91">
        <f>INDEX(pigs!$D$3:$AO$60,$X18,AH$4)/1000*100</f>
        <v>0.32</v>
      </c>
      <c r="AI18" s="92">
        <f>INDEX(pigs!$D$3:$AO$60,$X18,AI$4)/1000*100</f>
        <v>0.4</v>
      </c>
      <c r="AL18" s="68">
        <f>MATCH($B18,poultry!$A$3:$A$41,0)</f>
        <v>24</v>
      </c>
      <c r="AM18" s="59">
        <f>INDEX(poultry!$D$3:$U$41,$AL18,AM$4)</f>
        <v>87</v>
      </c>
    </row>
    <row r="19" spans="2:39" x14ac:dyDescent="0.25">
      <c r="B19" t="s">
        <v>41</v>
      </c>
      <c r="C19" s="65">
        <f>100-15</f>
        <v>85</v>
      </c>
      <c r="D19" s="64">
        <f t="shared" si="9"/>
        <v>18.478217600000001</v>
      </c>
      <c r="E19" s="38">
        <f t="shared" si="18"/>
        <v>3.7200000000000006</v>
      </c>
      <c r="F19" s="91">
        <f t="shared" si="19"/>
        <v>0.44499999999999995</v>
      </c>
      <c r="G19" s="92">
        <f t="shared" si="20"/>
        <v>1.155</v>
      </c>
      <c r="H19" s="99" t="s">
        <v>516</v>
      </c>
      <c r="I19" s="4"/>
      <c r="J19" s="68">
        <f>MATCH($B19,ruminants!$A$3:$A$120,0)</f>
        <v>115</v>
      </c>
      <c r="K19" s="37">
        <f>INDEX(ruminants!$D$3:$AH$120,$J19,K$4)</f>
        <v>87</v>
      </c>
      <c r="L19" s="77">
        <f t="shared" si="11"/>
        <v>18.478217600000001</v>
      </c>
      <c r="M19" s="38">
        <f>INDEX(ruminants!$D$3:$AH$120,$J19,M$4)</f>
        <v>13.8</v>
      </c>
      <c r="N19" s="65">
        <f>INDEX(ruminants!$D$3:$AH$120,$J19,N$4)</f>
        <v>226</v>
      </c>
      <c r="O19" s="39">
        <f>INDEX(ruminants!$D$3:$AH$120,$J19,O$4)</f>
        <v>17</v>
      </c>
      <c r="P19" s="39">
        <f>INDEX(ruminants!$D$3:$AH$120,$J19,P$4)</f>
        <v>78</v>
      </c>
      <c r="Q19" s="39">
        <f>INDEX(ruminants!$D$3:$AH$120,$J19,Q$4)</f>
        <v>646</v>
      </c>
      <c r="R19" s="42">
        <f>INDEX(ruminants!$D$3:$AH$120,$J19,R$4)</f>
        <v>33</v>
      </c>
      <c r="S19" s="38">
        <f t="shared" si="8"/>
        <v>3.6160000000000005</v>
      </c>
      <c r="T19" s="91">
        <f>INDEX(ruminants!$D$3:$AH$120,$J19,T$4)/1000*100</f>
        <v>0.43</v>
      </c>
      <c r="U19" s="92">
        <f>INDEX(ruminants!$D$3:$AH$120,$J19,U$4)/1000*100</f>
        <v>1.1100000000000001</v>
      </c>
      <c r="X19" s="68">
        <f>MATCH($B19,pigs!$A$3:$A$60,0)</f>
        <v>56</v>
      </c>
      <c r="Y19" s="37">
        <f>INDEX(pigs!$D$3:$AO$60,$X19,Y$4)</f>
        <v>87</v>
      </c>
      <c r="Z19" s="77">
        <f t="shared" si="21"/>
        <v>18.420059999999999</v>
      </c>
      <c r="AA19" s="54">
        <f>INDEX(pigs!$D$3:$AO$60,$X19,AA$4)</f>
        <v>11.2</v>
      </c>
      <c r="AB19" s="54">
        <f>INDEX(pigs!$D$3:$AO$60,$X19,AB$4)</f>
        <v>11.5</v>
      </c>
      <c r="AC19" s="37">
        <f>INDEX(pigs!$D$3:$AO$60,$X19,AC$4)</f>
        <v>239</v>
      </c>
      <c r="AD19" s="54">
        <f>INDEX(pigs!$D$3:$AO$60,$X19,AD$4)</f>
        <v>12</v>
      </c>
      <c r="AE19" s="41">
        <f t="shared" si="22"/>
        <v>714</v>
      </c>
      <c r="AF19" s="55">
        <f>INDEX(pigs!$D$3:$AO$60,$X19,AF$4)</f>
        <v>35</v>
      </c>
      <c r="AG19" s="38">
        <f t="shared" si="14"/>
        <v>3.8240000000000003</v>
      </c>
      <c r="AH19" s="91">
        <f>INDEX(pigs!$D$3:$AO$60,$X19,AH$4)/1000*100</f>
        <v>0.45999999999999996</v>
      </c>
      <c r="AI19" s="92">
        <f>INDEX(pigs!$D$3:$AO$60,$X19,AI$4)/1000*100</f>
        <v>1.2</v>
      </c>
      <c r="AL19" s="68">
        <f>MATCH($B19,poultry!$A$3:$A$41,0)</f>
        <v>39</v>
      </c>
      <c r="AM19" s="59">
        <f>INDEX(poultry!$D$3:$U$41,$AL19,AM$4)</f>
        <v>87</v>
      </c>
    </row>
    <row r="20" spans="2:39" x14ac:dyDescent="0.25">
      <c r="B20" t="s">
        <v>42</v>
      </c>
      <c r="C20" s="65">
        <f>100-15</f>
        <v>85</v>
      </c>
      <c r="D20" s="64">
        <f t="shared" si="9"/>
        <v>18.737207199999997</v>
      </c>
      <c r="E20" s="38">
        <f t="shared" si="18"/>
        <v>4.8079999999999998</v>
      </c>
      <c r="F20" s="91">
        <f t="shared" si="19"/>
        <v>0.61499999999999999</v>
      </c>
      <c r="G20" s="92">
        <f t="shared" si="20"/>
        <v>1.375</v>
      </c>
      <c r="H20" s="99" t="s">
        <v>516</v>
      </c>
      <c r="I20" s="4"/>
      <c r="J20" s="68"/>
      <c r="K20" s="65">
        <v>86.6</v>
      </c>
      <c r="L20" s="77">
        <f t="shared" si="11"/>
        <v>18.737207199999997</v>
      </c>
      <c r="M20" s="38">
        <v>13.3</v>
      </c>
      <c r="N20" s="65">
        <v>290</v>
      </c>
      <c r="O20" s="39">
        <v>14</v>
      </c>
      <c r="P20" s="39">
        <v>91</v>
      </c>
      <c r="Q20" s="41">
        <f>1000-SUM(N20:P20,R20)</f>
        <v>566</v>
      </c>
      <c r="R20" s="42">
        <v>39</v>
      </c>
      <c r="S20" s="38">
        <f t="shared" si="8"/>
        <v>4.6399999999999997</v>
      </c>
      <c r="T20" s="91">
        <f>5.5/1000*100</f>
        <v>0.54999999999999993</v>
      </c>
      <c r="U20" s="92">
        <f>11.5/1000*100</f>
        <v>1.1499999999999999</v>
      </c>
      <c r="V20" s="11" t="s">
        <v>318</v>
      </c>
      <c r="W20" s="11" t="s">
        <v>488</v>
      </c>
      <c r="X20" s="68">
        <f>MATCH($B20,pigs!$A$3:$A$60,0)</f>
        <v>57</v>
      </c>
      <c r="Y20" s="37">
        <f>INDEX(pigs!$D$3:$AO$60,$X20,Y$4)</f>
        <v>87</v>
      </c>
      <c r="Z20" s="77">
        <f t="shared" si="21"/>
        <v>18.821305599999999</v>
      </c>
      <c r="AA20" s="54">
        <f>INDEX(pigs!$D$3:$AO$60,$X20,AA$4)</f>
        <v>10.7</v>
      </c>
      <c r="AB20" s="54">
        <f>INDEX(pigs!$D$3:$AO$60,$X20,AB$4)</f>
        <v>10.9</v>
      </c>
      <c r="AC20" s="37">
        <f>INDEX(pigs!$D$3:$AO$60,$X20,AC$4)</f>
        <v>311</v>
      </c>
      <c r="AD20" s="54">
        <f>INDEX(pigs!$D$3:$AO$60,$X20,AD$4)</f>
        <v>13</v>
      </c>
      <c r="AE20" s="41">
        <f t="shared" si="22"/>
        <v>635</v>
      </c>
      <c r="AF20" s="55">
        <f>INDEX(pigs!$D$3:$AO$60,$X20,AF$4)</f>
        <v>41</v>
      </c>
      <c r="AG20" s="38">
        <f t="shared" si="14"/>
        <v>4.976</v>
      </c>
      <c r="AH20" s="91">
        <f>INDEX(pigs!$D$3:$AO$60,$X20,AH$4)/1000*100</f>
        <v>0.67999999999999994</v>
      </c>
      <c r="AI20" s="92">
        <f>INDEX(pigs!$D$3:$AO$60,$X20,AI$4)/1000*100</f>
        <v>1.6</v>
      </c>
      <c r="AL20" s="68"/>
      <c r="AM20" s="59"/>
    </row>
    <row r="21" spans="2:39" x14ac:dyDescent="0.25">
      <c r="B21" t="s">
        <v>35</v>
      </c>
      <c r="C21" s="65">
        <f>100-9</f>
        <v>91</v>
      </c>
      <c r="D21" s="64">
        <f t="shared" si="9"/>
        <v>27.903096000000001</v>
      </c>
      <c r="E21" s="38">
        <f t="shared" si="18"/>
        <v>3.3360000000000003</v>
      </c>
      <c r="F21" s="91">
        <f t="shared" si="19"/>
        <v>0.81</v>
      </c>
      <c r="G21" s="92">
        <f t="shared" si="20"/>
        <v>0.90999999999999992</v>
      </c>
      <c r="H21" s="99" t="s">
        <v>516</v>
      </c>
      <c r="I21" s="4"/>
      <c r="J21" s="68">
        <f>MATCH($B21,ruminants!$A$3:$A$120,0)</f>
        <v>71</v>
      </c>
      <c r="K21" s="37">
        <f>INDEX(ruminants!$D$3:$AH$120,$J21,K$4)</f>
        <v>93</v>
      </c>
      <c r="L21" s="77">
        <f t="shared" si="11"/>
        <v>27.903096000000001</v>
      </c>
      <c r="M21" s="38">
        <f>INDEX(ruminants!$D$3:$AH$120,$J21,M$4)</f>
        <v>22.1</v>
      </c>
      <c r="N21" s="65">
        <f>INDEX(ruminants!$D$3:$AH$120,$J21,N$4)</f>
        <v>210</v>
      </c>
      <c r="O21" s="39">
        <f>INDEX(ruminants!$D$3:$AH$120,$J21,O$4)</f>
        <v>460</v>
      </c>
      <c r="P21" s="39">
        <f>INDEX(ruminants!$D$3:$AH$120,$J21,P$4)</f>
        <v>80</v>
      </c>
      <c r="Q21" s="39">
        <f>INDEX(ruminants!$D$3:$AH$120,$J21,Q$4)</f>
        <v>200</v>
      </c>
      <c r="R21" s="42">
        <f>INDEX(ruminants!$D$3:$AH$120,$J21,R$4)</f>
        <v>50</v>
      </c>
      <c r="S21" s="38">
        <f t="shared" si="8"/>
        <v>3.3600000000000003</v>
      </c>
      <c r="T21" s="91">
        <f>INDEX(ruminants!$D$3:$AH$120,$J21,T$4)/1000*100</f>
        <v>0.86</v>
      </c>
      <c r="U21" s="92">
        <f>INDEX(ruminants!$D$3:$AH$120,$J21,U$4)/1000*100</f>
        <v>0.81999999999999984</v>
      </c>
      <c r="X21" s="68">
        <f>MATCH($B21,pigs!$A$3:$A$60,0)</f>
        <v>33</v>
      </c>
      <c r="Y21" s="37">
        <f>INDEX(pigs!$D$3:$AO$60,$X21,Y$4)</f>
        <v>92</v>
      </c>
      <c r="Z21" s="77">
        <f t="shared" si="21"/>
        <v>27.892217599999999</v>
      </c>
      <c r="AA21" s="54">
        <f>INDEX(pigs!$D$3:$AO$60,$X21,AA$4)</f>
        <v>18</v>
      </c>
      <c r="AB21" s="54">
        <f>INDEX(pigs!$D$3:$AO$60,$X21,AB$4)</f>
        <v>18.5</v>
      </c>
      <c r="AC21" s="37">
        <f>INDEX(pigs!$D$3:$AO$60,$X21,AC$4)</f>
        <v>207</v>
      </c>
      <c r="AD21" s="54">
        <f>INDEX(pigs!$D$3:$AO$60,$X21,AD$4)</f>
        <v>455</v>
      </c>
      <c r="AE21" s="41">
        <f t="shared" si="22"/>
        <v>295</v>
      </c>
      <c r="AF21" s="55">
        <f>INDEX(pigs!$D$3:$AO$60,$X21,AF$4)</f>
        <v>43</v>
      </c>
      <c r="AG21" s="38">
        <f t="shared" si="14"/>
        <v>3.3119999999999998</v>
      </c>
      <c r="AH21" s="91">
        <f>INDEX(pigs!$D$3:$AO$60,$X21,AH$4)/1000*100</f>
        <v>0.76</v>
      </c>
      <c r="AI21" s="92">
        <f>INDEX(pigs!$D$3:$AO$60,$X21,AI$4)/1000*100</f>
        <v>1</v>
      </c>
      <c r="AL21" s="68"/>
      <c r="AM21" s="59"/>
    </row>
    <row r="22" spans="2:39" x14ac:dyDescent="0.25">
      <c r="B22" t="s">
        <v>43</v>
      </c>
      <c r="C22" s="65">
        <f>100-9</f>
        <v>91</v>
      </c>
      <c r="D22" s="64">
        <f t="shared" si="9"/>
        <v>26.501456000000001</v>
      </c>
      <c r="E22" s="38">
        <f t="shared" si="18"/>
        <v>3.7359999999999998</v>
      </c>
      <c r="F22" s="91">
        <f t="shared" si="19"/>
        <v>0.57000000000000006</v>
      </c>
      <c r="G22" s="92">
        <f t="shared" si="20"/>
        <v>0.89500000000000002</v>
      </c>
      <c r="H22" s="99" t="s">
        <v>516</v>
      </c>
      <c r="I22" s="4"/>
      <c r="J22" s="68">
        <f>MATCH($B22,ruminants!$A$3:$A$120,0)</f>
        <v>45</v>
      </c>
      <c r="K22" s="37">
        <f>INDEX(ruminants!$D$3:$AH$120,$J22,K$4)</f>
        <v>93</v>
      </c>
      <c r="L22" s="77">
        <f t="shared" si="11"/>
        <v>26.501456000000001</v>
      </c>
      <c r="M22" s="38">
        <f>INDEX(ruminants!$D$3:$AH$120,$J22,M$4)</f>
        <v>20.100000000000001</v>
      </c>
      <c r="N22" s="65">
        <f>INDEX(ruminants!$D$3:$AH$120,$J22,N$4)</f>
        <v>240</v>
      </c>
      <c r="O22" s="39">
        <f>INDEX(ruminants!$D$3:$AH$120,$J22,O$4)</f>
        <v>380</v>
      </c>
      <c r="P22" s="39">
        <f>INDEX(ruminants!$D$3:$AH$120,$J22,P$4)</f>
        <v>70</v>
      </c>
      <c r="Q22" s="39">
        <f>INDEX(ruminants!$D$3:$AH$120,$J22,Q$4)</f>
        <v>270</v>
      </c>
      <c r="R22" s="42">
        <f>INDEX(ruminants!$D$3:$AH$120,$J22,R$4)</f>
        <v>40</v>
      </c>
      <c r="S22" s="38">
        <f t="shared" si="8"/>
        <v>3.84</v>
      </c>
      <c r="T22" s="91">
        <f>INDEX(ruminants!$D$3:$AH$120,$J22,T$4)/1000*100</f>
        <v>0.57000000000000006</v>
      </c>
      <c r="U22" s="92">
        <f>INDEX(ruminants!$D$3:$AH$120,$J22,U$4)/1000*100</f>
        <v>0.89999999999999991</v>
      </c>
      <c r="X22" s="68">
        <f>MATCH($B22,pigs!$A$3:$A$60,0)</f>
        <v>14</v>
      </c>
      <c r="Y22" s="37">
        <f>INDEX(pigs!$D$3:$AO$60,$X22,Y$4)</f>
        <v>91</v>
      </c>
      <c r="Z22" s="77">
        <f t="shared" si="21"/>
        <v>27.712724000000005</v>
      </c>
      <c r="AA22" s="54">
        <f>INDEX(pigs!$D$3:$AO$60,$X22,AA$4)</f>
        <v>17.3</v>
      </c>
      <c r="AB22" s="54">
        <f>INDEX(pigs!$D$3:$AO$60,$X22,AB$4)</f>
        <v>17.5</v>
      </c>
      <c r="AC22" s="37">
        <f>INDEX(pigs!$D$3:$AO$60,$X22,AC$4)</f>
        <v>227</v>
      </c>
      <c r="AD22" s="54">
        <f>INDEX(pigs!$D$3:$AO$60,$X22,AD$4)</f>
        <v>437</v>
      </c>
      <c r="AE22" s="41">
        <f t="shared" si="22"/>
        <v>298</v>
      </c>
      <c r="AF22" s="55">
        <f>INDEX(pigs!$D$3:$AO$60,$X22,AF$4)</f>
        <v>38</v>
      </c>
      <c r="AG22" s="38">
        <f t="shared" si="14"/>
        <v>3.6319999999999997</v>
      </c>
      <c r="AH22" s="91">
        <f>INDEX(pigs!$D$3:$AO$60,$X22,AH$4)/1000*100</f>
        <v>0.57000000000000006</v>
      </c>
      <c r="AI22" s="92">
        <f>INDEX(pigs!$D$3:$AO$60,$X22,AI$4)/1000*100</f>
        <v>0.89</v>
      </c>
      <c r="AL22" s="68"/>
      <c r="AM22" s="59"/>
    </row>
    <row r="23" spans="2:39" x14ac:dyDescent="0.25">
      <c r="B23" t="s">
        <v>310</v>
      </c>
      <c r="C23" s="65">
        <f>AVERAGE(Y23,K23)</f>
        <v>100</v>
      </c>
      <c r="D23" s="64">
        <f t="shared" si="9"/>
        <v>39.329599999999999</v>
      </c>
      <c r="E23" s="38">
        <f t="shared" si="18"/>
        <v>0</v>
      </c>
      <c r="F23" s="91">
        <f t="shared" si="19"/>
        <v>0</v>
      </c>
      <c r="G23" s="92">
        <f t="shared" si="20"/>
        <v>0</v>
      </c>
      <c r="H23" s="4"/>
      <c r="I23" s="4"/>
      <c r="J23" s="68"/>
      <c r="K23" s="37">
        <v>100</v>
      </c>
      <c r="L23" s="77">
        <f t="shared" si="11"/>
        <v>39.329599999999999</v>
      </c>
      <c r="M23" s="38">
        <v>36.6</v>
      </c>
      <c r="N23" s="65">
        <v>0</v>
      </c>
      <c r="O23" s="39">
        <v>1000</v>
      </c>
      <c r="P23" s="39">
        <v>0</v>
      </c>
      <c r="Q23" s="39">
        <v>0</v>
      </c>
      <c r="R23" s="42">
        <v>0</v>
      </c>
      <c r="S23" s="38">
        <f t="shared" si="8"/>
        <v>0</v>
      </c>
      <c r="T23" s="91">
        <v>0</v>
      </c>
      <c r="U23" s="92">
        <v>0</v>
      </c>
      <c r="V23" s="11" t="s">
        <v>319</v>
      </c>
      <c r="W23" t="s">
        <v>488</v>
      </c>
      <c r="X23" s="68">
        <f>MATCH($B23,pigs!$A$3:$A$60,0)</f>
        <v>28</v>
      </c>
      <c r="Y23" s="37">
        <f>INDEX(pigs!$D$3:$AO$60,$X23,Y$4)</f>
        <v>100</v>
      </c>
      <c r="Z23" s="77">
        <f t="shared" si="21"/>
        <v>39.329599999999999</v>
      </c>
      <c r="AA23" s="54">
        <f>INDEX(pigs!$D$3:$AO$60,$X23,AA$4)</f>
        <v>29.8</v>
      </c>
      <c r="AB23" s="54">
        <f>INDEX(pigs!$D$3:$AO$60,$X23,AB$4)</f>
        <v>29.8</v>
      </c>
      <c r="AC23" s="37">
        <f>INDEX(pigs!$D$3:$AO$60,$X23,AC$4)</f>
        <v>0</v>
      </c>
      <c r="AD23" s="54">
        <f>INDEX(pigs!$D$3:$AO$60,$X23,AD$4)</f>
        <v>1000</v>
      </c>
      <c r="AE23" s="41">
        <f t="shared" si="22"/>
        <v>0</v>
      </c>
      <c r="AF23" s="55">
        <f>INDEX(pigs!$D$3:$AO$60,$X23,AF$4)</f>
        <v>0</v>
      </c>
      <c r="AG23" s="38">
        <f t="shared" si="14"/>
        <v>0</v>
      </c>
      <c r="AH23" s="91">
        <f>INDEX(pigs!$D$3:$AO$60,$X23,AH$4)/1000*100</f>
        <v>0</v>
      </c>
      <c r="AI23" s="92">
        <f>INDEX(pigs!$D$3:$AO$60,$X23,AI$4)/1000*100</f>
        <v>0</v>
      </c>
      <c r="AL23" s="68">
        <f>MATCH($B23,poultry!$A$3:$A$41,0)</f>
        <v>1</v>
      </c>
      <c r="AM23" s="59">
        <f>INDEX(poultry!$D$3:$U$41,$AL23,AM$4)</f>
        <v>99</v>
      </c>
    </row>
    <row r="24" spans="2:39" x14ac:dyDescent="0.25">
      <c r="B24" t="s">
        <v>302</v>
      </c>
      <c r="C24" s="65">
        <f>AVERAGE(Y24,K24)</f>
        <v>85</v>
      </c>
      <c r="D24" s="64">
        <f t="shared" si="9"/>
        <v>16.927627199999996</v>
      </c>
      <c r="E24" s="38">
        <f t="shared" si="18"/>
        <v>1.1040000000000001</v>
      </c>
      <c r="F24" s="91">
        <f t="shared" si="19"/>
        <v>0.26</v>
      </c>
      <c r="G24" s="92">
        <f t="shared" si="20"/>
        <v>1.6800000000000002</v>
      </c>
      <c r="H24" s="4"/>
      <c r="I24" s="4"/>
      <c r="J24" s="68">
        <f>MATCH($B24,ruminants!$A$3:$A$120,0)</f>
        <v>22</v>
      </c>
      <c r="K24" s="37">
        <f>INDEX(ruminants!$D$3:$AH$120,$J24,K$4)</f>
        <v>85</v>
      </c>
      <c r="L24" s="77">
        <f t="shared" si="11"/>
        <v>16.927627199999996</v>
      </c>
      <c r="M24" s="38">
        <f>INDEX(ruminants!$D$3:$AH$120,$J24,M$4)</f>
        <v>6.6</v>
      </c>
      <c r="N24" s="65">
        <f>INDEX(ruminants!$D$3:$AH$120,$J24,N$4)</f>
        <v>69</v>
      </c>
      <c r="O24" s="39">
        <f>INDEX(ruminants!$D$3:$AH$120,$J24,O$4)</f>
        <v>20</v>
      </c>
      <c r="P24" s="39">
        <f>INDEX(ruminants!$D$3:$AH$120,$J24,P$4)</f>
        <v>436</v>
      </c>
      <c r="Q24" s="39">
        <f>INDEX(ruminants!$D$3:$AH$120,$J24,Q$4)</f>
        <v>409</v>
      </c>
      <c r="R24" s="42">
        <f>INDEX(ruminants!$D$3:$AH$120,$J24,R$4)</f>
        <v>66</v>
      </c>
      <c r="S24" s="38">
        <f t="shared" si="8"/>
        <v>1.1040000000000001</v>
      </c>
      <c r="T24" s="91">
        <f>INDEX(ruminants!$D$3:$AH$120,$J24,T$4)/1000*100</f>
        <v>0.26</v>
      </c>
      <c r="U24" s="92">
        <f>INDEX(ruminants!$D$3:$AH$120,$J24,U$4)/1000*100</f>
        <v>1.6800000000000002</v>
      </c>
      <c r="X24" s="68"/>
      <c r="Y24" s="37"/>
      <c r="Z24" s="54"/>
      <c r="AA24" s="54"/>
      <c r="AB24" s="54"/>
      <c r="AC24" s="37"/>
      <c r="AD24" s="54"/>
      <c r="AE24" s="54"/>
      <c r="AF24" s="55"/>
      <c r="AG24" s="38"/>
      <c r="AH24" s="91"/>
      <c r="AI24" s="92"/>
      <c r="AL24" s="68"/>
      <c r="AM24" s="59"/>
    </row>
    <row r="25" spans="2:39" x14ac:dyDescent="0.25">
      <c r="B25" t="s">
        <v>314</v>
      </c>
      <c r="C25" s="65">
        <f>AVERAGE(Y25,K25)</f>
        <v>87</v>
      </c>
      <c r="D25" s="64">
        <f t="shared" si="9"/>
        <v>22.965976000000001</v>
      </c>
      <c r="E25" s="38">
        <f t="shared" si="18"/>
        <v>6.4</v>
      </c>
      <c r="F25" s="91">
        <f t="shared" si="19"/>
        <v>0.63</v>
      </c>
      <c r="G25" s="92">
        <f t="shared" si="20"/>
        <v>1.9</v>
      </c>
      <c r="H25" s="4"/>
      <c r="I25" s="4"/>
      <c r="J25" s="68">
        <f>MATCH($B25,ruminants!$A$3:$A$120,0)</f>
        <v>92</v>
      </c>
      <c r="K25" s="37">
        <f>INDEX(ruminants!$D$3:$AH$120,$J25,K$4)</f>
        <v>87</v>
      </c>
      <c r="L25" s="77">
        <f t="shared" si="11"/>
        <v>22.965976000000001</v>
      </c>
      <c r="M25" s="38">
        <f>INDEX(ruminants!$D$3:$AH$120,$J25,M$4)</f>
        <v>16.399999999999999</v>
      </c>
      <c r="N25" s="65">
        <f>INDEX(ruminants!$D$3:$AH$120,$J25,N$4)</f>
        <v>400</v>
      </c>
      <c r="O25" s="39">
        <f>INDEX(ruminants!$D$3:$AH$120,$J25,O$4)</f>
        <v>180</v>
      </c>
      <c r="P25" s="39">
        <f>INDEX(ruminants!$D$3:$AH$120,$J25,P$4)</f>
        <v>60</v>
      </c>
      <c r="Q25" s="39">
        <f>INDEX(ruminants!$D$3:$AH$120,$J25,Q$4)</f>
        <v>310</v>
      </c>
      <c r="R25" s="42">
        <f>INDEX(ruminants!$D$3:$AH$120,$J25,R$4)</f>
        <v>50</v>
      </c>
      <c r="S25" s="38">
        <f t="shared" si="8"/>
        <v>6.4</v>
      </c>
      <c r="T25" s="91">
        <f>INDEX(ruminants!$D$3:$AH$120,$J25,T$4)/1000*100</f>
        <v>0.63</v>
      </c>
      <c r="U25" s="92">
        <f>INDEX(ruminants!$D$3:$AH$120,$J25,U$4)/1000*100</f>
        <v>1.9</v>
      </c>
      <c r="X25" s="68"/>
      <c r="Y25" s="37"/>
      <c r="Z25" s="54"/>
      <c r="AA25" s="54"/>
      <c r="AB25" s="54"/>
      <c r="AC25" s="37"/>
      <c r="AD25" s="54"/>
      <c r="AE25" s="54"/>
      <c r="AF25" s="55"/>
      <c r="AG25" s="38"/>
      <c r="AH25" s="91"/>
      <c r="AI25" s="92"/>
      <c r="AL25" s="68"/>
      <c r="AM25" s="59"/>
    </row>
    <row r="26" spans="2:39" x14ac:dyDescent="0.25">
      <c r="B26" t="s">
        <v>44</v>
      </c>
      <c r="C26" s="65">
        <f>AVERAGE(Y26,K26)</f>
        <v>87.5</v>
      </c>
      <c r="D26" s="64">
        <f t="shared" si="9"/>
        <v>19.589487999999999</v>
      </c>
      <c r="E26" s="38">
        <f t="shared" si="18"/>
        <v>8.2080000000000002</v>
      </c>
      <c r="F26" s="91">
        <f t="shared" si="19"/>
        <v>0.71499999999999997</v>
      </c>
      <c r="G26" s="92">
        <f t="shared" si="20"/>
        <v>2.3499999999999996</v>
      </c>
      <c r="H26" s="4"/>
      <c r="I26" s="4"/>
      <c r="J26" s="68">
        <f>MATCH($B26,ruminants!$A$3:$A$120,0)</f>
        <v>93</v>
      </c>
      <c r="K26" s="37">
        <f>INDEX(ruminants!$D$3:$AH$120,$J26,K$4)</f>
        <v>87</v>
      </c>
      <c r="L26" s="77">
        <f t="shared" si="11"/>
        <v>19.589487999999999</v>
      </c>
      <c r="M26" s="38">
        <f>INDEX(ruminants!$D$3:$AH$120,$J26,M$4)</f>
        <v>14.6</v>
      </c>
      <c r="N26" s="65">
        <f>INDEX(ruminants!$D$3:$AH$120,$J26,N$4)</f>
        <v>510</v>
      </c>
      <c r="O26" s="39">
        <f>INDEX(ruminants!$D$3:$AH$120,$J26,O$4)</f>
        <v>10</v>
      </c>
      <c r="P26" s="39">
        <f>INDEX(ruminants!$D$3:$AH$120,$J26,P$4)</f>
        <v>60</v>
      </c>
      <c r="Q26" s="39">
        <f>INDEX(ruminants!$D$3:$AH$120,$J26,Q$4)</f>
        <v>350</v>
      </c>
      <c r="R26" s="42">
        <f>INDEX(ruminants!$D$3:$AH$120,$J26,R$4)</f>
        <v>70</v>
      </c>
      <c r="S26" s="38">
        <f t="shared" si="8"/>
        <v>8.16</v>
      </c>
      <c r="T26" s="91">
        <f>INDEX(ruminants!$D$3:$AH$120,$J26,T$4)/1000*100</f>
        <v>0.72</v>
      </c>
      <c r="U26" s="92">
        <f>INDEX(ruminants!$D$3:$AH$120,$J26,U$4)/1000*100</f>
        <v>2.2999999999999998</v>
      </c>
      <c r="X26" s="68">
        <f>MATCH($B26,pigs!$A$3:$A$60,0)</f>
        <v>43</v>
      </c>
      <c r="Y26" s="37">
        <f>INDEX(pigs!$D$3:$AO$60,$X26,Y$4)</f>
        <v>88</v>
      </c>
      <c r="Z26" s="77">
        <f t="shared" ref="Z26:Z30" si="23">( 5.7*AC26+9.4*AD26+4.1*(AE26) ) * 0.004184</f>
        <v>19.822118400000001</v>
      </c>
      <c r="AA26" s="54">
        <f>INDEX(pigs!$D$3:$AO$60,$X26,AA$4)</f>
        <v>9.3000000000000007</v>
      </c>
      <c r="AB26" s="54">
        <f>INDEX(pigs!$D$3:$AO$60,$X26,AB$4)</f>
        <v>9.9</v>
      </c>
      <c r="AC26" s="37">
        <f>INDEX(pigs!$D$3:$AO$60,$X26,AC$4)</f>
        <v>516</v>
      </c>
      <c r="AD26" s="54">
        <f>INDEX(pigs!$D$3:$AO$60,$X26,AD$4)</f>
        <v>21</v>
      </c>
      <c r="AE26" s="41">
        <f t="shared" ref="AE26:AE30" si="24">1000-SUM(AC26:AD26,AF26)</f>
        <v>390</v>
      </c>
      <c r="AF26" s="55">
        <f>INDEX(pigs!$D$3:$AO$60,$X26,AF$4)</f>
        <v>73</v>
      </c>
      <c r="AG26" s="38">
        <f t="shared" si="14"/>
        <v>8.2560000000000002</v>
      </c>
      <c r="AH26" s="91">
        <f>INDEX(pigs!$D$3:$AO$60,$X26,AH$4)/1000*100</f>
        <v>0.71</v>
      </c>
      <c r="AI26" s="92">
        <f>INDEX(pigs!$D$3:$AO$60,$X26,AI$4)/1000*100</f>
        <v>2.4</v>
      </c>
      <c r="AL26" s="68">
        <f>MATCH($B26,poultry!$A$3:$A$41,0)</f>
        <v>33</v>
      </c>
      <c r="AM26" s="59">
        <f>INDEX(poultry!$D$3:$U$41,$AL26,AM$4)</f>
        <v>87</v>
      </c>
    </row>
    <row r="27" spans="2:39" x14ac:dyDescent="0.25">
      <c r="B27" t="s">
        <v>45</v>
      </c>
      <c r="C27" s="65">
        <f>AVERAGE(Y27,K27)</f>
        <v>87</v>
      </c>
      <c r="D27" s="64">
        <f>Z27</f>
        <v>20.560594400000003</v>
      </c>
      <c r="E27" s="38">
        <f t="shared" si="18"/>
        <v>9.7439999999999998</v>
      </c>
      <c r="F27" s="91">
        <f t="shared" si="19"/>
        <v>0.86999999999999988</v>
      </c>
      <c r="G27" s="92">
        <f t="shared" si="20"/>
        <v>2.5</v>
      </c>
      <c r="H27" s="4"/>
      <c r="I27" s="4"/>
      <c r="J27" s="68"/>
      <c r="K27" s="37"/>
      <c r="L27" s="54"/>
      <c r="M27" s="38"/>
      <c r="N27" s="65"/>
      <c r="O27" s="39"/>
      <c r="P27" s="39"/>
      <c r="Q27" s="39"/>
      <c r="R27" s="42"/>
      <c r="S27" s="38"/>
      <c r="T27" s="39"/>
      <c r="U27" s="42"/>
      <c r="X27" s="68">
        <f>MATCH($B27,pigs!$A$3:$A$60,0)</f>
        <v>45</v>
      </c>
      <c r="Y27" s="37">
        <f>INDEX(pigs!$D$3:$AO$60,$X27,Y$4)</f>
        <v>87</v>
      </c>
      <c r="Z27" s="77">
        <f t="shared" si="23"/>
        <v>20.560594400000003</v>
      </c>
      <c r="AA27" s="54">
        <f>INDEX(pigs!$D$3:$AO$60,$X27,AA$4)</f>
        <v>9.6999999999999993</v>
      </c>
      <c r="AB27" s="54">
        <f>INDEX(pigs!$D$3:$AO$60,$X27,AB$4)</f>
        <v>10.3</v>
      </c>
      <c r="AC27" s="37">
        <f>INDEX(pigs!$D$3:$AO$60,$X27,AC$4)</f>
        <v>609</v>
      </c>
      <c r="AD27" s="54">
        <f>INDEX(pigs!$D$3:$AO$60,$X27,AD$4)</f>
        <v>27</v>
      </c>
      <c r="AE27" s="41">
        <f t="shared" si="24"/>
        <v>290</v>
      </c>
      <c r="AF27" s="55">
        <f>INDEX(pigs!$D$3:$AO$60,$X27,AF$4)</f>
        <v>74</v>
      </c>
      <c r="AG27" s="38">
        <f t="shared" si="14"/>
        <v>9.7439999999999998</v>
      </c>
      <c r="AH27" s="91">
        <f>INDEX(pigs!$D$3:$AO$60,$X27,AH$4)/1000*100</f>
        <v>0.86999999999999988</v>
      </c>
      <c r="AI27" s="92">
        <f>INDEX(pigs!$D$3:$AO$60,$X27,AI$4)/1000*100</f>
        <v>2.5</v>
      </c>
      <c r="AL27" s="68"/>
      <c r="AM27" s="59"/>
    </row>
    <row r="28" spans="2:39" x14ac:dyDescent="0.25">
      <c r="B28" t="s">
        <v>36</v>
      </c>
      <c r="C28" s="65">
        <f>AVERAGE(Y28,K28)</f>
        <v>89.5</v>
      </c>
      <c r="D28" s="64">
        <f t="shared" ref="D28:D34" si="25">L28</f>
        <v>19.4920008</v>
      </c>
      <c r="E28" s="38">
        <f t="shared" si="18"/>
        <v>6.152000000000001</v>
      </c>
      <c r="F28" s="91">
        <f t="shared" si="19"/>
        <v>1.2450000000000001</v>
      </c>
      <c r="G28" s="92">
        <f t="shared" si="20"/>
        <v>1.55</v>
      </c>
      <c r="H28" s="4"/>
      <c r="I28" s="4"/>
      <c r="J28" s="68">
        <f>MATCH($B28,ruminants!$A$3:$A$120,0)</f>
        <v>70</v>
      </c>
      <c r="K28" s="37">
        <f>INDEX(ruminants!$D$3:$AH$120,$J28,K$4)</f>
        <v>90</v>
      </c>
      <c r="L28" s="77">
        <f t="shared" si="11"/>
        <v>19.4920008</v>
      </c>
      <c r="M28" s="38">
        <f>INDEX(ruminants!$D$3:$AH$120,$J28,M$4)</f>
        <v>12.2</v>
      </c>
      <c r="N28" s="65">
        <f>INDEX(ruminants!$D$3:$AH$120,$J28,N$4)</f>
        <v>389</v>
      </c>
      <c r="O28" s="39">
        <f>INDEX(ruminants!$D$3:$AH$120,$J28,O$4)</f>
        <v>46</v>
      </c>
      <c r="P28" s="39">
        <f>INDEX(ruminants!$D$3:$AH$120,$J28,P$4)</f>
        <v>140</v>
      </c>
      <c r="Q28" s="39">
        <f>INDEX(ruminants!$D$3:$AH$120,$J28,Q$4)</f>
        <v>350</v>
      </c>
      <c r="R28" s="42">
        <f>INDEX(ruminants!$D$3:$AH$120,$J28,R$4)</f>
        <v>75</v>
      </c>
      <c r="S28" s="38">
        <f t="shared" si="8"/>
        <v>6.2240000000000002</v>
      </c>
      <c r="T28" s="91">
        <f>INDEX(ruminants!$D$3:$AH$120,$J28,T$4)/1000*100</f>
        <v>1.2</v>
      </c>
      <c r="U28" s="92">
        <f>INDEX(ruminants!$D$3:$AH$120,$J28,U$4)/1000*100</f>
        <v>1.6</v>
      </c>
      <c r="X28" s="68">
        <f>MATCH($B28,pigs!$A$3:$A$60,0)</f>
        <v>36</v>
      </c>
      <c r="Y28" s="37">
        <f>INDEX(pigs!$D$3:$AO$60,$X28,Y$4)</f>
        <v>89</v>
      </c>
      <c r="Z28" s="77">
        <f t="shared" si="23"/>
        <v>18.9196296</v>
      </c>
      <c r="AA28" s="54">
        <f>INDEX(pigs!$D$3:$AO$60,$X28,AA$4)</f>
        <v>7.1</v>
      </c>
      <c r="AB28" s="54">
        <f>INDEX(pigs!$D$3:$AO$60,$X28,AB$4)</f>
        <v>7.7</v>
      </c>
      <c r="AC28" s="37">
        <f>INDEX(pigs!$D$3:$AO$60,$X28,AC$4)</f>
        <v>380</v>
      </c>
      <c r="AD28" s="54">
        <f>INDEX(pigs!$D$3:$AO$60,$X28,AD$4)</f>
        <v>26</v>
      </c>
      <c r="AE28" s="41">
        <f t="shared" si="24"/>
        <v>515</v>
      </c>
      <c r="AF28" s="55">
        <f>INDEX(pigs!$D$3:$AO$60,$X28,AF$4)</f>
        <v>79</v>
      </c>
      <c r="AG28" s="38">
        <f t="shared" si="14"/>
        <v>6.080000000000001</v>
      </c>
      <c r="AH28" s="91">
        <f>INDEX(pigs!$D$3:$AO$60,$X28,AH$4)/1000*100</f>
        <v>1.29</v>
      </c>
      <c r="AI28" s="92">
        <f>INDEX(pigs!$D$3:$AO$60,$X28,AI$4)/1000*100</f>
        <v>1.5</v>
      </c>
      <c r="AL28" s="68">
        <f>MATCH($B28,poultry!$A$3:$A$41,0)</f>
        <v>29</v>
      </c>
      <c r="AM28" s="59">
        <f>INDEX(poultry!$D$3:$U$41,$AL28,AM$4)</f>
        <v>90</v>
      </c>
    </row>
    <row r="29" spans="2:39" x14ac:dyDescent="0.25">
      <c r="B29" t="s">
        <v>46</v>
      </c>
      <c r="C29" s="65">
        <f>AVERAGE(Y29,K29)</f>
        <v>91</v>
      </c>
      <c r="D29" s="64">
        <f t="shared" si="25"/>
        <v>19.083224000000001</v>
      </c>
      <c r="E29" s="38">
        <f t="shared" si="18"/>
        <v>6.6640000000000006</v>
      </c>
      <c r="F29" s="91">
        <f t="shared" si="19"/>
        <v>1.3050000000000002</v>
      </c>
      <c r="G29" s="92">
        <f t="shared" si="20"/>
        <v>1.75</v>
      </c>
      <c r="H29" s="4"/>
      <c r="I29" s="4"/>
      <c r="J29" s="68">
        <f>MATCH($B29,ruminants!$A$3:$A$120,0)</f>
        <v>99</v>
      </c>
      <c r="K29" s="37">
        <f>INDEX(ruminants!$D$3:$AH$120,$J29,K$4)</f>
        <v>92</v>
      </c>
      <c r="L29" s="77">
        <f t="shared" si="11"/>
        <v>19.083224000000001</v>
      </c>
      <c r="M29" s="38">
        <f>INDEX(ruminants!$D$3:$AH$120,$J29,M$4)</f>
        <v>11.4</v>
      </c>
      <c r="N29" s="65">
        <f>INDEX(ruminants!$D$3:$AH$120,$J29,N$4)</f>
        <v>460</v>
      </c>
      <c r="O29" s="39">
        <f>INDEX(ruminants!$D$3:$AH$120,$J29,O$4)</f>
        <v>10</v>
      </c>
      <c r="P29" s="39">
        <f>INDEX(ruminants!$D$3:$AH$120,$J29,P$4)</f>
        <v>170</v>
      </c>
      <c r="Q29" s="39">
        <f>INDEX(ruminants!$D$3:$AH$120,$J29,Q$4)</f>
        <v>280</v>
      </c>
      <c r="R29" s="42">
        <f>INDEX(ruminants!$D$3:$AH$120,$J29,R$4)</f>
        <v>80</v>
      </c>
      <c r="S29" s="38">
        <f t="shared" si="8"/>
        <v>7.3600000000000012</v>
      </c>
      <c r="T29" s="91">
        <f>INDEX(ruminants!$D$3:$AH$120,$J29,T$4)/1000*100</f>
        <v>1.35</v>
      </c>
      <c r="U29" s="92">
        <f>INDEX(ruminants!$D$3:$AH$120,$J29,U$4)/1000*100</f>
        <v>1.7999999999999998</v>
      </c>
      <c r="X29" s="68">
        <f>MATCH($B29,pigs!$A$3:$A$60,0)</f>
        <v>46</v>
      </c>
      <c r="Y29" s="37">
        <f>INDEX(pigs!$D$3:$AO$60,$X29,Y$4)</f>
        <v>90</v>
      </c>
      <c r="Z29" s="77">
        <f t="shared" si="23"/>
        <v>18.786160000000002</v>
      </c>
      <c r="AA29" s="54">
        <f>INDEX(pigs!$D$3:$AO$60,$X29,AA$4)</f>
        <v>5.9</v>
      </c>
      <c r="AB29" s="54">
        <f>INDEX(pigs!$D$3:$AO$60,$X29,AB$4)</f>
        <v>6.5</v>
      </c>
      <c r="AC29" s="37">
        <f>INDEX(pigs!$D$3:$AO$60,$X29,AC$4)</f>
        <v>373</v>
      </c>
      <c r="AD29" s="54">
        <f>INDEX(pigs!$D$3:$AO$60,$X29,AD$4)</f>
        <v>19</v>
      </c>
      <c r="AE29" s="41">
        <f t="shared" si="24"/>
        <v>533</v>
      </c>
      <c r="AF29" s="55">
        <f>INDEX(pigs!$D$3:$AO$60,$X29,AF$4)</f>
        <v>75</v>
      </c>
      <c r="AG29" s="38">
        <f t="shared" si="14"/>
        <v>5.968</v>
      </c>
      <c r="AH29" s="91">
        <f>INDEX(pigs!$D$3:$AO$60,$X29,AH$4)/1000*100</f>
        <v>1.26</v>
      </c>
      <c r="AI29" s="92">
        <f>INDEX(pigs!$D$3:$AO$60,$X29,AI$4)/1000*100</f>
        <v>1.7000000000000002</v>
      </c>
      <c r="AL29" s="68"/>
      <c r="AM29" s="59"/>
    </row>
    <row r="30" spans="2:39" x14ac:dyDescent="0.25">
      <c r="B30" t="s">
        <v>47</v>
      </c>
      <c r="C30" s="65">
        <f>AVERAGE(Y30,K30)</f>
        <v>91</v>
      </c>
      <c r="D30" s="64">
        <f t="shared" si="25"/>
        <v>19.581538399999999</v>
      </c>
      <c r="E30" s="38">
        <f t="shared" si="18"/>
        <v>2.5360000000000005</v>
      </c>
      <c r="F30" s="91">
        <f t="shared" si="19"/>
        <v>0.64500000000000002</v>
      </c>
      <c r="G30" s="92">
        <f t="shared" si="20"/>
        <v>0.77500000000000002</v>
      </c>
      <c r="H30" s="4"/>
      <c r="I30" s="4"/>
      <c r="J30" s="68">
        <f>MATCH($B30,ruminants!$A$3:$A$120,0)</f>
        <v>60</v>
      </c>
      <c r="K30" s="37">
        <f>INDEX(ruminants!$D$3:$AH$120,$J30,K$4)</f>
        <v>91</v>
      </c>
      <c r="L30" s="77">
        <f t="shared" si="11"/>
        <v>19.581538399999999</v>
      </c>
      <c r="M30" s="38">
        <f>INDEX(ruminants!$D$3:$AH$120,$J30,M$4)</f>
        <v>13.4</v>
      </c>
      <c r="N30" s="65">
        <f>INDEX(ruminants!$D$3:$AH$120,$J30,N$4)</f>
        <v>154</v>
      </c>
      <c r="O30" s="39">
        <f>INDEX(ruminants!$D$3:$AH$120,$J30,O$4)</f>
        <v>97</v>
      </c>
      <c r="P30" s="39">
        <f>INDEX(ruminants!$D$3:$AH$120,$J30,P$4)</f>
        <v>228</v>
      </c>
      <c r="Q30" s="39">
        <f>INDEX(ruminants!$D$3:$AH$120,$J30,Q$4)</f>
        <v>477</v>
      </c>
      <c r="R30" s="42">
        <f>INDEX(ruminants!$D$3:$AH$120,$J30,R$4)</f>
        <v>44</v>
      </c>
      <c r="S30" s="38">
        <f t="shared" si="8"/>
        <v>2.4640000000000004</v>
      </c>
      <c r="T30" s="91">
        <f>INDEX(ruminants!$D$3:$AH$120,$J30,T$4)/1000*100</f>
        <v>0.65</v>
      </c>
      <c r="U30" s="92">
        <f>INDEX(ruminants!$D$3:$AH$120,$J30,U$4)/1000*100</f>
        <v>0.8</v>
      </c>
      <c r="X30" s="68">
        <f>MATCH($B30,pigs!$A$3:$A$60,0)</f>
        <v>29</v>
      </c>
      <c r="Y30" s="37">
        <f>INDEX(pigs!$D$3:$AO$60,$X30,Y$4)</f>
        <v>91</v>
      </c>
      <c r="Z30" s="77">
        <f t="shared" si="23"/>
        <v>19.540953599999998</v>
      </c>
      <c r="AA30" s="54">
        <f>INDEX(pigs!$D$3:$AO$60,$X30,AA$4)</f>
        <v>5.4</v>
      </c>
      <c r="AB30" s="54">
        <f>INDEX(pigs!$D$3:$AO$60,$X30,AB$4)</f>
        <v>6.2</v>
      </c>
      <c r="AC30" s="37">
        <f>INDEX(pigs!$D$3:$AO$60,$X30,AC$4)</f>
        <v>163</v>
      </c>
      <c r="AD30" s="54">
        <f>INDEX(pigs!$D$3:$AO$60,$X30,AD$4)</f>
        <v>94</v>
      </c>
      <c r="AE30" s="41">
        <f t="shared" si="24"/>
        <v>697</v>
      </c>
      <c r="AF30" s="55">
        <f>INDEX(pigs!$D$3:$AO$60,$X30,AF$4)</f>
        <v>46</v>
      </c>
      <c r="AG30" s="38">
        <f t="shared" si="14"/>
        <v>2.6080000000000001</v>
      </c>
      <c r="AH30" s="91">
        <f>INDEX(pigs!$D$3:$AO$60,$X30,AH$4)/1000*100</f>
        <v>0.64</v>
      </c>
      <c r="AI30" s="92">
        <f>INDEX(pigs!$D$3:$AO$60,$X30,AI$4)/1000*100</f>
        <v>0.75</v>
      </c>
      <c r="AL30" s="68"/>
      <c r="AM30" s="59"/>
    </row>
    <row r="31" spans="2:39" x14ac:dyDescent="0.25">
      <c r="B31" t="s">
        <v>315</v>
      </c>
      <c r="C31" s="65">
        <f>AVERAGE(Y31,K31)</f>
        <v>90</v>
      </c>
      <c r="D31" s="64">
        <f t="shared" si="25"/>
        <v>16.971140800000001</v>
      </c>
      <c r="E31" s="38">
        <f t="shared" si="18"/>
        <v>2.9279999999999999</v>
      </c>
      <c r="F31" s="91">
        <f t="shared" si="19"/>
        <v>0.27</v>
      </c>
      <c r="G31" s="92">
        <f t="shared" si="20"/>
        <v>2.56</v>
      </c>
      <c r="H31" s="4"/>
      <c r="I31" s="4"/>
      <c r="J31" s="68"/>
      <c r="K31" s="37">
        <v>90</v>
      </c>
      <c r="L31" s="77">
        <f t="shared" si="11"/>
        <v>16.971140800000001</v>
      </c>
      <c r="M31" s="38">
        <v>8.5</v>
      </c>
      <c r="N31" s="65">
        <v>183</v>
      </c>
      <c r="O31" s="39">
        <v>27</v>
      </c>
      <c r="P31" s="39">
        <v>286</v>
      </c>
      <c r="Q31" s="41">
        <f>1000-SUM(N31:P31,R31)</f>
        <v>387</v>
      </c>
      <c r="R31" s="42">
        <v>117</v>
      </c>
      <c r="S31" s="38">
        <f t="shared" si="8"/>
        <v>2.9279999999999999</v>
      </c>
      <c r="T31" s="91">
        <f>2.7/1000*100</f>
        <v>0.27</v>
      </c>
      <c r="U31" s="92">
        <f>25.6/1000*100</f>
        <v>2.56</v>
      </c>
      <c r="V31" s="11" t="s">
        <v>316</v>
      </c>
      <c r="W31" s="11" t="s">
        <v>488</v>
      </c>
      <c r="X31" s="68"/>
      <c r="Y31" s="37"/>
      <c r="Z31" s="54"/>
      <c r="AA31" s="54"/>
      <c r="AB31" s="54"/>
      <c r="AC31" s="37"/>
      <c r="AD31" s="54"/>
      <c r="AE31" s="54"/>
      <c r="AF31" s="55"/>
      <c r="AG31" s="38"/>
      <c r="AH31" s="91"/>
      <c r="AI31" s="92"/>
      <c r="AL31" s="68"/>
      <c r="AM31" s="59"/>
    </row>
    <row r="32" spans="2:39" x14ac:dyDescent="0.25">
      <c r="B32" t="s">
        <v>48</v>
      </c>
      <c r="C32" s="65">
        <f>AVERAGE(Y32,K32)</f>
        <v>87</v>
      </c>
      <c r="D32" s="64">
        <f t="shared" si="25"/>
        <v>18.194124000000002</v>
      </c>
      <c r="E32" s="38">
        <f t="shared" si="18"/>
        <v>2.6399999999999997</v>
      </c>
      <c r="F32" s="91">
        <f t="shared" si="19"/>
        <v>1.1950000000000001</v>
      </c>
      <c r="G32" s="92">
        <f t="shared" si="20"/>
        <v>1.35</v>
      </c>
      <c r="H32" s="4"/>
      <c r="I32" s="4"/>
      <c r="J32" s="68">
        <f>MATCH($B32,ruminants!$A$3:$A$120,0)</f>
        <v>111</v>
      </c>
      <c r="K32" s="37">
        <f>INDEX(ruminants!$D$3:$AH$120,$J32,K$4)</f>
        <v>87</v>
      </c>
      <c r="L32" s="77">
        <f t="shared" si="11"/>
        <v>18.194124000000002</v>
      </c>
      <c r="M32" s="38">
        <f>INDEX(ruminants!$D$3:$AH$120,$J32,M$4)</f>
        <v>11</v>
      </c>
      <c r="N32" s="65">
        <f>INDEX(ruminants!$D$3:$AH$120,$J32,N$4)</f>
        <v>160</v>
      </c>
      <c r="O32" s="39">
        <f>INDEX(ruminants!$D$3:$AH$120,$J32,O$4)</f>
        <v>45</v>
      </c>
      <c r="P32" s="39">
        <f>INDEX(ruminants!$D$3:$AH$120,$J32,P$4)</f>
        <v>115</v>
      </c>
      <c r="Q32" s="39">
        <f>INDEX(ruminants!$D$3:$AH$120,$J32,Q$4)</f>
        <v>620</v>
      </c>
      <c r="R32" s="42">
        <f>INDEX(ruminants!$D$3:$AH$120,$J32,R$4)</f>
        <v>60</v>
      </c>
      <c r="S32" s="38">
        <f t="shared" si="8"/>
        <v>2.56</v>
      </c>
      <c r="T32" s="91">
        <f>INDEX(ruminants!$D$3:$AH$120,$J32,T$4)/1000*100</f>
        <v>1.2</v>
      </c>
      <c r="U32" s="92">
        <f>INDEX(ruminants!$D$3:$AH$120,$J32,U$4)/1000*100</f>
        <v>1.2</v>
      </c>
      <c r="X32" s="68">
        <f>MATCH($B32,pigs!$A$3:$A$60,0)</f>
        <v>55</v>
      </c>
      <c r="Y32" s="37">
        <f>INDEX(pigs!$D$3:$AO$60,$X32,Y$4)</f>
        <v>87</v>
      </c>
      <c r="Z32" s="77">
        <f t="shared" ref="Z32:Z37" si="26">( 5.7*AC32+9.4*AD32+4.1*(AE32) ) * 0.004184</f>
        <v>18.184500799999999</v>
      </c>
      <c r="AA32" s="54">
        <f>INDEX(pigs!$D$3:$AO$60,$X32,AA$4)</f>
        <v>7.2</v>
      </c>
      <c r="AB32" s="54">
        <f>INDEX(pigs!$D$3:$AO$60,$X32,AB$4)</f>
        <v>7.8</v>
      </c>
      <c r="AC32" s="37">
        <f>INDEX(pigs!$D$3:$AO$60,$X32,AC$4)</f>
        <v>170</v>
      </c>
      <c r="AD32" s="54">
        <f>INDEX(pigs!$D$3:$AO$60,$X32,AD$4)</f>
        <v>40</v>
      </c>
      <c r="AE32" s="41">
        <f t="shared" ref="AE32:AE36" si="27">1000-SUM(AC32:AD32,AF32)</f>
        <v>732</v>
      </c>
      <c r="AF32" s="55">
        <f>INDEX(pigs!$D$3:$AO$60,$X32,AF$4)</f>
        <v>58</v>
      </c>
      <c r="AG32" s="38">
        <f t="shared" si="14"/>
        <v>2.7199999999999998</v>
      </c>
      <c r="AH32" s="91">
        <f>INDEX(pigs!$D$3:$AO$60,$X32,AH$4)/1000*100</f>
        <v>1.1900000000000002</v>
      </c>
      <c r="AI32" s="92">
        <f>INDEX(pigs!$D$3:$AO$60,$X32,AI$4)/1000*100</f>
        <v>1.5</v>
      </c>
      <c r="AL32" s="68">
        <f>MATCH($B32,poultry!$A$3:$A$41,0)</f>
        <v>38</v>
      </c>
      <c r="AM32" s="59">
        <f>INDEX(poultry!$D$3:$U$41,$AL32,AM$4)</f>
        <v>87</v>
      </c>
    </row>
    <row r="33" spans="2:39" x14ac:dyDescent="0.25">
      <c r="B33" t="s">
        <v>49</v>
      </c>
      <c r="C33" s="65">
        <f>AVERAGE(Y33,K33)</f>
        <v>87.8</v>
      </c>
      <c r="D33" s="64">
        <f t="shared" si="25"/>
        <v>18.472360000000002</v>
      </c>
      <c r="E33" s="38">
        <f t="shared" si="18"/>
        <v>2.6160000000000001</v>
      </c>
      <c r="F33" s="91">
        <f t="shared" si="19"/>
        <v>0.81500000000000006</v>
      </c>
      <c r="G33" s="92">
        <f t="shared" si="20"/>
        <v>0.96</v>
      </c>
      <c r="H33" s="4"/>
      <c r="I33" s="4"/>
      <c r="J33" s="68"/>
      <c r="K33" s="65">
        <v>87.6</v>
      </c>
      <c r="L33" s="77">
        <f t="shared" si="11"/>
        <v>18.472360000000002</v>
      </c>
      <c r="M33" s="38">
        <v>13.3</v>
      </c>
      <c r="N33" s="65">
        <v>151</v>
      </c>
      <c r="O33" s="39">
        <v>27</v>
      </c>
      <c r="P33" s="39">
        <v>11</v>
      </c>
      <c r="Q33" s="41">
        <f>1000-SUM(N33:P33,R33)</f>
        <v>794</v>
      </c>
      <c r="R33" s="45">
        <v>17</v>
      </c>
      <c r="S33" s="38">
        <f t="shared" si="8"/>
        <v>2.4159999999999999</v>
      </c>
      <c r="T33" s="91">
        <f>4.4/1000*100</f>
        <v>0.44</v>
      </c>
      <c r="U33" s="92">
        <f>6.2/1000*100</f>
        <v>0.62</v>
      </c>
      <c r="V33" s="11" t="s">
        <v>508</v>
      </c>
      <c r="W33" s="11" t="s">
        <v>488</v>
      </c>
      <c r="X33" s="68">
        <f>MATCH($B33,pigs!$A$3:$A$60,0)</f>
        <v>54</v>
      </c>
      <c r="Y33" s="37">
        <f>INDEX(pigs!$D$3:$AO$60,$X33,Y$4)</f>
        <v>88</v>
      </c>
      <c r="Z33" s="77">
        <f t="shared" si="26"/>
        <v>18.379056800000001</v>
      </c>
      <c r="AA33" s="54">
        <f>INDEX(pigs!$D$3:$AO$60,$X33,AA$4)</f>
        <v>8.6999999999999993</v>
      </c>
      <c r="AB33" s="54">
        <f>INDEX(pigs!$D$3:$AO$60,$X33,AB$4)</f>
        <v>9.1999999999999993</v>
      </c>
      <c r="AC33" s="37">
        <f>INDEX(pigs!$D$3:$AO$60,$X33,AC$4)</f>
        <v>176</v>
      </c>
      <c r="AD33" s="54">
        <f>INDEX(pigs!$D$3:$AO$60,$X33,AD$4)</f>
        <v>40</v>
      </c>
      <c r="AE33" s="41">
        <f t="shared" si="27"/>
        <v>735</v>
      </c>
      <c r="AF33" s="55">
        <f>INDEX(pigs!$D$3:$AO$60,$X33,AF$4)</f>
        <v>49</v>
      </c>
      <c r="AG33" s="38">
        <f t="shared" si="14"/>
        <v>2.8160000000000003</v>
      </c>
      <c r="AH33" s="91">
        <f>INDEX(pigs!$D$3:$AO$60,$X33,AH$4)/1000*100</f>
        <v>1.1900000000000002</v>
      </c>
      <c r="AI33" s="92">
        <f>INDEX(pigs!$D$3:$AO$60,$X33,AI$4)/1000*100</f>
        <v>1.3</v>
      </c>
      <c r="AL33" s="68">
        <f>MATCH($B33,poultry!$A$3:$A$41,0)</f>
        <v>36</v>
      </c>
      <c r="AM33" s="59">
        <f>INDEX(poultry!$D$3:$U$41,$AL33,AM$4)</f>
        <v>87</v>
      </c>
    </row>
    <row r="34" spans="2:39" x14ac:dyDescent="0.25">
      <c r="B34" t="s">
        <v>50</v>
      </c>
      <c r="C34" s="65">
        <f>AVERAGE(Y34,K34)</f>
        <v>90</v>
      </c>
      <c r="D34" s="64">
        <f t="shared" si="25"/>
        <v>19.659779199999999</v>
      </c>
      <c r="E34" s="38">
        <f t="shared" si="18"/>
        <v>5.2799999999999994</v>
      </c>
      <c r="F34" s="91">
        <f t="shared" si="19"/>
        <v>0.88</v>
      </c>
      <c r="G34" s="92">
        <f t="shared" si="20"/>
        <v>1.165</v>
      </c>
      <c r="H34" s="4"/>
      <c r="I34" s="4"/>
      <c r="J34" s="68">
        <f>MATCH($B34,ruminants!$A$3:$A$120,0)</f>
        <v>109</v>
      </c>
      <c r="K34" s="37">
        <f>INDEX(ruminants!$D$3:$AH$120,$J34,K$4)</f>
        <v>90</v>
      </c>
      <c r="L34" s="77">
        <f t="shared" si="11"/>
        <v>19.659779199999999</v>
      </c>
      <c r="M34" s="38">
        <f>INDEX(ruminants!$D$3:$AH$120,$J34,M$4)</f>
        <v>13.3</v>
      </c>
      <c r="N34" s="65">
        <f>INDEX(ruminants!$D$3:$AH$120,$J34,N$4)</f>
        <v>320</v>
      </c>
      <c r="O34" s="39">
        <f>INDEX(ruminants!$D$3:$AH$120,$J34,O$4)</f>
        <v>45</v>
      </c>
      <c r="P34" s="39">
        <f>INDEX(ruminants!$D$3:$AH$120,$J34,P$4)</f>
        <v>106</v>
      </c>
      <c r="Q34" s="39">
        <f>INDEX(ruminants!$D$3:$AH$120,$J34,Q$4)</f>
        <v>492</v>
      </c>
      <c r="R34" s="42">
        <f>INDEX(ruminants!$D$3:$AH$120,$J34,R$4)</f>
        <v>37</v>
      </c>
      <c r="S34" s="38">
        <f t="shared" si="8"/>
        <v>5.12</v>
      </c>
      <c r="T34" s="91">
        <f>INDEX(ruminants!$D$3:$AH$120,$J34,T$4)/1000*100</f>
        <v>1.03</v>
      </c>
      <c r="U34" s="92">
        <f>INDEX(ruminants!$D$3:$AH$120,$J34,U$4)/1000*100</f>
        <v>1.3699999999999999</v>
      </c>
      <c r="X34" s="68">
        <f>MATCH($B34,pigs!$A$3:$A$60,0)</f>
        <v>3</v>
      </c>
      <c r="Y34" s="37">
        <f>INDEX(pigs!$D$3:$AO$60,$X34,Y$4)</f>
        <v>90</v>
      </c>
      <c r="Z34" s="77">
        <f t="shared" si="26"/>
        <v>20.139265599999998</v>
      </c>
      <c r="AA34" s="54">
        <f>INDEX(pigs!$D$3:$AO$60,$X34,AA$4)</f>
        <v>8.1</v>
      </c>
      <c r="AB34" s="54">
        <f>INDEX(pigs!$D$3:$AO$60,$X34,AB$4)</f>
        <v>8.6999999999999993</v>
      </c>
      <c r="AC34" s="37">
        <f>INDEX(pigs!$D$3:$AO$60,$X34,AC$4)</f>
        <v>340</v>
      </c>
      <c r="AD34" s="54">
        <f>INDEX(pigs!$D$3:$AO$60,$X34,AD$4)</f>
        <v>66</v>
      </c>
      <c r="AE34" s="41">
        <f t="shared" si="27"/>
        <v>550</v>
      </c>
      <c r="AF34" s="55">
        <f>INDEX(pigs!$D$3:$AO$60,$X34,AF$4)</f>
        <v>44</v>
      </c>
      <c r="AG34" s="38">
        <f t="shared" si="14"/>
        <v>5.4399999999999995</v>
      </c>
      <c r="AH34" s="91">
        <f>INDEX(pigs!$D$3:$AO$60,$X34,AH$4)/1000*100</f>
        <v>0.73</v>
      </c>
      <c r="AI34" s="92">
        <f>INDEX(pigs!$D$3:$AO$60,$X34,AI$4)/1000*100</f>
        <v>0.96</v>
      </c>
      <c r="AL34" s="68"/>
      <c r="AM34" s="59"/>
    </row>
    <row r="35" spans="2:39" x14ac:dyDescent="0.25">
      <c r="B35" t="s">
        <v>51</v>
      </c>
      <c r="C35" s="65">
        <f>AVERAGE(Y35,K35)</f>
        <v>11</v>
      </c>
      <c r="D35" s="64">
        <f>Z35</f>
        <v>18.8602168</v>
      </c>
      <c r="E35" s="38">
        <f t="shared" si="18"/>
        <v>4.4800000000000004</v>
      </c>
      <c r="F35" s="91">
        <f t="shared" si="19"/>
        <v>1.0900000000000001</v>
      </c>
      <c r="G35" s="92">
        <f t="shared" si="20"/>
        <v>0</v>
      </c>
      <c r="H35" s="4"/>
      <c r="I35" s="4"/>
      <c r="J35" s="68"/>
      <c r="K35" s="37"/>
      <c r="L35" s="54"/>
      <c r="M35" s="38"/>
      <c r="N35" s="65"/>
      <c r="O35" s="39"/>
      <c r="P35" s="39"/>
      <c r="Q35" s="39"/>
      <c r="R35" s="42"/>
      <c r="S35" s="38"/>
      <c r="T35" s="39"/>
      <c r="U35" s="42"/>
      <c r="X35" s="68">
        <f>MATCH($B35,pigs!$A$3:$A$60,0)</f>
        <v>1</v>
      </c>
      <c r="Y35" s="37">
        <f>INDEX(pigs!$D$3:$AO$60,$X35,Y$4)</f>
        <v>11</v>
      </c>
      <c r="Z35" s="77">
        <f t="shared" si="26"/>
        <v>18.8602168</v>
      </c>
      <c r="AA35" s="54">
        <f>INDEX(pigs!$D$3:$AO$60,$X35,AA$4)</f>
        <v>8.1999999999999993</v>
      </c>
      <c r="AB35" s="54">
        <f>INDEX(pigs!$D$3:$AO$60,$X35,AB$4)</f>
        <v>8.9</v>
      </c>
      <c r="AC35" s="37">
        <f>INDEX(pigs!$D$3:$AO$60,$X35,AC$4)</f>
        <v>280</v>
      </c>
      <c r="AD35" s="54">
        <f>INDEX(pigs!$D$3:$AO$60,$X35,AD$4)</f>
        <v>45</v>
      </c>
      <c r="AE35" s="41">
        <f t="shared" si="27"/>
        <v>607</v>
      </c>
      <c r="AF35" s="55">
        <f>INDEX(pigs!$D$3:$AO$60,$X35,AF$4)</f>
        <v>68</v>
      </c>
      <c r="AG35" s="38">
        <f t="shared" si="14"/>
        <v>4.4800000000000004</v>
      </c>
      <c r="AH35" s="91">
        <f>INDEX(pigs!$D$3:$AO$60,$X35,AH$4)/1000*100</f>
        <v>1.0900000000000001</v>
      </c>
      <c r="AI35" s="92">
        <f>INDEX(pigs!$D$3:$AO$60,$X35,AI$4)/1000*100</f>
        <v>0</v>
      </c>
      <c r="AL35" s="68"/>
      <c r="AM35" s="59"/>
    </row>
    <row r="36" spans="2:39" x14ac:dyDescent="0.25">
      <c r="B36" t="s">
        <v>309</v>
      </c>
      <c r="C36" s="65">
        <f>AVERAGE(Y36,K36)</f>
        <v>90</v>
      </c>
      <c r="D36" s="64">
        <f>L36</f>
        <v>19.848896</v>
      </c>
      <c r="E36" s="38">
        <f t="shared" si="18"/>
        <v>3.984</v>
      </c>
      <c r="F36" s="91">
        <f t="shared" si="19"/>
        <v>0.56000000000000005</v>
      </c>
      <c r="G36" s="92">
        <f t="shared" si="20"/>
        <v>0.19500000000000001</v>
      </c>
      <c r="H36" s="4"/>
      <c r="I36" s="4"/>
      <c r="J36" s="68">
        <f>MATCH($B36,ruminants!$A$3:$A$120,0)</f>
        <v>38</v>
      </c>
      <c r="K36" s="37">
        <f>INDEX(ruminants!$D$3:$AH$120,$J36,K$4)</f>
        <v>90</v>
      </c>
      <c r="L36" s="77">
        <f t="shared" si="11"/>
        <v>19.848896</v>
      </c>
      <c r="M36" s="38">
        <f>INDEX(ruminants!$D$3:$AH$120,$J36,M$4)</f>
        <v>11.6</v>
      </c>
      <c r="N36" s="65">
        <f>INDEX(ruminants!$D$3:$AH$120,$J36,N$4)</f>
        <v>240</v>
      </c>
      <c r="O36" s="39">
        <f>INDEX(ruminants!$D$3:$AH$120,$J36,O$4)</f>
        <v>80</v>
      </c>
      <c r="P36" s="39">
        <f>INDEX(ruminants!$D$3:$AH$120,$J36,P$4)</f>
        <v>170</v>
      </c>
      <c r="Q36" s="39">
        <f>INDEX(ruminants!$D$3:$AH$120,$J36,Q$4)</f>
        <v>470</v>
      </c>
      <c r="R36" s="42">
        <f>INDEX(ruminants!$D$3:$AH$120,$J36,R$4)</f>
        <v>40</v>
      </c>
      <c r="S36" s="38">
        <f t="shared" si="8"/>
        <v>3.84</v>
      </c>
      <c r="T36" s="91">
        <f>INDEX(ruminants!$D$3:$AH$120,$J36,T$4)/1000*100</f>
        <v>0.54999999999999993</v>
      </c>
      <c r="U36" s="92">
        <f>INDEX(ruminants!$D$3:$AH$120,$J36,U$4)/1000*100</f>
        <v>0.1</v>
      </c>
      <c r="X36" s="68"/>
      <c r="Y36" s="37">
        <v>90</v>
      </c>
      <c r="Z36" s="77">
        <f t="shared" si="26"/>
        <v>19.578191199999999</v>
      </c>
      <c r="AA36" s="74">
        <v>6.6</v>
      </c>
      <c r="AB36" s="83">
        <f>AB34/AA34*AA36</f>
        <v>7.0888888888888877</v>
      </c>
      <c r="AC36" s="88">
        <v>258</v>
      </c>
      <c r="AD36" s="74">
        <v>67</v>
      </c>
      <c r="AE36" s="41">
        <f t="shared" si="27"/>
        <v>629</v>
      </c>
      <c r="AF36" s="45">
        <v>46</v>
      </c>
      <c r="AG36" s="38">
        <f t="shared" si="14"/>
        <v>4.1280000000000001</v>
      </c>
      <c r="AH36" s="91">
        <f>5.7/1000*100</f>
        <v>0.57000000000000006</v>
      </c>
      <c r="AI36" s="92">
        <f>2.9/1000*100</f>
        <v>0.28999999999999998</v>
      </c>
      <c r="AJ36" s="11" t="s">
        <v>312</v>
      </c>
      <c r="AK36" s="11" t="s">
        <v>488</v>
      </c>
      <c r="AL36" s="68"/>
      <c r="AM36" s="59"/>
    </row>
    <row r="37" spans="2:39" x14ac:dyDescent="0.25">
      <c r="B37" t="s">
        <v>384</v>
      </c>
      <c r="C37" s="65">
        <f>AVERAGE(Y37,K37,AM37)</f>
        <v>88.5</v>
      </c>
      <c r="D37" s="64">
        <f>Z37</f>
        <v>22.900705599999998</v>
      </c>
      <c r="E37" s="38">
        <f t="shared" si="18"/>
        <v>10.832000000000001</v>
      </c>
      <c r="F37" s="91">
        <f t="shared" si="19"/>
        <v>0.64</v>
      </c>
      <c r="G37" s="92">
        <f t="shared" si="20"/>
        <v>0.54999999999999993</v>
      </c>
      <c r="H37" s="4"/>
      <c r="I37" s="4"/>
      <c r="J37" s="68"/>
      <c r="K37" s="37"/>
      <c r="L37" s="54"/>
      <c r="M37" s="38"/>
      <c r="N37" s="65"/>
      <c r="O37" s="39"/>
      <c r="P37" s="39"/>
      <c r="Q37" s="39"/>
      <c r="R37" s="42"/>
      <c r="S37" s="38"/>
      <c r="T37" s="39"/>
      <c r="U37" s="42"/>
      <c r="X37" s="68">
        <f>MATCH($B37,pigs!$A$3:$A$60,0)</f>
        <v>22</v>
      </c>
      <c r="Y37" s="37">
        <f>INDEX(pigs!$D$3:$AO$60,$X37,Y$4)</f>
        <v>90</v>
      </c>
      <c r="Z37" s="77">
        <f t="shared" si="26"/>
        <v>22.900705599999998</v>
      </c>
      <c r="AA37" s="54">
        <f>INDEX(pigs!$D$3:$AO$60,$X37,AA$4)</f>
        <v>12.9</v>
      </c>
      <c r="AB37" s="54">
        <f>INDEX(pigs!$D$3:$AO$60,$X37,AB$4)</f>
        <v>13.3</v>
      </c>
      <c r="AC37" s="37">
        <f>INDEX(pigs!$D$3:$AO$60,$X37,AC$4)</f>
        <v>677</v>
      </c>
      <c r="AD37" s="54">
        <f>INDEX(pigs!$D$3:$AO$60,$X37,AD$4)</f>
        <v>71</v>
      </c>
      <c r="AE37" s="41">
        <f t="shared" ref="AE37" si="28">1000-SUM(AC37:AD37,AF37)</f>
        <v>231</v>
      </c>
      <c r="AF37" s="55">
        <f>INDEX(pigs!$D$3:$AO$60,$X37,AF$4)</f>
        <v>21</v>
      </c>
      <c r="AG37" s="38">
        <f t="shared" si="14"/>
        <v>10.832000000000001</v>
      </c>
      <c r="AH37" s="91">
        <f>INDEX(pigs!$D$3:$AO$60,$X37,AH$4)/1000*100</f>
        <v>0.64</v>
      </c>
      <c r="AI37" s="92">
        <f>INDEX(pigs!$D$3:$AO$60,$X37,AI$4)/1000*100</f>
        <v>0.54999999999999993</v>
      </c>
      <c r="AJ37" s="11"/>
      <c r="AK37" s="11"/>
      <c r="AL37" s="68">
        <f>MATCH($B37,poultry!$A$3:$A$41,0)</f>
        <v>25</v>
      </c>
      <c r="AM37" s="59">
        <f>INDEX(poultry!$D$3:$U$41,$AL37,AM$4)</f>
        <v>87</v>
      </c>
    </row>
    <row r="38" spans="2:39" x14ac:dyDescent="0.25">
      <c r="B38" t="s">
        <v>52</v>
      </c>
      <c r="C38" s="65">
        <f t="shared" ref="C38:C43" si="29">AVERAGE(Y38,K38)</f>
        <v>75.5</v>
      </c>
      <c r="D38" s="64">
        <f>L38</f>
        <v>16.1615368</v>
      </c>
      <c r="E38" s="38">
        <f t="shared" si="18"/>
        <v>2.2080000000000002</v>
      </c>
      <c r="F38" s="91">
        <f t="shared" si="19"/>
        <v>0.03</v>
      </c>
      <c r="G38" s="92">
        <f t="shared" si="20"/>
        <v>3.6500000000000004</v>
      </c>
      <c r="H38" s="4"/>
      <c r="I38" s="4"/>
      <c r="J38" s="68">
        <f>MATCH($B38,ruminants!$A$3:$A$120,0)</f>
        <v>88</v>
      </c>
      <c r="K38" s="37">
        <f>INDEX(ruminants!$D$3:$AH$120,$J38,K$4)</f>
        <v>75</v>
      </c>
      <c r="L38" s="77">
        <f t="shared" si="11"/>
        <v>16.1615368</v>
      </c>
      <c r="M38" s="38">
        <f>INDEX(ruminants!$D$3:$AH$120,$J38,M$4)</f>
        <v>12.4</v>
      </c>
      <c r="N38" s="65">
        <f>INDEX(ruminants!$D$3:$AH$120,$J38,N$4)</f>
        <v>131</v>
      </c>
      <c r="O38" s="39">
        <f>INDEX(ruminants!$D$3:$AH$120,$J38,O$4)</f>
        <v>0</v>
      </c>
      <c r="P38" s="39">
        <f>INDEX(ruminants!$D$3:$AH$120,$J38,P$4)</f>
        <v>0</v>
      </c>
      <c r="Q38" s="39">
        <f>INDEX(ruminants!$D$3:$AH$120,$J38,Q$4)</f>
        <v>760</v>
      </c>
      <c r="R38" s="42">
        <f>INDEX(ruminants!$D$3:$AH$120,$J38,R$4)</f>
        <v>109</v>
      </c>
      <c r="S38" s="38">
        <f t="shared" si="8"/>
        <v>2.0960000000000001</v>
      </c>
      <c r="T38" s="91">
        <f>INDEX(ruminants!$D$3:$AH$120,$J38,T$4)/1000*100</f>
        <v>0.02</v>
      </c>
      <c r="U38" s="92">
        <f>INDEX(ruminants!$D$3:$AH$120,$J38,U$4)/1000*100</f>
        <v>4.5</v>
      </c>
      <c r="X38" s="68">
        <f>MATCH($B38,pigs!$A$3:$A$60,0)</f>
        <v>23</v>
      </c>
      <c r="Y38" s="37">
        <f>INDEX(pigs!$D$3:$AO$60,$X38,Y$4)</f>
        <v>76</v>
      </c>
      <c r="Z38" s="77">
        <f t="shared" ref="Z38:Z43" si="30">( 5.7*AC38+9.4*AD38+4.1*(AE38) ) * 0.004184</f>
        <v>15.9565208</v>
      </c>
      <c r="AA38" s="54">
        <f>INDEX(pigs!$D$3:$AO$60,$X38,AA$4)</f>
        <v>8.6999999999999993</v>
      </c>
      <c r="AB38" s="54">
        <f>INDEX(pigs!$D$3:$AO$60,$X38,AB$4)</f>
        <v>9</v>
      </c>
      <c r="AC38" s="37">
        <f>INDEX(pigs!$D$3:$AO$60,$X38,AC$4)</f>
        <v>145</v>
      </c>
      <c r="AD38" s="54">
        <f>INDEX(pigs!$D$3:$AO$60,$X38,AD$4)</f>
        <v>2</v>
      </c>
      <c r="AE38" s="41">
        <f t="shared" ref="AE38:AE43" si="31">1000-SUM(AC38:AD38,AF38)</f>
        <v>724</v>
      </c>
      <c r="AF38" s="55">
        <f>INDEX(pigs!$D$3:$AO$60,$X38,AF$4)</f>
        <v>129</v>
      </c>
      <c r="AG38" s="38">
        <f t="shared" si="14"/>
        <v>2.3199999999999998</v>
      </c>
      <c r="AH38" s="91">
        <f>INDEX(pigs!$D$3:$AO$60,$X38,AH$4)/1000*100</f>
        <v>0.04</v>
      </c>
      <c r="AI38" s="92">
        <f>INDEX(pigs!$D$3:$AO$60,$X38,AI$4)/1000*100</f>
        <v>2.8000000000000003</v>
      </c>
      <c r="AL38" s="68"/>
      <c r="AM38" s="59"/>
    </row>
    <row r="39" spans="2:39" x14ac:dyDescent="0.25">
      <c r="B39" t="s">
        <v>53</v>
      </c>
      <c r="C39" s="65">
        <f t="shared" si="29"/>
        <v>89.5</v>
      </c>
      <c r="D39" s="64">
        <f>L39</f>
        <v>17.334312000000001</v>
      </c>
      <c r="E39" s="38">
        <f t="shared" si="18"/>
        <v>1.448</v>
      </c>
      <c r="F39" s="91">
        <f t="shared" si="19"/>
        <v>0.1</v>
      </c>
      <c r="G39" s="92">
        <f t="shared" si="20"/>
        <v>0.48499999999999999</v>
      </c>
      <c r="H39" s="4"/>
      <c r="I39" s="4"/>
      <c r="J39" s="68">
        <f>MATCH($B39,ruminants!$A$3:$A$120,0)</f>
        <v>91</v>
      </c>
      <c r="K39" s="37">
        <f>INDEX(ruminants!$D$3:$AH$120,$J39,K$4)</f>
        <v>90</v>
      </c>
      <c r="L39" s="77">
        <f t="shared" si="11"/>
        <v>17.334312000000001</v>
      </c>
      <c r="M39" s="38">
        <f>INDEX(ruminants!$D$3:$AH$120,$J39,M$4)</f>
        <v>12.3</v>
      </c>
      <c r="N39" s="65">
        <f>INDEX(ruminants!$D$3:$AH$120,$J39,N$4)</f>
        <v>90</v>
      </c>
      <c r="O39" s="39">
        <f>INDEX(ruminants!$D$3:$AH$120,$J39,O$4)</f>
        <v>32</v>
      </c>
      <c r="P39" s="39">
        <f>INDEX(ruminants!$D$3:$AH$120,$J39,P$4)</f>
        <v>187</v>
      </c>
      <c r="Q39" s="39">
        <f>INDEX(ruminants!$D$3:$AH$120,$J39,Q$4)</f>
        <v>625</v>
      </c>
      <c r="R39" s="42">
        <f>INDEX(ruminants!$D$3:$AH$120,$J39,R$4)</f>
        <v>66</v>
      </c>
      <c r="S39" s="38">
        <f t="shared" si="8"/>
        <v>1.44</v>
      </c>
      <c r="T39" s="91">
        <f>INDEX(ruminants!$D$3:$AH$120,$J39,T$4)/1000*100</f>
        <v>0.1</v>
      </c>
      <c r="U39" s="92">
        <f>INDEX(ruminants!$D$3:$AH$120,$J39,U$4)/1000*100</f>
        <v>0.6</v>
      </c>
      <c r="X39" s="68">
        <f>MATCH($B39,pigs!$A$3:$A$60,0)</f>
        <v>4</v>
      </c>
      <c r="Y39" s="37">
        <f>INDEX(pigs!$D$3:$AO$60,$X39,Y$4)</f>
        <v>89</v>
      </c>
      <c r="Z39" s="77">
        <f t="shared" si="30"/>
        <v>16.664453599999998</v>
      </c>
      <c r="AA39" s="54">
        <f>INDEX(pigs!$D$3:$AO$60,$X39,AA$4)</f>
        <v>6.9</v>
      </c>
      <c r="AB39" s="54">
        <f>INDEX(pigs!$D$3:$AO$60,$X39,AB$4)</f>
        <v>8</v>
      </c>
      <c r="AC39" s="37">
        <f>INDEX(pigs!$D$3:$AO$60,$X39,AC$4)</f>
        <v>91</v>
      </c>
      <c r="AD39" s="54">
        <f>INDEX(pigs!$D$3:$AO$60,$X39,AD$4)</f>
        <v>10</v>
      </c>
      <c r="AE39" s="41">
        <f t="shared" si="31"/>
        <v>822</v>
      </c>
      <c r="AF39" s="55">
        <f>INDEX(pigs!$D$3:$AO$60,$X39,AF$4)</f>
        <v>77</v>
      </c>
      <c r="AG39" s="38">
        <f t="shared" si="14"/>
        <v>1.456</v>
      </c>
      <c r="AH39" s="91">
        <f>INDEX(pigs!$D$3:$AO$60,$X39,AH$4)/1000*100</f>
        <v>0.1</v>
      </c>
      <c r="AI39" s="92">
        <f>INDEX(pigs!$D$3:$AO$60,$X39,AI$4)/1000*100</f>
        <v>0.37</v>
      </c>
      <c r="AL39" s="68"/>
      <c r="AM39" s="59"/>
    </row>
    <row r="40" spans="2:39" x14ac:dyDescent="0.25">
      <c r="B40" t="s">
        <v>54</v>
      </c>
      <c r="C40" s="65">
        <f t="shared" si="29"/>
        <v>6.25</v>
      </c>
      <c r="D40" s="64">
        <f>L40</f>
        <v>16.464040000000001</v>
      </c>
      <c r="E40" s="38">
        <f t="shared" si="18"/>
        <v>1.8800000000000001</v>
      </c>
      <c r="F40" s="91">
        <f t="shared" si="19"/>
        <v>0.76</v>
      </c>
      <c r="G40" s="92">
        <f t="shared" si="20"/>
        <v>2.355</v>
      </c>
      <c r="H40" s="4"/>
      <c r="I40" s="4"/>
      <c r="J40" s="68">
        <f>MATCH($B40,ruminants!$A$3:$A$120,0)</f>
        <v>57</v>
      </c>
      <c r="K40" s="37">
        <f>INDEX(ruminants!$D$3:$AH$120,$J40,K$4)</f>
        <v>7</v>
      </c>
      <c r="L40" s="77">
        <f t="shared" si="11"/>
        <v>16.464040000000001</v>
      </c>
      <c r="M40" s="38">
        <f>INDEX(ruminants!$D$3:$AH$120,$J40,M$4)</f>
        <v>13.6</v>
      </c>
      <c r="N40" s="65">
        <f>INDEX(ruminants!$D$3:$AH$120,$J40,N$4)</f>
        <v>120</v>
      </c>
      <c r="O40" s="39">
        <f>INDEX(ruminants!$D$3:$AH$120,$J40,O$4)</f>
        <v>10</v>
      </c>
      <c r="P40" s="39">
        <f>INDEX(ruminants!$D$3:$AH$120,$J40,P$4)</f>
        <v>0</v>
      </c>
      <c r="Q40" s="39">
        <f>INDEX(ruminants!$D$3:$AH$120,$J40,Q$4)</f>
        <v>770</v>
      </c>
      <c r="R40" s="42">
        <f>INDEX(ruminants!$D$3:$AH$120,$J40,R$4)</f>
        <v>100</v>
      </c>
      <c r="S40" s="38">
        <f t="shared" si="8"/>
        <v>1.92</v>
      </c>
      <c r="T40" s="91">
        <f>INDEX(ruminants!$D$3:$AH$120,$J40,T$4)/1000*100</f>
        <v>0.79</v>
      </c>
      <c r="U40" s="92">
        <f>INDEX(ruminants!$D$3:$AH$120,$J40,U$4)/1000*100</f>
        <v>2.4</v>
      </c>
      <c r="X40" s="68">
        <f>MATCH($B40,pigs!$A$3:$A$60,0)</f>
        <v>50</v>
      </c>
      <c r="Y40" s="37">
        <f>INDEX(pigs!$D$3:$AO$60,$X40,Y$4)</f>
        <v>5.5</v>
      </c>
      <c r="Z40" s="77">
        <f t="shared" si="30"/>
        <v>16.870306399999997</v>
      </c>
      <c r="AA40" s="54">
        <f>INDEX(pigs!$D$3:$AO$60,$X40,AA$4)</f>
        <v>12.4</v>
      </c>
      <c r="AB40" s="54">
        <f>INDEX(pigs!$D$3:$AO$60,$X40,AB$4)</f>
        <v>12.2</v>
      </c>
      <c r="AC40" s="37">
        <f>INDEX(pigs!$D$3:$AO$60,$X40,AC$4)</f>
        <v>115</v>
      </c>
      <c r="AD40" s="54">
        <f>INDEX(pigs!$D$3:$AO$60,$X40,AD$4)</f>
        <v>19</v>
      </c>
      <c r="AE40" s="41">
        <f t="shared" si="31"/>
        <v>780</v>
      </c>
      <c r="AF40" s="55">
        <f>INDEX(pigs!$D$3:$AO$60,$X40,AF$4)</f>
        <v>86</v>
      </c>
      <c r="AG40" s="38">
        <f t="shared" si="14"/>
        <v>1.8400000000000003</v>
      </c>
      <c r="AH40" s="91">
        <f>INDEX(pigs!$D$3:$AO$60,$X40,AH$4)/1000*100</f>
        <v>0.73</v>
      </c>
      <c r="AI40" s="92">
        <f>INDEX(pigs!$D$3:$AO$60,$X40,AI$4)/1000*100</f>
        <v>2.31</v>
      </c>
      <c r="AL40" s="68"/>
      <c r="AM40" s="59"/>
    </row>
    <row r="41" spans="2:39" x14ac:dyDescent="0.25">
      <c r="B41" t="s">
        <v>55</v>
      </c>
      <c r="C41" s="65">
        <f t="shared" si="29"/>
        <v>97</v>
      </c>
      <c r="D41" s="64">
        <f>Z41</f>
        <v>16.975324799999999</v>
      </c>
      <c r="E41" s="38">
        <f t="shared" si="18"/>
        <v>2.0960000000000001</v>
      </c>
      <c r="F41" s="91">
        <f t="shared" si="19"/>
        <v>0.72</v>
      </c>
      <c r="G41" s="92">
        <f t="shared" si="20"/>
        <v>2.1</v>
      </c>
      <c r="H41" s="4"/>
      <c r="I41" s="4"/>
      <c r="J41" s="68"/>
      <c r="K41" s="37"/>
      <c r="L41" s="54"/>
      <c r="M41" s="38"/>
      <c r="N41" s="65"/>
      <c r="O41" s="39"/>
      <c r="P41" s="39"/>
      <c r="Q41" s="39"/>
      <c r="R41" s="42"/>
      <c r="S41" s="38"/>
      <c r="T41" s="39"/>
      <c r="U41" s="42"/>
      <c r="X41" s="68">
        <f>MATCH($B41,pigs!$A$3:$A$60,0)</f>
        <v>52</v>
      </c>
      <c r="Y41" s="37">
        <f>INDEX(pigs!$D$3:$AO$60,$X41,Y$4)</f>
        <v>97</v>
      </c>
      <c r="Z41" s="77">
        <f t="shared" si="30"/>
        <v>16.975324799999999</v>
      </c>
      <c r="AA41" s="54">
        <f>INDEX(pigs!$D$3:$AO$60,$X41,AA$4)</f>
        <v>12.4</v>
      </c>
      <c r="AB41" s="54">
        <f>INDEX(pigs!$D$3:$AO$60,$X41,AB$4)</f>
        <v>12.2</v>
      </c>
      <c r="AC41" s="37">
        <f>INDEX(pigs!$D$3:$AO$60,$X41,AC$4)</f>
        <v>131</v>
      </c>
      <c r="AD41" s="54">
        <f>INDEX(pigs!$D$3:$AO$60,$X41,AD$4)</f>
        <v>22</v>
      </c>
      <c r="AE41" s="41">
        <f t="shared" si="31"/>
        <v>757</v>
      </c>
      <c r="AF41" s="55">
        <f>INDEX(pigs!$D$3:$AO$60,$X41,AF$4)</f>
        <v>90</v>
      </c>
      <c r="AG41" s="38">
        <f t="shared" si="14"/>
        <v>2.0960000000000001</v>
      </c>
      <c r="AH41" s="91">
        <f>INDEX(pigs!$D$3:$AO$60,$X41,AH$4)/1000*100</f>
        <v>0.72</v>
      </c>
      <c r="AI41" s="92">
        <f>INDEX(pigs!$D$3:$AO$60,$X41,AI$4)/1000*100</f>
        <v>2.1</v>
      </c>
      <c r="AL41" s="68"/>
      <c r="AM41" s="59"/>
    </row>
    <row r="42" spans="2:39" x14ac:dyDescent="0.25">
      <c r="B42" t="s">
        <v>56</v>
      </c>
      <c r="C42" s="65">
        <f t="shared" si="29"/>
        <v>91</v>
      </c>
      <c r="D42" s="64">
        <f>L42</f>
        <v>23.055932000000002</v>
      </c>
      <c r="E42" s="38">
        <f t="shared" si="18"/>
        <v>13.48</v>
      </c>
      <c r="F42" s="91">
        <f t="shared" si="19"/>
        <v>0.435</v>
      </c>
      <c r="G42" s="92">
        <f t="shared" si="20"/>
        <v>0.81499999999999995</v>
      </c>
      <c r="H42" s="4"/>
      <c r="I42" s="4"/>
      <c r="J42" s="68">
        <f>MATCH($B42,ruminants!$A$3:$A$120,0)</f>
        <v>65</v>
      </c>
      <c r="K42" s="37">
        <f>INDEX(ruminants!$D$3:$AH$120,$J42,K$4)</f>
        <v>90</v>
      </c>
      <c r="L42" s="77">
        <f t="shared" si="11"/>
        <v>23.055932000000002</v>
      </c>
      <c r="M42" s="38">
        <f>INDEX(ruminants!$D$3:$AH$120,$J42,M$4)</f>
        <v>15.5</v>
      </c>
      <c r="N42" s="65">
        <f>INDEX(ruminants!$D$3:$AH$120,$J42,N$4)</f>
        <v>844</v>
      </c>
      <c r="O42" s="39">
        <f>INDEX(ruminants!$D$3:$AH$120,$J42,O$4)</f>
        <v>33</v>
      </c>
      <c r="P42" s="39">
        <f>INDEX(ruminants!$D$3:$AH$120,$J42,P$4)</f>
        <v>4</v>
      </c>
      <c r="Q42" s="39">
        <f>INDEX(ruminants!$D$3:$AH$120,$J42,Q$4)</f>
        <v>91</v>
      </c>
      <c r="R42" s="42">
        <f>INDEX(ruminants!$D$3:$AH$120,$J42,R$4)</f>
        <v>28</v>
      </c>
      <c r="S42" s="38">
        <f t="shared" si="8"/>
        <v>13.504</v>
      </c>
      <c r="T42" s="91">
        <f>INDEX(ruminants!$D$3:$AH$120,$J42,T$4)/1000*100</f>
        <v>0.44</v>
      </c>
      <c r="U42" s="92">
        <f>INDEX(ruminants!$D$3:$AH$120,$J42,U$4)/1000*100</f>
        <v>0.89</v>
      </c>
      <c r="X42" s="68">
        <f>MATCH($B42,pigs!$A$3:$A$60,0)</f>
        <v>31</v>
      </c>
      <c r="Y42" s="37">
        <f>INDEX(pigs!$D$3:$AO$60,$X42,Y$4)</f>
        <v>92</v>
      </c>
      <c r="Z42" s="77">
        <f t="shared" si="30"/>
        <v>22.525819200000001</v>
      </c>
      <c r="AA42" s="54">
        <f>INDEX(pigs!$D$3:$AO$60,$X42,AA$4)</f>
        <v>11.1</v>
      </c>
      <c r="AB42" s="54">
        <f>INDEX(pigs!$D$3:$AO$60,$X42,AB$4)</f>
        <v>11.3</v>
      </c>
      <c r="AC42" s="37">
        <f>INDEX(pigs!$D$3:$AO$60,$X42,AC$4)</f>
        <v>841</v>
      </c>
      <c r="AD42" s="54">
        <f>INDEX(pigs!$D$3:$AO$60,$X42,AD$4)</f>
        <v>10</v>
      </c>
      <c r="AE42" s="41">
        <f t="shared" si="31"/>
        <v>121</v>
      </c>
      <c r="AF42" s="55">
        <f>INDEX(pigs!$D$3:$AO$60,$X42,AF$4)</f>
        <v>28</v>
      </c>
      <c r="AG42" s="38">
        <f t="shared" si="14"/>
        <v>13.456000000000001</v>
      </c>
      <c r="AH42" s="91">
        <f>INDEX(pigs!$D$3:$AO$60,$X42,AH$4)/1000*100</f>
        <v>0.43</v>
      </c>
      <c r="AI42" s="92">
        <f>INDEX(pigs!$D$3:$AO$60,$X42,AI$4)/1000*100</f>
        <v>0.74</v>
      </c>
      <c r="AL42" s="68">
        <f>MATCH($B42,poultry!$A$3:$A$41,0)</f>
        <v>28</v>
      </c>
      <c r="AM42" s="59">
        <f>INDEX(poultry!$D$3:$U$41,$AL42,AM$4)</f>
        <v>90</v>
      </c>
    </row>
    <row r="43" spans="2:39" x14ac:dyDescent="0.25">
      <c r="B43" t="s">
        <v>57</v>
      </c>
      <c r="C43" s="66">
        <f t="shared" si="29"/>
        <v>92</v>
      </c>
      <c r="D43" s="67">
        <f>Z43</f>
        <v>22.254696000000003</v>
      </c>
      <c r="E43" s="95">
        <f t="shared" si="18"/>
        <v>12.160000000000002</v>
      </c>
      <c r="F43" s="93">
        <f t="shared" si="19"/>
        <v>2.4699999999999998</v>
      </c>
      <c r="G43" s="94">
        <f t="shared" si="20"/>
        <v>1.2</v>
      </c>
      <c r="H43" s="4"/>
      <c r="I43" s="4"/>
      <c r="J43" s="68"/>
      <c r="K43" s="50"/>
      <c r="L43" s="51"/>
      <c r="M43" s="51"/>
      <c r="N43" s="66"/>
      <c r="O43" s="52"/>
      <c r="P43" s="52"/>
      <c r="Q43" s="52"/>
      <c r="R43" s="53"/>
      <c r="S43" s="52"/>
      <c r="T43" s="52"/>
      <c r="U43" s="53"/>
      <c r="X43" s="68">
        <f>MATCH($B43,pigs!$A$3:$A$60,0)</f>
        <v>7</v>
      </c>
      <c r="Y43" s="50">
        <f>INDEX(pigs!$D$3:$AO$60,$X43,Y$4)</f>
        <v>92</v>
      </c>
      <c r="Z43" s="78">
        <f t="shared" si="30"/>
        <v>22.254696000000003</v>
      </c>
      <c r="AA43" s="51">
        <f>INDEX(pigs!$D$3:$AO$60,$X43,AA$4)</f>
        <v>10.8</v>
      </c>
      <c r="AB43" s="51">
        <f>INDEX(pigs!$D$3:$AO$60,$X43,AB$4)</f>
        <v>10.8</v>
      </c>
      <c r="AC43" s="50">
        <f>INDEX(pigs!$D$3:$AO$60,$X43,AC$4)</f>
        <v>760</v>
      </c>
      <c r="AD43" s="51">
        <f>INDEX(pigs!$D$3:$AO$60,$X43,AD$4)</f>
        <v>105</v>
      </c>
      <c r="AE43" s="76">
        <f t="shared" si="31"/>
        <v>0</v>
      </c>
      <c r="AF43" s="58">
        <f>INDEX(pigs!$D$3:$AO$60,$X43,AF$4)</f>
        <v>135</v>
      </c>
      <c r="AG43" s="90">
        <f t="shared" si="14"/>
        <v>12.160000000000002</v>
      </c>
      <c r="AH43" s="93">
        <f>INDEX(pigs!$D$3:$AO$60,$X43,AH$4)/1000*100</f>
        <v>2.4699999999999998</v>
      </c>
      <c r="AI43" s="94">
        <f>INDEX(pigs!$D$3:$AO$60,$X43,AI$4)/1000*100</f>
        <v>1.2</v>
      </c>
      <c r="AL43" s="68">
        <f>MATCH($B43,poultry!$A$3:$A$41,0)</f>
        <v>6</v>
      </c>
      <c r="AM43" s="60">
        <f>INDEX(poultry!$D$3:$U$41,$AL43,AM$4)</f>
        <v>92</v>
      </c>
    </row>
    <row r="46" spans="2:39" ht="18.75" x14ac:dyDescent="0.25">
      <c r="B46" s="32" t="s">
        <v>407</v>
      </c>
    </row>
  </sheetData>
  <hyperlinks>
    <hyperlink ref="C1" r:id="rId1"/>
    <hyperlink ref="AJ36" r:id="rId2"/>
    <hyperlink ref="V31" r:id="rId3"/>
    <hyperlink ref="V33" r:id="rId4"/>
    <hyperlink ref="V10" r:id="rId5"/>
    <hyperlink ref="V20" r:id="rId6"/>
    <hyperlink ref="V23" r:id="rId7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M1" workbookViewId="0">
      <selection activeCell="AF16" sqref="AF16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F67" workbookViewId="0">
      <selection activeCell="A117" sqref="A117:XFD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topLeftCell="G1" workbookViewId="0">
      <selection activeCell="X3" sqref="X3:Z14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411</v>
      </c>
      <c r="H2" s="19" t="s">
        <v>412</v>
      </c>
      <c r="I2" s="19" t="s">
        <v>413</v>
      </c>
      <c r="J2" s="19" t="s">
        <v>414</v>
      </c>
      <c r="K2" s="19" t="s">
        <v>415</v>
      </c>
      <c r="L2" s="19" t="s">
        <v>416</v>
      </c>
      <c r="M2" s="19" t="s">
        <v>417</v>
      </c>
      <c r="N2" s="19" t="s">
        <v>418</v>
      </c>
      <c r="O2" s="19" t="s">
        <v>419</v>
      </c>
      <c r="P2" s="19" t="s">
        <v>420</v>
      </c>
      <c r="Q2" s="19" t="s">
        <v>421</v>
      </c>
      <c r="R2" s="19" t="s">
        <v>422</v>
      </c>
      <c r="S2" s="19" t="s">
        <v>423</v>
      </c>
      <c r="T2" s="19" t="s">
        <v>424</v>
      </c>
      <c r="U2" s="19" t="s">
        <v>123</v>
      </c>
      <c r="V2" s="19" t="s">
        <v>425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426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427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428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429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430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431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432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433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434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435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436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437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438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439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440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441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442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443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444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445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446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447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448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449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450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451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452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453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454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455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456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457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458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459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460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461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462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463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464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465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466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467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468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469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470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471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472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473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474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475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476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477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478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479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480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481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482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483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484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2023-09-01T08:58:01Z</dcterms:modified>
</cp:coreProperties>
</file>