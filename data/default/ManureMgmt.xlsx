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020" windowHeight="6705"/>
  </bookViews>
  <sheets>
    <sheet name="default" sheetId="1" r:id="rId1"/>
    <sheet name="references" sheetId="2" r:id="rId2"/>
  </sheets>
  <calcPr calcId="162913"/>
</workbook>
</file>

<file path=xl/calcChain.xml><?xml version="1.0" encoding="utf-8"?>
<calcChain xmlns="http://schemas.openxmlformats.org/spreadsheetml/2006/main">
  <c r="K85" i="1" l="1"/>
  <c r="K81" i="1"/>
  <c r="K79" i="1"/>
  <c r="K77" i="1"/>
  <c r="K75" i="1"/>
  <c r="K74" i="1"/>
  <c r="K73" i="1"/>
  <c r="K72" i="1"/>
  <c r="K71" i="1"/>
  <c r="K70" i="1"/>
  <c r="K69" i="1"/>
  <c r="O31" i="1"/>
  <c r="O30" i="1"/>
  <c r="O29" i="1"/>
  <c r="O28" i="1"/>
  <c r="O27" i="1"/>
  <c r="O26" i="1"/>
  <c r="O25" i="1"/>
  <c r="O24" i="1"/>
  <c r="O23" i="1"/>
  <c r="O22" i="1"/>
  <c r="O18" i="1"/>
  <c r="O19" i="1"/>
  <c r="O20" i="1"/>
  <c r="O21" i="1"/>
  <c r="O17" i="1"/>
  <c r="K86" i="1"/>
  <c r="K83" i="1" l="1"/>
  <c r="K201" i="1"/>
  <c r="K200" i="1"/>
  <c r="K199" i="1"/>
  <c r="K136" i="1"/>
  <c r="K135" i="1"/>
  <c r="K139" i="1"/>
  <c r="K138" i="1"/>
  <c r="K142" i="1"/>
  <c r="K141" i="1"/>
  <c r="K145" i="1"/>
  <c r="K144" i="1"/>
  <c r="K153" i="1" l="1"/>
</calcChain>
</file>

<file path=xl/sharedStrings.xml><?xml version="1.0" encoding="utf-8"?>
<sst xmlns="http://schemas.openxmlformats.org/spreadsheetml/2006/main" count="1500" uniqueCount="159">
  <si>
    <t>value</t>
  </si>
  <si>
    <t>cattle</t>
  </si>
  <si>
    <t>dairy</t>
  </si>
  <si>
    <t>cows</t>
  </si>
  <si>
    <t>manure_excr_VS</t>
  </si>
  <si>
    <t>kg VS DM/head/day</t>
  </si>
  <si>
    <t>NIR 2022 Table 5.15</t>
  </si>
  <si>
    <t>manure_excr_N</t>
  </si>
  <si>
    <t>kg N/head/year</t>
  </si>
  <si>
    <t>beef</t>
  </si>
  <si>
    <t>NIR 2022 Table 5.16</t>
  </si>
  <si>
    <t>NIR 2022 Table 5.17</t>
  </si>
  <si>
    <t>heifers</t>
  </si>
  <si>
    <t>calves</t>
  </si>
  <si>
    <t>Avg &lt;6 and &gt;6 months not accounting for age distribution</t>
  </si>
  <si>
    <t>steers</t>
  </si>
  <si>
    <t>bulls</t>
  </si>
  <si>
    <t>breeding bulls</t>
  </si>
  <si>
    <t>Assume same as bulls</t>
  </si>
  <si>
    <t>grazing</t>
  </si>
  <si>
    <t>mms_share</t>
  </si>
  <si>
    <t>%</t>
  </si>
  <si>
    <t>Einarsson et al 2022. The nitrogen footprint of Swedish food consumption.</t>
  </si>
  <si>
    <t>SHOULD SEPARATE BULLS AND STEERS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</si>
  <si>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</si>
  <si>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</si>
  <si>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</si>
  <si>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</si>
  <si>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</si>
  <si>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</si>
  <si>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</si>
  <si>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</si>
  <si>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</si>
  <si>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</si>
  <si>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</si>
  <si>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</si>
  <si>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</si>
  <si>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</si>
  <si>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</si>
  <si>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</si>
  <si>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</si>
  <si>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</si>
  <si>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</si>
  <si>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</si>
  <si>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</si>
  <si>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</si>
  <si>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pigs for meat</t>
  </si>
  <si>
    <t>other swine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</si>
  <si>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</si>
  <si>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</si>
  <si>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</si>
  <si>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</si>
  <si>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</si>
  <si>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</si>
  <si>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</si>
  <si>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</si>
  <si>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</si>
  <si>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conventional</t>
  </si>
  <si>
    <t>organic</t>
  </si>
  <si>
    <t>SEP. ORG VS CONV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</si>
  <si>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</si>
  <si>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</si>
  <si>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</si>
  <si>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</si>
  <si>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</si>
  <si>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</si>
  <si>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</si>
  <si>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Assume same as laying hens for parent animals</t>
  </si>
  <si>
    <t>horses</t>
  </si>
  <si>
    <t>Same as cattle??</t>
  </si>
  <si>
    <t>Same as cattle?? 17% is approx. avg. for cattle</t>
  </si>
  <si>
    <t>Swedish IIR 2019 Table 5-10</t>
  </si>
  <si>
    <t>% of total N</t>
  </si>
  <si>
    <t>assume same as laying hens for parent animals</t>
  </si>
  <si>
    <t>% of TAN</t>
  </si>
  <si>
    <t>Table 3.9. EMEP/EEA air pollutant emission inventory Guidebook 2019</t>
  </si>
  <si>
    <t>Assume same as sows</t>
  </si>
  <si>
    <t>methane_B0</t>
  </si>
  <si>
    <t>m3 CH4/kg VS</t>
  </si>
  <si>
    <t>Fallback</t>
  </si>
  <si>
    <t>kg CH4/animal/yr</t>
  </si>
  <si>
    <t>methane_per_head</t>
  </si>
  <si>
    <t>sheep</t>
  </si>
  <si>
    <t>layer</t>
  </si>
  <si>
    <t>methane_MCF</t>
  </si>
  <si>
    <t>% of B0</t>
  </si>
  <si>
    <t>NIR 2022 Table 5.18</t>
  </si>
  <si>
    <t>Swedish IIR 2023 Table 5-4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</si>
  <si>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</si>
  <si>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</si>
  <si>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</si>
  <si>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</si>
  <si>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</si>
  <si>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</si>
  <si>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</si>
  <si>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</si>
  <si>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Not used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</si>
  <si>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</si>
  <si>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</si>
  <si>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</si>
  <si>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</si>
  <si>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</si>
  <si>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</si>
  <si>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</si>
  <si>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</si>
  <si>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</si>
  <si>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</si>
  <si>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</si>
  <si>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</si>
  <si>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</si>
  <si>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</si>
  <si>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</si>
  <si>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</si>
  <si>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</si>
  <si>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</si>
  <si>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</si>
  <si>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</si>
  <si>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</si>
  <si>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</si>
  <si>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</si>
  <si>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</si>
  <si>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</si>
  <si>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</si>
  <si>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</si>
  <si>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</si>
  <si>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</si>
  <si>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</si>
  <si>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</si>
  <si>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</si>
  <si>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</si>
  <si>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</si>
  <si>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</si>
  <si>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</si>
  <si>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</si>
  <si>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5.6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</si>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</sst>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164" fontId="0" fillId="0" borderId="0" xfId="0" applyNumberFormat="1"/>
    <xf numFmtId="0" fontId="0" fillId="34" borderId="0" xfId="0" applyFill="1"/>
    <xf numFmtId="0" fontId="14" fillId="34" borderId="0" xfId="0" applyFont="1" applyFill="1"/>
    <xf numFmtId="2" fontId="14" fillId="34" borderId="0" xfId="0" applyNumberFormat="1" applyFont="1" applyFill="1"/>
    <xf numFmtId="0" fontId="18" fillId="34" borderId="0" xfId="0" applyFont="1" applyFill="1"/>
    <xf numFmtId="0" fontId="0" fillId="0" borderId="0" xfId="0" applyFill="1"/>
    <xf numFmtId="0" fontId="16" fillId="0" borderId="0" xfId="0" applyFont="1" applyFill="1"/>
    <xf numFmtId="0" fontId="16" fillId="35" borderId="0" xfId="0" applyFont="1" applyFill="1"/>
    <xf numFmtId="0" fontId="0" fillId="35" borderId="0" xfId="0" applyFill="1"/>
    <xf numFmtId="0" fontId="19" fillId="35" borderId="0" xfId="0" applyFont="1" applyFill="1"/>
    <xf numFmtId="165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09"/>
  <sheetViews>
    <sheetView tabSelected="1" zoomScale="80" zoomScaleNormal="80" workbookViewId="0">
      <pane ySplit="1" topLeftCell="A60" activePane="bottomLeft" state="frozen"/>
      <selection pane="bottomLeft" activeCell="G75" sqref="G75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3.85546875" customWidth="1"/>
    <col min="6" max="6" width="10.42578125" bestFit="1" customWidth="1"/>
    <col min="7" max="7" width="10.42578125" customWidth="1"/>
    <col min="8" max="9" width="12.140625" customWidth="1"/>
    <col min="10" max="10" width="23.85546875" bestFit="1" customWidth="1"/>
    <col min="12" max="12" width="18.7109375" customWidth="1"/>
    <col min="13" max="13" width="63.140625" customWidth="1"/>
    <col min="14" max="14" width="68.140625" bestFit="1" customWidth="1"/>
  </cols>
  <sheetData>
    <row r="1" spans="1:14" x14ac:dyDescent="0.25">
      <c r="A1" s="4" t="s">
        <v>34</v>
      </c>
      <c r="B1" s="4" t="s">
        <v>60</v>
      </c>
      <c r="C1" s="4" t="s">
        <v>35</v>
      </c>
      <c r="D1" s="4" t="s">
        <v>36</v>
      </c>
      <c r="E1" s="4" t="s">
        <v>141</v>
      </c>
      <c r="F1" s="4" t="s">
        <v>37</v>
      </c>
      <c r="G1" s="4" t="s">
        <v>61</v>
      </c>
      <c r="H1" s="4" t="s">
        <v>38</v>
      </c>
      <c r="I1" s="4" t="s">
        <v>151</v>
      </c>
      <c r="J1" s="4" t="s">
        <v>39</v>
      </c>
      <c r="K1" s="4" t="s">
        <v>0</v>
      </c>
      <c r="L1" s="4" t="s">
        <v>40</v>
      </c>
      <c r="M1" s="4" t="s">
        <v>41</v>
      </c>
      <c r="N1" s="4" t="s">
        <v>42</v>
      </c>
    </row>
    <row r="2" spans="1:14" x14ac:dyDescent="0.25">
      <c r="A2" s="2" t="s">
        <v>147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t="s">
        <v>1</v>
      </c>
      <c r="C3" t="s">
        <v>2</v>
      </c>
      <c r="D3" t="s">
        <v>3</v>
      </c>
      <c r="F3" t="s">
        <v>19</v>
      </c>
      <c r="J3" t="s">
        <v>20</v>
      </c>
      <c r="K3">
        <v>25.3</v>
      </c>
      <c r="L3" t="s">
        <v>21</v>
      </c>
      <c r="N3" t="s">
        <v>87</v>
      </c>
    </row>
    <row r="4" spans="1:14" x14ac:dyDescent="0.25">
      <c r="A4" t="s">
        <v>1</v>
      </c>
      <c r="C4" t="s">
        <v>9</v>
      </c>
      <c r="D4" t="s">
        <v>3</v>
      </c>
      <c r="F4" t="s">
        <v>19</v>
      </c>
      <c r="J4" t="s">
        <v>20</v>
      </c>
      <c r="K4">
        <v>57.4</v>
      </c>
      <c r="L4" t="s">
        <v>21</v>
      </c>
      <c r="N4" t="s">
        <v>87</v>
      </c>
    </row>
    <row r="5" spans="1:14" x14ac:dyDescent="0.25">
      <c r="A5" t="s">
        <v>1</v>
      </c>
      <c r="D5" t="s">
        <v>12</v>
      </c>
      <c r="F5" t="s">
        <v>19</v>
      </c>
      <c r="J5" t="s">
        <v>20</v>
      </c>
      <c r="K5">
        <v>52.7</v>
      </c>
      <c r="L5" t="s">
        <v>21</v>
      </c>
      <c r="N5" t="s">
        <v>87</v>
      </c>
    </row>
    <row r="6" spans="1:14" x14ac:dyDescent="0.25">
      <c r="A6" t="s">
        <v>1</v>
      </c>
      <c r="D6" t="s">
        <v>13</v>
      </c>
      <c r="F6" t="s">
        <v>19</v>
      </c>
      <c r="J6" t="s">
        <v>20</v>
      </c>
      <c r="K6">
        <v>35.700000000000003</v>
      </c>
      <c r="L6" t="s">
        <v>21</v>
      </c>
      <c r="N6" t="s">
        <v>87</v>
      </c>
    </row>
    <row r="7" spans="1:14" x14ac:dyDescent="0.25">
      <c r="A7" t="s">
        <v>1</v>
      </c>
      <c r="D7" t="s">
        <v>15</v>
      </c>
      <c r="F7" t="s">
        <v>19</v>
      </c>
      <c r="J7" t="s">
        <v>20</v>
      </c>
      <c r="K7">
        <v>23.9</v>
      </c>
      <c r="L7" t="s">
        <v>21</v>
      </c>
      <c r="M7" s="1" t="s">
        <v>23</v>
      </c>
      <c r="N7" t="s">
        <v>87</v>
      </c>
    </row>
    <row r="8" spans="1:14" x14ac:dyDescent="0.25">
      <c r="A8" t="s">
        <v>1</v>
      </c>
      <c r="D8" t="s">
        <v>16</v>
      </c>
      <c r="F8" t="s">
        <v>19</v>
      </c>
      <c r="J8" t="s">
        <v>20</v>
      </c>
      <c r="K8">
        <v>23.9</v>
      </c>
      <c r="L8" t="s">
        <v>21</v>
      </c>
      <c r="M8" s="1" t="s">
        <v>23</v>
      </c>
      <c r="N8" t="s">
        <v>87</v>
      </c>
    </row>
    <row r="9" spans="1:14" x14ac:dyDescent="0.25">
      <c r="A9" t="s">
        <v>1</v>
      </c>
      <c r="D9" t="s">
        <v>17</v>
      </c>
      <c r="F9" t="s">
        <v>19</v>
      </c>
      <c r="J9" t="s">
        <v>20</v>
      </c>
      <c r="K9">
        <v>23.9</v>
      </c>
      <c r="L9" t="s">
        <v>21</v>
      </c>
      <c r="M9" t="s">
        <v>18</v>
      </c>
      <c r="N9" t="s">
        <v>87</v>
      </c>
    </row>
    <row r="10" spans="1:14" x14ac:dyDescent="0.25">
      <c r="A10" s="5" t="s">
        <v>68</v>
      </c>
      <c r="B10" s="5"/>
      <c r="C10" s="5"/>
      <c r="D10" s="5"/>
      <c r="E10" s="5"/>
      <c r="F10" s="5" t="s">
        <v>19</v>
      </c>
      <c r="G10" s="5"/>
      <c r="H10" s="5"/>
      <c r="I10" s="5"/>
      <c r="J10" s="5" t="s">
        <v>20</v>
      </c>
      <c r="K10" s="5">
        <v>50</v>
      </c>
      <c r="L10" s="5" t="s">
        <v>21</v>
      </c>
      <c r="M10" s="1"/>
      <c r="N10" t="s">
        <v>87</v>
      </c>
    </row>
    <row r="11" spans="1:14" x14ac:dyDescent="0.25">
      <c r="A11" s="5" t="s">
        <v>82</v>
      </c>
      <c r="B11" s="5"/>
      <c r="C11" s="5"/>
      <c r="D11" s="5"/>
      <c r="E11" s="5"/>
      <c r="F11" s="5" t="s">
        <v>19</v>
      </c>
      <c r="G11" s="5"/>
      <c r="H11" s="5"/>
      <c r="I11" s="5"/>
      <c r="J11" s="5" t="s">
        <v>20</v>
      </c>
      <c r="K11" s="5">
        <v>50</v>
      </c>
      <c r="L11" s="5" t="s">
        <v>21</v>
      </c>
      <c r="M11" s="1"/>
      <c r="N11" t="s">
        <v>87</v>
      </c>
    </row>
    <row r="12" spans="1:14" x14ac:dyDescent="0.25">
      <c r="A12" t="s">
        <v>43</v>
      </c>
      <c r="B12" t="s">
        <v>57</v>
      </c>
      <c r="F12" t="s">
        <v>19</v>
      </c>
      <c r="J12" t="s">
        <v>20</v>
      </c>
      <c r="K12">
        <v>0</v>
      </c>
      <c r="L12" t="s">
        <v>21</v>
      </c>
      <c r="M12" s="1" t="s">
        <v>59</v>
      </c>
    </row>
    <row r="13" spans="1:14" x14ac:dyDescent="0.25">
      <c r="A13" t="s">
        <v>43</v>
      </c>
      <c r="B13" t="s">
        <v>58</v>
      </c>
      <c r="F13" t="s">
        <v>19</v>
      </c>
      <c r="J13" t="s">
        <v>20</v>
      </c>
      <c r="K13">
        <v>0</v>
      </c>
      <c r="L13" t="s">
        <v>21</v>
      </c>
      <c r="M13" s="1" t="s">
        <v>59</v>
      </c>
    </row>
    <row r="14" spans="1:14" x14ac:dyDescent="0.25">
      <c r="A14" t="s">
        <v>63</v>
      </c>
      <c r="C14" t="s">
        <v>83</v>
      </c>
      <c r="F14" t="s">
        <v>19</v>
      </c>
      <c r="J14" t="s">
        <v>20</v>
      </c>
      <c r="K14">
        <v>0</v>
      </c>
      <c r="L14" t="s">
        <v>21</v>
      </c>
      <c r="M14" s="1"/>
    </row>
    <row r="15" spans="1:14" x14ac:dyDescent="0.25">
      <c r="A15" t="s">
        <v>63</v>
      </c>
      <c r="C15" t="s">
        <v>64</v>
      </c>
      <c r="F15" t="s">
        <v>19</v>
      </c>
      <c r="J15" t="s">
        <v>20</v>
      </c>
      <c r="K15">
        <v>0</v>
      </c>
      <c r="L15" t="s">
        <v>21</v>
      </c>
    </row>
    <row r="17" spans="1:15" x14ac:dyDescent="0.25">
      <c r="A17" t="s">
        <v>1</v>
      </c>
      <c r="C17" t="s">
        <v>2</v>
      </c>
      <c r="D17" t="s">
        <v>3</v>
      </c>
      <c r="F17" t="s">
        <v>24</v>
      </c>
      <c r="J17" t="s">
        <v>20</v>
      </c>
      <c r="K17">
        <v>63.7</v>
      </c>
      <c r="L17" t="s">
        <v>21</v>
      </c>
      <c r="N17" t="s">
        <v>88</v>
      </c>
      <c r="O17">
        <f>K3+K17+K33+K49</f>
        <v>95.1</v>
      </c>
    </row>
    <row r="18" spans="1:15" x14ac:dyDescent="0.25">
      <c r="A18" t="s">
        <v>1</v>
      </c>
      <c r="C18" t="s">
        <v>9</v>
      </c>
      <c r="D18" t="s">
        <v>3</v>
      </c>
      <c r="F18" t="s">
        <v>24</v>
      </c>
      <c r="J18" t="s">
        <v>20</v>
      </c>
      <c r="K18">
        <v>9.6999999999999993</v>
      </c>
      <c r="L18" t="s">
        <v>21</v>
      </c>
      <c r="N18" t="s">
        <v>88</v>
      </c>
      <c r="O18">
        <f t="shared" ref="O18:O21" si="0">K4+K18+K34+K50</f>
        <v>98.6</v>
      </c>
    </row>
    <row r="19" spans="1:15" x14ac:dyDescent="0.25">
      <c r="A19" t="s">
        <v>1</v>
      </c>
      <c r="D19" t="s">
        <v>12</v>
      </c>
      <c r="F19" t="s">
        <v>24</v>
      </c>
      <c r="J19" t="s">
        <v>20</v>
      </c>
      <c r="K19">
        <v>24</v>
      </c>
      <c r="L19" t="s">
        <v>21</v>
      </c>
      <c r="N19" t="s">
        <v>88</v>
      </c>
      <c r="O19">
        <f t="shared" si="0"/>
        <v>97.9</v>
      </c>
    </row>
    <row r="20" spans="1:15" x14ac:dyDescent="0.25">
      <c r="A20" t="s">
        <v>1</v>
      </c>
      <c r="D20" t="s">
        <v>13</v>
      </c>
      <c r="F20" t="s">
        <v>24</v>
      </c>
      <c r="J20" t="s">
        <v>20</v>
      </c>
      <c r="K20">
        <v>16.8</v>
      </c>
      <c r="L20" t="s">
        <v>21</v>
      </c>
      <c r="N20" t="s">
        <v>88</v>
      </c>
      <c r="O20">
        <f t="shared" si="0"/>
        <v>97.9</v>
      </c>
    </row>
    <row r="21" spans="1:15" x14ac:dyDescent="0.25">
      <c r="A21" t="s">
        <v>1</v>
      </c>
      <c r="D21" t="s">
        <v>15</v>
      </c>
      <c r="F21" t="s">
        <v>24</v>
      </c>
      <c r="J21" t="s">
        <v>20</v>
      </c>
      <c r="K21">
        <v>36.5</v>
      </c>
      <c r="L21" t="s">
        <v>21</v>
      </c>
      <c r="M21" s="1" t="s">
        <v>23</v>
      </c>
      <c r="N21" t="s">
        <v>88</v>
      </c>
      <c r="O21">
        <f t="shared" si="0"/>
        <v>96.6</v>
      </c>
    </row>
    <row r="22" spans="1:15" x14ac:dyDescent="0.25">
      <c r="A22" t="s">
        <v>1</v>
      </c>
      <c r="D22" t="s">
        <v>16</v>
      </c>
      <c r="F22" t="s">
        <v>24</v>
      </c>
      <c r="J22" t="s">
        <v>20</v>
      </c>
      <c r="K22">
        <v>36.5</v>
      </c>
      <c r="L22" t="s">
        <v>21</v>
      </c>
      <c r="M22" s="1" t="s">
        <v>23</v>
      </c>
      <c r="N22" t="s">
        <v>88</v>
      </c>
      <c r="O22">
        <f>K8+K22+K38+K54</f>
        <v>96.6</v>
      </c>
    </row>
    <row r="23" spans="1:15" x14ac:dyDescent="0.25">
      <c r="A23" t="s">
        <v>1</v>
      </c>
      <c r="D23" t="s">
        <v>17</v>
      </c>
      <c r="F23" t="s">
        <v>24</v>
      </c>
      <c r="J23" t="s">
        <v>20</v>
      </c>
      <c r="K23">
        <v>36.5</v>
      </c>
      <c r="L23" t="s">
        <v>21</v>
      </c>
      <c r="M23" t="s">
        <v>18</v>
      </c>
      <c r="N23" t="s">
        <v>88</v>
      </c>
      <c r="O23">
        <f>K9+K23+K39+K55</f>
        <v>96.6</v>
      </c>
    </row>
    <row r="24" spans="1:15" x14ac:dyDescent="0.25">
      <c r="A24" t="s">
        <v>68</v>
      </c>
      <c r="F24" t="s">
        <v>24</v>
      </c>
      <c r="J24" t="s">
        <v>20</v>
      </c>
      <c r="K24">
        <v>0</v>
      </c>
      <c r="L24" t="s">
        <v>21</v>
      </c>
      <c r="N24" t="s">
        <v>88</v>
      </c>
      <c r="O24">
        <f>K10+K24+K40+K56</f>
        <v>85</v>
      </c>
    </row>
    <row r="25" spans="1:15" x14ac:dyDescent="0.25">
      <c r="A25" t="s">
        <v>82</v>
      </c>
      <c r="F25" t="s">
        <v>24</v>
      </c>
      <c r="J25" t="s">
        <v>20</v>
      </c>
      <c r="K25">
        <v>0</v>
      </c>
      <c r="L25" t="s">
        <v>21</v>
      </c>
      <c r="N25" t="s">
        <v>88</v>
      </c>
      <c r="O25">
        <f>K11+K25+K41+K57</f>
        <v>100</v>
      </c>
    </row>
    <row r="26" spans="1:15" x14ac:dyDescent="0.25">
      <c r="A26" t="s">
        <v>43</v>
      </c>
      <c r="F26" t="s">
        <v>24</v>
      </c>
      <c r="J26" t="s">
        <v>20</v>
      </c>
      <c r="K26">
        <v>45.4</v>
      </c>
      <c r="L26" t="s">
        <v>21</v>
      </c>
      <c r="M26" t="s">
        <v>47</v>
      </c>
      <c r="N26" t="s">
        <v>88</v>
      </c>
      <c r="O26">
        <f>K12+K26+K42+K58</f>
        <v>89</v>
      </c>
    </row>
    <row r="27" spans="1:15" x14ac:dyDescent="0.25">
      <c r="A27" t="s">
        <v>43</v>
      </c>
      <c r="D27" t="s">
        <v>44</v>
      </c>
      <c r="F27" t="s">
        <v>24</v>
      </c>
      <c r="J27" t="s">
        <v>20</v>
      </c>
      <c r="K27">
        <v>77.8</v>
      </c>
      <c r="L27" t="s">
        <v>21</v>
      </c>
      <c r="M27" t="s">
        <v>46</v>
      </c>
      <c r="N27" t="s">
        <v>88</v>
      </c>
      <c r="O27">
        <f>K12+K27+K43+K59</f>
        <v>81.099999999999994</v>
      </c>
    </row>
    <row r="28" spans="1:15" x14ac:dyDescent="0.25">
      <c r="A28" t="s">
        <v>43</v>
      </c>
      <c r="D28" t="s">
        <v>45</v>
      </c>
      <c r="F28" t="s">
        <v>24</v>
      </c>
      <c r="J28" t="s">
        <v>20</v>
      </c>
      <c r="K28">
        <v>77.8</v>
      </c>
      <c r="L28" t="s">
        <v>21</v>
      </c>
      <c r="M28" t="s">
        <v>46</v>
      </c>
      <c r="N28" t="s">
        <v>88</v>
      </c>
      <c r="O28">
        <f>K12+K28+K44+K60</f>
        <v>81.099999999999994</v>
      </c>
    </row>
    <row r="29" spans="1:15" x14ac:dyDescent="0.25">
      <c r="A29" t="s">
        <v>63</v>
      </c>
      <c r="C29" t="s">
        <v>83</v>
      </c>
      <c r="F29" t="s">
        <v>24</v>
      </c>
      <c r="J29" t="s">
        <v>20</v>
      </c>
      <c r="K29">
        <v>6.9</v>
      </c>
      <c r="L29" t="s">
        <v>21</v>
      </c>
      <c r="N29" t="s">
        <v>88</v>
      </c>
      <c r="O29">
        <f>K14+K29+K45+K61</f>
        <v>100.00000000000001</v>
      </c>
    </row>
    <row r="30" spans="1:15" x14ac:dyDescent="0.25">
      <c r="A30" t="s">
        <v>63</v>
      </c>
      <c r="C30" t="s">
        <v>64</v>
      </c>
      <c r="D30" t="s">
        <v>65</v>
      </c>
      <c r="F30" t="s">
        <v>24</v>
      </c>
      <c r="J30" t="s">
        <v>20</v>
      </c>
      <c r="K30">
        <v>0</v>
      </c>
      <c r="L30" t="s">
        <v>21</v>
      </c>
      <c r="N30" t="s">
        <v>88</v>
      </c>
      <c r="O30">
        <f>K15+K30+K46+K62</f>
        <v>100</v>
      </c>
    </row>
    <row r="31" spans="1:15" x14ac:dyDescent="0.25">
      <c r="A31" t="s">
        <v>63</v>
      </c>
      <c r="C31" t="s">
        <v>64</v>
      </c>
      <c r="F31" t="s">
        <v>24</v>
      </c>
      <c r="J31" t="s">
        <v>20</v>
      </c>
      <c r="K31">
        <v>6.9</v>
      </c>
      <c r="L31" t="s">
        <v>21</v>
      </c>
      <c r="M31" t="s">
        <v>67</v>
      </c>
      <c r="N31" t="s">
        <v>88</v>
      </c>
      <c r="O31">
        <f>K15+K31+K47+K63</f>
        <v>100.00000000000001</v>
      </c>
    </row>
    <row r="33" spans="1:14" x14ac:dyDescent="0.25">
      <c r="A33" t="s">
        <v>1</v>
      </c>
      <c r="C33" t="s">
        <v>2</v>
      </c>
      <c r="D33" t="s">
        <v>3</v>
      </c>
      <c r="F33" t="s">
        <v>25</v>
      </c>
      <c r="J33" t="s">
        <v>20</v>
      </c>
      <c r="K33">
        <v>5.0999999999999996</v>
      </c>
      <c r="L33" t="s">
        <v>21</v>
      </c>
      <c r="N33" t="s">
        <v>89</v>
      </c>
    </row>
    <row r="34" spans="1:14" x14ac:dyDescent="0.25">
      <c r="A34" t="s">
        <v>1</v>
      </c>
      <c r="C34" t="s">
        <v>9</v>
      </c>
      <c r="D34" t="s">
        <v>3</v>
      </c>
      <c r="F34" t="s">
        <v>25</v>
      </c>
      <c r="J34" t="s">
        <v>20</v>
      </c>
      <c r="K34">
        <v>10.3</v>
      </c>
      <c r="L34" t="s">
        <v>21</v>
      </c>
      <c r="N34" t="s">
        <v>89</v>
      </c>
    </row>
    <row r="35" spans="1:14" x14ac:dyDescent="0.25">
      <c r="A35" t="s">
        <v>1</v>
      </c>
      <c r="D35" t="s">
        <v>12</v>
      </c>
      <c r="F35" t="s">
        <v>25</v>
      </c>
      <c r="J35" t="s">
        <v>20</v>
      </c>
      <c r="K35">
        <v>7.9</v>
      </c>
      <c r="L35" t="s">
        <v>21</v>
      </c>
      <c r="N35" t="s">
        <v>89</v>
      </c>
    </row>
    <row r="36" spans="1:14" x14ac:dyDescent="0.25">
      <c r="A36" t="s">
        <v>1</v>
      </c>
      <c r="D36" t="s">
        <v>13</v>
      </c>
      <c r="F36" t="s">
        <v>25</v>
      </c>
      <c r="J36" t="s">
        <v>20</v>
      </c>
      <c r="K36">
        <v>11.9</v>
      </c>
      <c r="L36" t="s">
        <v>21</v>
      </c>
      <c r="N36" t="s">
        <v>89</v>
      </c>
    </row>
    <row r="37" spans="1:14" x14ac:dyDescent="0.25">
      <c r="A37" t="s">
        <v>1</v>
      </c>
      <c r="D37" t="s">
        <v>15</v>
      </c>
      <c r="F37" t="s">
        <v>25</v>
      </c>
      <c r="J37" t="s">
        <v>20</v>
      </c>
      <c r="K37">
        <v>10.6</v>
      </c>
      <c r="L37" t="s">
        <v>21</v>
      </c>
      <c r="M37" s="1" t="s">
        <v>23</v>
      </c>
      <c r="N37" t="s">
        <v>89</v>
      </c>
    </row>
    <row r="38" spans="1:14" x14ac:dyDescent="0.25">
      <c r="A38" t="s">
        <v>1</v>
      </c>
      <c r="D38" t="s">
        <v>16</v>
      </c>
      <c r="F38" t="s">
        <v>25</v>
      </c>
      <c r="J38" t="s">
        <v>20</v>
      </c>
      <c r="K38">
        <v>10.6</v>
      </c>
      <c r="L38" t="s">
        <v>21</v>
      </c>
      <c r="M38" s="1" t="s">
        <v>23</v>
      </c>
      <c r="N38" t="s">
        <v>89</v>
      </c>
    </row>
    <row r="39" spans="1:14" x14ac:dyDescent="0.25">
      <c r="A39" t="s">
        <v>1</v>
      </c>
      <c r="D39" t="s">
        <v>17</v>
      </c>
      <c r="F39" t="s">
        <v>25</v>
      </c>
      <c r="J39" t="s">
        <v>20</v>
      </c>
      <c r="K39">
        <v>10.6</v>
      </c>
      <c r="L39" t="s">
        <v>21</v>
      </c>
      <c r="M39" t="s">
        <v>18</v>
      </c>
      <c r="N39" t="s">
        <v>89</v>
      </c>
    </row>
    <row r="40" spans="1:14" x14ac:dyDescent="0.25">
      <c r="A40" t="s">
        <v>68</v>
      </c>
      <c r="F40" t="s">
        <v>25</v>
      </c>
      <c r="J40" t="s">
        <v>20</v>
      </c>
      <c r="K40">
        <v>33</v>
      </c>
      <c r="L40" t="s">
        <v>21</v>
      </c>
      <c r="N40" t="s">
        <v>89</v>
      </c>
    </row>
    <row r="41" spans="1:14" x14ac:dyDescent="0.25">
      <c r="A41" t="s">
        <v>82</v>
      </c>
      <c r="F41" t="s">
        <v>25</v>
      </c>
      <c r="J41" t="s">
        <v>20</v>
      </c>
      <c r="K41">
        <v>50</v>
      </c>
      <c r="L41" t="s">
        <v>21</v>
      </c>
      <c r="N41" t="s">
        <v>89</v>
      </c>
    </row>
    <row r="42" spans="1:14" x14ac:dyDescent="0.25">
      <c r="A42" t="s">
        <v>43</v>
      </c>
      <c r="F42" t="s">
        <v>25</v>
      </c>
      <c r="J42" t="s">
        <v>20</v>
      </c>
      <c r="K42">
        <v>23.8</v>
      </c>
      <c r="L42" t="s">
        <v>21</v>
      </c>
      <c r="M42" t="s">
        <v>47</v>
      </c>
      <c r="N42" t="s">
        <v>89</v>
      </c>
    </row>
    <row r="43" spans="1:14" x14ac:dyDescent="0.25">
      <c r="A43" t="s">
        <v>43</v>
      </c>
      <c r="D43" t="s">
        <v>44</v>
      </c>
      <c r="F43" t="s">
        <v>25</v>
      </c>
      <c r="J43" t="s">
        <v>20</v>
      </c>
      <c r="K43">
        <v>2.2999999999999998</v>
      </c>
      <c r="L43" t="s">
        <v>21</v>
      </c>
      <c r="M43" t="s">
        <v>46</v>
      </c>
      <c r="N43" t="s">
        <v>89</v>
      </c>
    </row>
    <row r="44" spans="1:14" x14ac:dyDescent="0.25">
      <c r="A44" t="s">
        <v>43</v>
      </c>
      <c r="D44" t="s">
        <v>45</v>
      </c>
      <c r="F44" t="s">
        <v>25</v>
      </c>
      <c r="J44" t="s">
        <v>20</v>
      </c>
      <c r="K44">
        <v>2.2999999999999998</v>
      </c>
      <c r="L44" t="s">
        <v>21</v>
      </c>
      <c r="M44" t="s">
        <v>46</v>
      </c>
      <c r="N44" t="s">
        <v>89</v>
      </c>
    </row>
    <row r="45" spans="1:14" x14ac:dyDescent="0.25">
      <c r="A45" t="s">
        <v>63</v>
      </c>
      <c r="C45" t="s">
        <v>83</v>
      </c>
      <c r="F45" t="s">
        <v>25</v>
      </c>
      <c r="J45" t="s">
        <v>20</v>
      </c>
      <c r="K45">
        <v>89.9</v>
      </c>
      <c r="L45" t="s">
        <v>21</v>
      </c>
      <c r="N45" t="s">
        <v>89</v>
      </c>
    </row>
    <row r="46" spans="1:14" x14ac:dyDescent="0.25">
      <c r="A46" t="s">
        <v>63</v>
      </c>
      <c r="C46" t="s">
        <v>64</v>
      </c>
      <c r="D46" t="s">
        <v>65</v>
      </c>
      <c r="F46" t="s">
        <v>25</v>
      </c>
      <c r="J46" t="s">
        <v>20</v>
      </c>
      <c r="K46">
        <v>0</v>
      </c>
      <c r="L46" t="s">
        <v>21</v>
      </c>
      <c r="N46" t="s">
        <v>89</v>
      </c>
    </row>
    <row r="47" spans="1:14" x14ac:dyDescent="0.25">
      <c r="A47" t="s">
        <v>63</v>
      </c>
      <c r="C47" t="s">
        <v>64</v>
      </c>
      <c r="F47" t="s">
        <v>25</v>
      </c>
      <c r="J47" t="s">
        <v>20</v>
      </c>
      <c r="K47">
        <v>89.9</v>
      </c>
      <c r="L47" t="s">
        <v>21</v>
      </c>
      <c r="M47" t="s">
        <v>67</v>
      </c>
      <c r="N47" t="s">
        <v>89</v>
      </c>
    </row>
    <row r="49" spans="1:14" x14ac:dyDescent="0.25">
      <c r="A49" t="s">
        <v>1</v>
      </c>
      <c r="C49" t="s">
        <v>2</v>
      </c>
      <c r="D49" t="s">
        <v>3</v>
      </c>
      <c r="F49" t="s">
        <v>26</v>
      </c>
      <c r="J49" t="s">
        <v>20</v>
      </c>
      <c r="K49">
        <v>1</v>
      </c>
      <c r="L49" t="s">
        <v>21</v>
      </c>
      <c r="N49" t="s">
        <v>90</v>
      </c>
    </row>
    <row r="50" spans="1:14" x14ac:dyDescent="0.25">
      <c r="A50" t="s">
        <v>1</v>
      </c>
      <c r="C50" t="s">
        <v>9</v>
      </c>
      <c r="D50" t="s">
        <v>3</v>
      </c>
      <c r="F50" t="s">
        <v>26</v>
      </c>
      <c r="J50" t="s">
        <v>20</v>
      </c>
      <c r="K50">
        <v>21.2</v>
      </c>
      <c r="L50" t="s">
        <v>21</v>
      </c>
      <c r="N50" t="s">
        <v>90</v>
      </c>
    </row>
    <row r="51" spans="1:14" x14ac:dyDescent="0.25">
      <c r="A51" t="s">
        <v>1</v>
      </c>
      <c r="D51" t="s">
        <v>12</v>
      </c>
      <c r="F51" t="s">
        <v>26</v>
      </c>
      <c r="J51" t="s">
        <v>20</v>
      </c>
      <c r="K51">
        <v>13.3</v>
      </c>
      <c r="L51" t="s">
        <v>21</v>
      </c>
      <c r="N51" t="s">
        <v>90</v>
      </c>
    </row>
    <row r="52" spans="1:14" x14ac:dyDescent="0.25">
      <c r="A52" t="s">
        <v>1</v>
      </c>
      <c r="D52" t="s">
        <v>13</v>
      </c>
      <c r="F52" t="s">
        <v>26</v>
      </c>
      <c r="J52" t="s">
        <v>20</v>
      </c>
      <c r="K52">
        <v>33.5</v>
      </c>
      <c r="L52" t="s">
        <v>21</v>
      </c>
      <c r="N52" t="s">
        <v>90</v>
      </c>
    </row>
    <row r="53" spans="1:14" x14ac:dyDescent="0.25">
      <c r="A53" t="s">
        <v>1</v>
      </c>
      <c r="D53" t="s">
        <v>15</v>
      </c>
      <c r="F53" t="s">
        <v>26</v>
      </c>
      <c r="J53" t="s">
        <v>20</v>
      </c>
      <c r="K53">
        <v>25.6</v>
      </c>
      <c r="L53" t="s">
        <v>21</v>
      </c>
      <c r="M53" s="1" t="s">
        <v>23</v>
      </c>
      <c r="N53" t="s">
        <v>90</v>
      </c>
    </row>
    <row r="54" spans="1:14" x14ac:dyDescent="0.25">
      <c r="A54" t="s">
        <v>1</v>
      </c>
      <c r="D54" t="s">
        <v>16</v>
      </c>
      <c r="F54" t="s">
        <v>26</v>
      </c>
      <c r="J54" t="s">
        <v>20</v>
      </c>
      <c r="K54">
        <v>25.6</v>
      </c>
      <c r="L54" t="s">
        <v>21</v>
      </c>
      <c r="M54" s="1" t="s">
        <v>23</v>
      </c>
      <c r="N54" t="s">
        <v>90</v>
      </c>
    </row>
    <row r="55" spans="1:14" x14ac:dyDescent="0.25">
      <c r="A55" t="s">
        <v>1</v>
      </c>
      <c r="D55" t="s">
        <v>17</v>
      </c>
      <c r="F55" t="s">
        <v>26</v>
      </c>
      <c r="J55" t="s">
        <v>20</v>
      </c>
      <c r="K55">
        <v>25.6</v>
      </c>
      <c r="L55" t="s">
        <v>21</v>
      </c>
      <c r="M55" t="s">
        <v>18</v>
      </c>
      <c r="N55" t="s">
        <v>90</v>
      </c>
    </row>
    <row r="56" spans="1:14" x14ac:dyDescent="0.25">
      <c r="A56" t="s">
        <v>68</v>
      </c>
      <c r="F56" t="s">
        <v>26</v>
      </c>
      <c r="J56" t="s">
        <v>20</v>
      </c>
      <c r="K56">
        <v>2</v>
      </c>
      <c r="L56" t="s">
        <v>21</v>
      </c>
      <c r="N56" t="s">
        <v>90</v>
      </c>
    </row>
    <row r="57" spans="1:14" x14ac:dyDescent="0.25">
      <c r="A57" t="s">
        <v>82</v>
      </c>
      <c r="F57" t="s">
        <v>26</v>
      </c>
      <c r="J57" t="s">
        <v>20</v>
      </c>
      <c r="K57">
        <v>0</v>
      </c>
      <c r="L57" t="s">
        <v>21</v>
      </c>
      <c r="N57" t="s">
        <v>90</v>
      </c>
    </row>
    <row r="58" spans="1:14" x14ac:dyDescent="0.25">
      <c r="A58" t="s">
        <v>43</v>
      </c>
      <c r="F58" t="s">
        <v>26</v>
      </c>
      <c r="J58" t="s">
        <v>20</v>
      </c>
      <c r="K58">
        <v>19.8</v>
      </c>
      <c r="L58" t="s">
        <v>21</v>
      </c>
      <c r="M58" t="s">
        <v>47</v>
      </c>
      <c r="N58" t="s">
        <v>90</v>
      </c>
    </row>
    <row r="59" spans="1:14" x14ac:dyDescent="0.25">
      <c r="A59" t="s">
        <v>43</v>
      </c>
      <c r="D59" t="s">
        <v>44</v>
      </c>
      <c r="F59" t="s">
        <v>26</v>
      </c>
      <c r="J59" t="s">
        <v>20</v>
      </c>
      <c r="K59">
        <v>1</v>
      </c>
      <c r="L59" t="s">
        <v>21</v>
      </c>
      <c r="M59" t="s">
        <v>46</v>
      </c>
      <c r="N59" t="s">
        <v>90</v>
      </c>
    </row>
    <row r="60" spans="1:14" x14ac:dyDescent="0.25">
      <c r="A60" t="s">
        <v>43</v>
      </c>
      <c r="D60" t="s">
        <v>45</v>
      </c>
      <c r="F60" t="s">
        <v>26</v>
      </c>
      <c r="J60" t="s">
        <v>20</v>
      </c>
      <c r="K60">
        <v>1</v>
      </c>
      <c r="L60" t="s">
        <v>21</v>
      </c>
      <c r="M60" t="s">
        <v>46</v>
      </c>
      <c r="N60" t="s">
        <v>90</v>
      </c>
    </row>
    <row r="61" spans="1:14" x14ac:dyDescent="0.25">
      <c r="A61" t="s">
        <v>63</v>
      </c>
      <c r="C61" t="s">
        <v>83</v>
      </c>
      <c r="F61" t="s">
        <v>26</v>
      </c>
      <c r="J61" t="s">
        <v>20</v>
      </c>
      <c r="K61">
        <v>3.2</v>
      </c>
      <c r="L61" t="s">
        <v>21</v>
      </c>
      <c r="N61" t="s">
        <v>90</v>
      </c>
    </row>
    <row r="62" spans="1:14" x14ac:dyDescent="0.25">
      <c r="A62" t="s">
        <v>63</v>
      </c>
      <c r="C62" t="s">
        <v>64</v>
      </c>
      <c r="D62" t="s">
        <v>65</v>
      </c>
      <c r="F62" t="s">
        <v>26</v>
      </c>
      <c r="J62" t="s">
        <v>20</v>
      </c>
      <c r="K62">
        <v>100</v>
      </c>
      <c r="L62" t="s">
        <v>21</v>
      </c>
      <c r="N62" t="s">
        <v>90</v>
      </c>
    </row>
    <row r="63" spans="1:14" x14ac:dyDescent="0.25">
      <c r="A63" t="s">
        <v>63</v>
      </c>
      <c r="C63" t="s">
        <v>64</v>
      </c>
      <c r="F63" t="s">
        <v>26</v>
      </c>
      <c r="J63" t="s">
        <v>20</v>
      </c>
      <c r="K63">
        <v>3.2</v>
      </c>
      <c r="L63" t="s">
        <v>21</v>
      </c>
      <c r="M63" t="s">
        <v>67</v>
      </c>
      <c r="N63" t="s">
        <v>90</v>
      </c>
    </row>
    <row r="65" spans="1:14" x14ac:dyDescent="0.25">
      <c r="A65" s="2" t="s">
        <v>148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1" t="s">
        <v>150</v>
      </c>
      <c r="M65" s="2"/>
      <c r="N65" s="2"/>
    </row>
    <row r="67" spans="1:14" x14ac:dyDescent="0.25">
      <c r="J67" t="s">
        <v>149</v>
      </c>
      <c r="K67">
        <v>0</v>
      </c>
      <c r="M67" t="s">
        <v>122</v>
      </c>
    </row>
    <row r="69" spans="1:14" x14ac:dyDescent="0.25">
      <c r="A69" t="s">
        <v>1</v>
      </c>
      <c r="C69" t="s">
        <v>2</v>
      </c>
      <c r="D69" t="s">
        <v>3</v>
      </c>
      <c r="I69" t="s">
        <v>152</v>
      </c>
      <c r="J69" t="s">
        <v>149</v>
      </c>
      <c r="K69" s="19">
        <f>1.5*0.85</f>
        <v>1.2749999999999999</v>
      </c>
      <c r="N69" t="s">
        <v>157</v>
      </c>
    </row>
    <row r="70" spans="1:14" x14ac:dyDescent="0.25">
      <c r="A70" t="s">
        <v>1</v>
      </c>
      <c r="C70" t="s">
        <v>9</v>
      </c>
      <c r="D70" t="s">
        <v>3</v>
      </c>
      <c r="I70" t="s">
        <v>152</v>
      </c>
      <c r="J70" t="s">
        <v>149</v>
      </c>
      <c r="K70" s="19">
        <f>5.5*0.85</f>
        <v>4.6749999999999998</v>
      </c>
      <c r="N70" t="s">
        <v>157</v>
      </c>
    </row>
    <row r="71" spans="1:14" x14ac:dyDescent="0.25">
      <c r="A71" t="s">
        <v>1</v>
      </c>
      <c r="D71" t="s">
        <v>13</v>
      </c>
      <c r="I71" t="s">
        <v>152</v>
      </c>
      <c r="J71" t="s">
        <v>149</v>
      </c>
      <c r="K71" s="19">
        <f>5*0.85</f>
        <v>4.25</v>
      </c>
      <c r="N71" t="s">
        <v>157</v>
      </c>
    </row>
    <row r="72" spans="1:14" x14ac:dyDescent="0.25">
      <c r="A72" t="s">
        <v>1</v>
      </c>
      <c r="D72" t="s">
        <v>12</v>
      </c>
      <c r="I72" t="s">
        <v>152</v>
      </c>
      <c r="J72" t="s">
        <v>149</v>
      </c>
      <c r="K72" s="19">
        <f>3.5*0.85</f>
        <v>2.9750000000000001</v>
      </c>
      <c r="N72" t="s">
        <v>157</v>
      </c>
    </row>
    <row r="73" spans="1:14" x14ac:dyDescent="0.25">
      <c r="A73" t="s">
        <v>1</v>
      </c>
      <c r="D73" t="s">
        <v>15</v>
      </c>
      <c r="I73" t="s">
        <v>152</v>
      </c>
      <c r="J73" t="s">
        <v>149</v>
      </c>
      <c r="K73" s="19">
        <f>K72</f>
        <v>2.9750000000000001</v>
      </c>
      <c r="N73" t="s">
        <v>157</v>
      </c>
    </row>
    <row r="74" spans="1:14" x14ac:dyDescent="0.25">
      <c r="A74" t="s">
        <v>1</v>
      </c>
      <c r="D74" t="s">
        <v>16</v>
      </c>
      <c r="I74" t="s">
        <v>152</v>
      </c>
      <c r="J74" t="s">
        <v>149</v>
      </c>
      <c r="K74" s="19">
        <f>K72</f>
        <v>2.9750000000000001</v>
      </c>
      <c r="N74" t="s">
        <v>157</v>
      </c>
    </row>
    <row r="75" spans="1:14" x14ac:dyDescent="0.25">
      <c r="A75" t="s">
        <v>1</v>
      </c>
      <c r="D75" t="s">
        <v>17</v>
      </c>
      <c r="I75" t="s">
        <v>152</v>
      </c>
      <c r="J75" t="s">
        <v>149</v>
      </c>
      <c r="K75" s="19">
        <f>K72</f>
        <v>2.9750000000000001</v>
      </c>
      <c r="N75" t="s">
        <v>157</v>
      </c>
    </row>
    <row r="76" spans="1:14" x14ac:dyDescent="0.25">
      <c r="K76" s="19"/>
    </row>
    <row r="77" spans="1:14" x14ac:dyDescent="0.25">
      <c r="A77" t="s">
        <v>68</v>
      </c>
      <c r="I77" t="s">
        <v>152</v>
      </c>
      <c r="J77" t="s">
        <v>149</v>
      </c>
      <c r="K77" s="19">
        <f>6*0.85</f>
        <v>5.0999999999999996</v>
      </c>
      <c r="N77" t="s">
        <v>157</v>
      </c>
    </row>
    <row r="78" spans="1:14" x14ac:dyDescent="0.25">
      <c r="K78" s="19"/>
    </row>
    <row r="79" spans="1:14" x14ac:dyDescent="0.25">
      <c r="A79" t="s">
        <v>82</v>
      </c>
      <c r="D79" t="s">
        <v>154</v>
      </c>
      <c r="I79" t="s">
        <v>152</v>
      </c>
      <c r="J79" t="s">
        <v>149</v>
      </c>
      <c r="K79" s="19">
        <f>100/(365.25/2)*0.85</f>
        <v>0.4654346338124572</v>
      </c>
      <c r="M79" t="s">
        <v>155</v>
      </c>
      <c r="N79" t="s">
        <v>157</v>
      </c>
    </row>
    <row r="80" spans="1:14" x14ac:dyDescent="0.25">
      <c r="K80" s="19"/>
    </row>
    <row r="81" spans="1:14" x14ac:dyDescent="0.25">
      <c r="A81" t="s">
        <v>43</v>
      </c>
      <c r="D81" t="s">
        <v>50</v>
      </c>
      <c r="I81" t="s">
        <v>152</v>
      </c>
      <c r="J81" t="s">
        <v>149</v>
      </c>
      <c r="K81" s="19">
        <f>1.5*0.85</f>
        <v>1.2749999999999999</v>
      </c>
      <c r="N81" t="s">
        <v>157</v>
      </c>
    </row>
    <row r="82" spans="1:14" x14ac:dyDescent="0.25">
      <c r="A82" t="s">
        <v>43</v>
      </c>
      <c r="D82" t="s">
        <v>51</v>
      </c>
      <c r="I82" t="s">
        <v>152</v>
      </c>
      <c r="J82" t="s">
        <v>149</v>
      </c>
      <c r="K82" s="22">
        <v>0</v>
      </c>
    </row>
    <row r="83" spans="1:14" x14ac:dyDescent="0.25">
      <c r="A83" t="s">
        <v>43</v>
      </c>
      <c r="D83" t="s">
        <v>53</v>
      </c>
      <c r="I83" t="s">
        <v>152</v>
      </c>
      <c r="J83" t="s">
        <v>149</v>
      </c>
      <c r="K83" s="23">
        <f>K85</f>
        <v>5.9500000000000004E-2</v>
      </c>
      <c r="M83" t="s">
        <v>153</v>
      </c>
    </row>
    <row r="84" spans="1:14" x14ac:dyDescent="0.25">
      <c r="A84" t="s">
        <v>43</v>
      </c>
      <c r="D84" t="s">
        <v>52</v>
      </c>
      <c r="I84" t="s">
        <v>152</v>
      </c>
      <c r="J84" t="s">
        <v>149</v>
      </c>
      <c r="K84" s="19">
        <v>0</v>
      </c>
      <c r="M84" t="s">
        <v>158</v>
      </c>
      <c r="N84" t="s">
        <v>157</v>
      </c>
    </row>
    <row r="85" spans="1:14" x14ac:dyDescent="0.25">
      <c r="A85" t="s">
        <v>43</v>
      </c>
      <c r="D85" t="s">
        <v>44</v>
      </c>
      <c r="I85" t="s">
        <v>152</v>
      </c>
      <c r="J85" t="s">
        <v>149</v>
      </c>
      <c r="K85" s="19">
        <f>0.07*0.85</f>
        <v>5.9500000000000004E-2</v>
      </c>
      <c r="N85" t="s">
        <v>157</v>
      </c>
    </row>
    <row r="86" spans="1:14" x14ac:dyDescent="0.25">
      <c r="A86" t="s">
        <v>43</v>
      </c>
      <c r="D86" t="s">
        <v>45</v>
      </c>
      <c r="I86" t="s">
        <v>152</v>
      </c>
      <c r="J86" t="s">
        <v>149</v>
      </c>
      <c r="K86" s="23">
        <f>K85</f>
        <v>5.9500000000000004E-2</v>
      </c>
    </row>
    <row r="87" spans="1:14" x14ac:dyDescent="0.25">
      <c r="K87" s="23"/>
    </row>
    <row r="88" spans="1:14" x14ac:dyDescent="0.25">
      <c r="A88" t="s">
        <v>63</v>
      </c>
      <c r="C88" t="s">
        <v>83</v>
      </c>
      <c r="K88" s="23"/>
    </row>
    <row r="89" spans="1:14" x14ac:dyDescent="0.25">
      <c r="K89" s="23"/>
    </row>
    <row r="90" spans="1:14" x14ac:dyDescent="0.25">
      <c r="A90" t="s">
        <v>63</v>
      </c>
      <c r="C90" t="s">
        <v>64</v>
      </c>
    </row>
    <row r="91" spans="1:14" x14ac:dyDescent="0.25">
      <c r="J91" s="1"/>
      <c r="K91" s="1"/>
      <c r="L91" s="1"/>
      <c r="M91" s="1"/>
    </row>
    <row r="92" spans="1:14" x14ac:dyDescent="0.25">
      <c r="A92" s="2" t="s">
        <v>49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1:14" x14ac:dyDescent="0.25">
      <c r="A93" s="14" t="s">
        <v>104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</row>
    <row r="94" spans="1:14" x14ac:dyDescent="0.25">
      <c r="J94" s="5" t="s">
        <v>91</v>
      </c>
      <c r="K94" s="5">
        <v>0.04</v>
      </c>
      <c r="L94" s="5" t="s">
        <v>93</v>
      </c>
      <c r="M94" s="5" t="s">
        <v>94</v>
      </c>
      <c r="N94" s="5" t="s">
        <v>92</v>
      </c>
    </row>
    <row r="95" spans="1:14" x14ac:dyDescent="0.25">
      <c r="A95" s="5" t="s">
        <v>43</v>
      </c>
      <c r="J95" s="5" t="s">
        <v>91</v>
      </c>
      <c r="K95" s="5">
        <v>0.02</v>
      </c>
      <c r="L95" s="5" t="s">
        <v>93</v>
      </c>
      <c r="N95" s="5" t="s">
        <v>92</v>
      </c>
    </row>
    <row r="96" spans="1:14" x14ac:dyDescent="0.25">
      <c r="A96" s="5"/>
      <c r="J96" s="5"/>
      <c r="K96" s="5"/>
      <c r="L96" s="5"/>
      <c r="N96" s="5"/>
    </row>
    <row r="97" spans="1:14" x14ac:dyDescent="0.25">
      <c r="A97" s="14" t="s">
        <v>105</v>
      </c>
      <c r="B97" s="15"/>
      <c r="C97" s="15"/>
      <c r="D97" s="15"/>
      <c r="E97" s="15"/>
      <c r="F97" s="16"/>
      <c r="G97" s="15"/>
      <c r="H97" s="15"/>
      <c r="I97" s="15"/>
      <c r="J97" s="15"/>
      <c r="K97" s="15"/>
      <c r="L97" s="15"/>
      <c r="M97" s="15"/>
      <c r="N97" s="15"/>
    </row>
    <row r="98" spans="1:14" x14ac:dyDescent="0.25">
      <c r="J98" s="6" t="s">
        <v>77</v>
      </c>
      <c r="K98" s="6">
        <v>0</v>
      </c>
      <c r="L98" s="6" t="s">
        <v>78</v>
      </c>
      <c r="M98" s="6" t="s">
        <v>79</v>
      </c>
    </row>
    <row r="99" spans="1:14" x14ac:dyDescent="0.25">
      <c r="A99" t="s">
        <v>1</v>
      </c>
      <c r="C99" t="s">
        <v>2</v>
      </c>
      <c r="D99" t="s">
        <v>3</v>
      </c>
      <c r="J99" t="s">
        <v>77</v>
      </c>
      <c r="K99">
        <v>0.24</v>
      </c>
      <c r="L99" t="s">
        <v>78</v>
      </c>
      <c r="N99" t="s">
        <v>86</v>
      </c>
    </row>
    <row r="100" spans="1:14" x14ac:dyDescent="0.25">
      <c r="A100" t="s">
        <v>1</v>
      </c>
      <c r="J100" t="s">
        <v>77</v>
      </c>
      <c r="K100">
        <v>0.18</v>
      </c>
      <c r="L100" t="s">
        <v>78</v>
      </c>
      <c r="N100" t="s">
        <v>86</v>
      </c>
    </row>
    <row r="101" spans="1:14" x14ac:dyDescent="0.25">
      <c r="A101" t="s">
        <v>82</v>
      </c>
      <c r="J101" t="s">
        <v>77</v>
      </c>
      <c r="K101">
        <v>0.19</v>
      </c>
      <c r="L101" t="s">
        <v>78</v>
      </c>
      <c r="N101" t="s">
        <v>95</v>
      </c>
    </row>
    <row r="102" spans="1:14" x14ac:dyDescent="0.25">
      <c r="A102" t="s">
        <v>68</v>
      </c>
      <c r="J102" t="s">
        <v>77</v>
      </c>
      <c r="K102">
        <v>0.3</v>
      </c>
      <c r="L102" t="s">
        <v>78</v>
      </c>
      <c r="N102" t="s">
        <v>95</v>
      </c>
    </row>
    <row r="103" spans="1:14" x14ac:dyDescent="0.25">
      <c r="A103" t="s">
        <v>43</v>
      </c>
      <c r="J103" t="s">
        <v>77</v>
      </c>
      <c r="K103">
        <v>0.45</v>
      </c>
      <c r="L103" t="s">
        <v>78</v>
      </c>
      <c r="N103" t="s">
        <v>86</v>
      </c>
    </row>
    <row r="104" spans="1:14" x14ac:dyDescent="0.25">
      <c r="A104" t="s">
        <v>63</v>
      </c>
      <c r="C104" t="s">
        <v>64</v>
      </c>
      <c r="J104" t="s">
        <v>77</v>
      </c>
      <c r="K104">
        <v>0.36</v>
      </c>
      <c r="L104" t="s">
        <v>78</v>
      </c>
      <c r="N104" t="s">
        <v>95</v>
      </c>
    </row>
    <row r="105" spans="1:14" x14ac:dyDescent="0.25">
      <c r="A105" t="s">
        <v>63</v>
      </c>
      <c r="C105" t="s">
        <v>83</v>
      </c>
      <c r="J105" t="s">
        <v>77</v>
      </c>
      <c r="K105">
        <v>0.39</v>
      </c>
      <c r="L105" t="s">
        <v>78</v>
      </c>
      <c r="N105" t="s">
        <v>95</v>
      </c>
    </row>
    <row r="107" spans="1:14" x14ac:dyDescent="0.25">
      <c r="F107" s="5" t="s">
        <v>19</v>
      </c>
      <c r="J107" t="s">
        <v>84</v>
      </c>
      <c r="K107">
        <v>1</v>
      </c>
      <c r="L107" t="s">
        <v>85</v>
      </c>
      <c r="N107" t="s">
        <v>86</v>
      </c>
    </row>
    <row r="108" spans="1:14" x14ac:dyDescent="0.25">
      <c r="F108" s="5" t="s">
        <v>24</v>
      </c>
      <c r="J108" t="s">
        <v>84</v>
      </c>
      <c r="K108">
        <v>3.5</v>
      </c>
      <c r="L108" t="s">
        <v>85</v>
      </c>
      <c r="N108" t="s">
        <v>86</v>
      </c>
    </row>
    <row r="109" spans="1:14" x14ac:dyDescent="0.25">
      <c r="F109" s="5" t="s">
        <v>25</v>
      </c>
      <c r="J109" t="s">
        <v>84</v>
      </c>
      <c r="K109">
        <v>2</v>
      </c>
      <c r="L109" t="s">
        <v>85</v>
      </c>
      <c r="N109" t="s">
        <v>86</v>
      </c>
    </row>
    <row r="110" spans="1:14" x14ac:dyDescent="0.25">
      <c r="F110" s="5" t="s">
        <v>26</v>
      </c>
      <c r="J110" t="s">
        <v>84</v>
      </c>
      <c r="K110">
        <v>17</v>
      </c>
      <c r="L110" t="s">
        <v>85</v>
      </c>
      <c r="N110" t="s">
        <v>86</v>
      </c>
    </row>
    <row r="112" spans="1:14" x14ac:dyDescent="0.25">
      <c r="J112" t="s">
        <v>97</v>
      </c>
      <c r="K112">
        <v>55</v>
      </c>
      <c r="L112" t="s">
        <v>21</v>
      </c>
      <c r="M112" t="s">
        <v>100</v>
      </c>
      <c r="N112" t="s">
        <v>98</v>
      </c>
    </row>
    <row r="113" spans="1:14" x14ac:dyDescent="0.25">
      <c r="F113" s="5"/>
      <c r="J113" t="s">
        <v>99</v>
      </c>
      <c r="K113">
        <v>10</v>
      </c>
      <c r="L113" t="s">
        <v>21</v>
      </c>
      <c r="M113" t="s">
        <v>101</v>
      </c>
      <c r="N113" t="s">
        <v>98</v>
      </c>
    </row>
    <row r="114" spans="1:14" x14ac:dyDescent="0.25">
      <c r="F114" s="5" t="s">
        <v>19</v>
      </c>
      <c r="J114" t="s">
        <v>99</v>
      </c>
      <c r="K114">
        <v>0</v>
      </c>
      <c r="L114" t="s">
        <v>21</v>
      </c>
    </row>
    <row r="116" spans="1:14" x14ac:dyDescent="0.25">
      <c r="A116" s="2" t="s">
        <v>48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1:14" s="12" customFormat="1" x14ac:dyDescent="0.25">
      <c r="A117" s="14" t="s">
        <v>104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</row>
    <row r="118" spans="1:14" s="12" customFormat="1" x14ac:dyDescent="0.25">
      <c r="A118" s="13"/>
    </row>
    <row r="119" spans="1:14" s="12" customFormat="1" x14ac:dyDescent="0.25">
      <c r="A119" s="13"/>
    </row>
    <row r="120" spans="1:14" s="12" customFormat="1" x14ac:dyDescent="0.25">
      <c r="A120" s="13"/>
    </row>
    <row r="121" spans="1:14" x14ac:dyDescent="0.25">
      <c r="A121" s="8" t="s">
        <v>1</v>
      </c>
      <c r="B121" s="8"/>
      <c r="C121" s="8" t="s">
        <v>2</v>
      </c>
      <c r="D121" s="8" t="s">
        <v>3</v>
      </c>
      <c r="E121" s="8"/>
      <c r="F121" s="8"/>
      <c r="G121" s="8"/>
      <c r="H121" s="8"/>
      <c r="I121" s="8"/>
      <c r="J121" s="8" t="s">
        <v>7</v>
      </c>
      <c r="K121" s="8">
        <v>137</v>
      </c>
      <c r="L121" s="8" t="s">
        <v>8</v>
      </c>
      <c r="M121" s="8"/>
      <c r="N121" s="8" t="s">
        <v>6</v>
      </c>
    </row>
    <row r="122" spans="1:14" x14ac:dyDescent="0.25">
      <c r="A122" s="8" t="s">
        <v>1</v>
      </c>
      <c r="B122" s="8"/>
      <c r="C122" s="8" t="s">
        <v>9</v>
      </c>
      <c r="D122" s="8" t="s">
        <v>3</v>
      </c>
      <c r="E122" s="8"/>
      <c r="F122" s="8"/>
      <c r="G122" s="8"/>
      <c r="H122" s="8"/>
      <c r="I122" s="8"/>
      <c r="J122" s="8" t="s">
        <v>7</v>
      </c>
      <c r="K122" s="8">
        <v>63</v>
      </c>
      <c r="L122" s="8" t="s">
        <v>8</v>
      </c>
      <c r="M122" s="8"/>
      <c r="N122" s="8" t="s">
        <v>11</v>
      </c>
    </row>
    <row r="123" spans="1:14" x14ac:dyDescent="0.25">
      <c r="A123" s="8" t="s">
        <v>1</v>
      </c>
      <c r="B123" s="8"/>
      <c r="C123" s="8"/>
      <c r="D123" s="8" t="s">
        <v>12</v>
      </c>
      <c r="E123" s="8"/>
      <c r="F123" s="8"/>
      <c r="G123" s="8"/>
      <c r="H123" s="8"/>
      <c r="I123" s="8"/>
      <c r="J123" s="8" t="s">
        <v>7</v>
      </c>
      <c r="K123" s="8">
        <v>47</v>
      </c>
      <c r="L123" s="8" t="s">
        <v>8</v>
      </c>
      <c r="M123" s="8"/>
      <c r="N123" s="8" t="s">
        <v>11</v>
      </c>
    </row>
    <row r="124" spans="1:14" x14ac:dyDescent="0.25">
      <c r="A124" s="8" t="s">
        <v>1</v>
      </c>
      <c r="B124" s="8"/>
      <c r="C124" s="8"/>
      <c r="D124" s="8" t="s">
        <v>13</v>
      </c>
      <c r="E124" s="8"/>
      <c r="F124" s="8"/>
      <c r="G124" s="8"/>
      <c r="H124" s="8"/>
      <c r="I124" s="8"/>
      <c r="J124" s="8" t="s">
        <v>7</v>
      </c>
      <c r="K124" s="8">
        <v>28</v>
      </c>
      <c r="L124" s="8" t="s">
        <v>8</v>
      </c>
      <c r="M124" s="8"/>
      <c r="N124" s="8" t="s">
        <v>11</v>
      </c>
    </row>
    <row r="125" spans="1:14" x14ac:dyDescent="0.25">
      <c r="A125" s="8" t="s">
        <v>1</v>
      </c>
      <c r="B125" s="8"/>
      <c r="C125" s="8"/>
      <c r="D125" s="8" t="s">
        <v>15</v>
      </c>
      <c r="E125" s="8"/>
      <c r="F125" s="8"/>
      <c r="G125" s="8"/>
      <c r="H125" s="8"/>
      <c r="I125" s="8"/>
      <c r="J125" s="8" t="s">
        <v>7</v>
      </c>
      <c r="K125" s="8">
        <v>47</v>
      </c>
      <c r="L125" s="8" t="s">
        <v>8</v>
      </c>
      <c r="M125" s="8"/>
      <c r="N125" s="8" t="s">
        <v>11</v>
      </c>
    </row>
    <row r="126" spans="1:14" x14ac:dyDescent="0.25">
      <c r="A126" s="8" t="s">
        <v>1</v>
      </c>
      <c r="B126" s="8"/>
      <c r="C126" s="8"/>
      <c r="D126" s="8" t="s">
        <v>16</v>
      </c>
      <c r="E126" s="8"/>
      <c r="F126" s="8"/>
      <c r="G126" s="8"/>
      <c r="H126" s="8"/>
      <c r="I126" s="8"/>
      <c r="J126" s="8" t="s">
        <v>7</v>
      </c>
      <c r="K126" s="8">
        <v>47</v>
      </c>
      <c r="L126" s="8" t="s">
        <v>8</v>
      </c>
      <c r="M126" s="8"/>
      <c r="N126" s="8" t="s">
        <v>11</v>
      </c>
    </row>
    <row r="127" spans="1:14" x14ac:dyDescent="0.25">
      <c r="A127" s="8" t="s">
        <v>1</v>
      </c>
      <c r="B127" s="8"/>
      <c r="C127" s="8"/>
      <c r="D127" s="8" t="s">
        <v>17</v>
      </c>
      <c r="E127" s="8"/>
      <c r="F127" s="8"/>
      <c r="G127" s="8"/>
      <c r="H127" s="8"/>
      <c r="I127" s="8"/>
      <c r="J127" s="8" t="s">
        <v>7</v>
      </c>
      <c r="K127" s="8">
        <v>47</v>
      </c>
      <c r="L127" s="8" t="s">
        <v>8</v>
      </c>
      <c r="M127" s="8" t="s">
        <v>18</v>
      </c>
      <c r="N127" s="8" t="s">
        <v>11</v>
      </c>
    </row>
    <row r="128" spans="1:14" x14ac:dyDescent="0.25">
      <c r="A128" s="8" t="s">
        <v>43</v>
      </c>
      <c r="B128" s="8"/>
      <c r="C128" s="8"/>
      <c r="D128" s="8" t="s">
        <v>50</v>
      </c>
      <c r="E128" s="8"/>
      <c r="F128" s="8"/>
      <c r="G128" s="8"/>
      <c r="H128" s="8"/>
      <c r="I128" s="8"/>
      <c r="J128" s="8" t="s">
        <v>7</v>
      </c>
      <c r="K128" s="8">
        <v>22.5</v>
      </c>
      <c r="L128" s="8" t="s">
        <v>8</v>
      </c>
      <c r="M128" s="8"/>
      <c r="N128" s="8" t="s">
        <v>11</v>
      </c>
    </row>
    <row r="129" spans="1:14" x14ac:dyDescent="0.25">
      <c r="A129" s="8" t="s">
        <v>43</v>
      </c>
      <c r="B129" s="8"/>
      <c r="C129" s="8"/>
      <c r="D129" s="8" t="s">
        <v>51</v>
      </c>
      <c r="E129" s="8"/>
      <c r="F129" s="8"/>
      <c r="G129" s="8"/>
      <c r="H129" s="8"/>
      <c r="I129" s="8"/>
      <c r="J129" s="8" t="s">
        <v>7</v>
      </c>
      <c r="K129" s="8">
        <v>13</v>
      </c>
      <c r="L129" s="8" t="s">
        <v>8</v>
      </c>
      <c r="M129" s="8"/>
      <c r="N129" s="8" t="s">
        <v>11</v>
      </c>
    </row>
    <row r="130" spans="1:14" x14ac:dyDescent="0.25">
      <c r="A130" s="8" t="s">
        <v>43</v>
      </c>
      <c r="B130" s="8"/>
      <c r="C130" s="8"/>
      <c r="D130" s="8" t="s">
        <v>52</v>
      </c>
      <c r="E130" s="8"/>
      <c r="F130" s="8"/>
      <c r="G130" s="8"/>
      <c r="H130" s="8"/>
      <c r="I130" s="8"/>
      <c r="J130" s="8" t="s">
        <v>7</v>
      </c>
      <c r="K130" s="8">
        <v>1.2</v>
      </c>
      <c r="L130" s="8" t="s">
        <v>8</v>
      </c>
      <c r="M130" s="9" t="s">
        <v>56</v>
      </c>
      <c r="N130" s="8" t="s">
        <v>11</v>
      </c>
    </row>
    <row r="131" spans="1:14" x14ac:dyDescent="0.25">
      <c r="A131" s="8" t="s">
        <v>43</v>
      </c>
      <c r="B131" s="8"/>
      <c r="C131" s="8"/>
      <c r="D131" s="8" t="s">
        <v>53</v>
      </c>
      <c r="E131" s="8"/>
      <c r="F131" s="8"/>
      <c r="G131" s="8"/>
      <c r="H131" s="8"/>
      <c r="I131" s="8"/>
      <c r="J131" s="8" t="s">
        <v>7</v>
      </c>
      <c r="K131" s="8">
        <v>9.5</v>
      </c>
      <c r="L131" s="8" t="s">
        <v>8</v>
      </c>
      <c r="M131" s="8" t="s">
        <v>54</v>
      </c>
      <c r="N131" s="8" t="s">
        <v>11</v>
      </c>
    </row>
    <row r="132" spans="1:14" x14ac:dyDescent="0.25">
      <c r="A132" s="8" t="s">
        <v>43</v>
      </c>
      <c r="B132" s="8"/>
      <c r="C132" s="8"/>
      <c r="D132" s="8" t="s">
        <v>44</v>
      </c>
      <c r="E132" s="8"/>
      <c r="F132" s="8"/>
      <c r="G132" s="8"/>
      <c r="H132" s="8"/>
      <c r="I132" s="8"/>
      <c r="J132" s="8" t="s">
        <v>7</v>
      </c>
      <c r="K132" s="8">
        <v>9.5</v>
      </c>
      <c r="L132" s="8" t="s">
        <v>8</v>
      </c>
      <c r="M132" s="8" t="s">
        <v>55</v>
      </c>
      <c r="N132" s="8" t="s">
        <v>11</v>
      </c>
    </row>
    <row r="133" spans="1:14" x14ac:dyDescent="0.25">
      <c r="A133" s="8" t="s">
        <v>43</v>
      </c>
      <c r="B133" s="8"/>
      <c r="C133" s="8"/>
      <c r="D133" s="8" t="s">
        <v>45</v>
      </c>
      <c r="E133" s="8"/>
      <c r="F133" s="8"/>
      <c r="G133" s="8"/>
      <c r="H133" s="8"/>
      <c r="I133" s="8"/>
      <c r="J133" s="8" t="s">
        <v>7</v>
      </c>
      <c r="K133" s="8">
        <v>9.5</v>
      </c>
      <c r="L133" s="8" t="s">
        <v>8</v>
      </c>
      <c r="M133" s="8" t="s">
        <v>55</v>
      </c>
      <c r="N133" s="8" t="s">
        <v>11</v>
      </c>
    </row>
    <row r="134" spans="1:14" x14ac:dyDescent="0.25">
      <c r="A134" t="s">
        <v>68</v>
      </c>
      <c r="J134" t="s">
        <v>7</v>
      </c>
      <c r="K134">
        <v>48</v>
      </c>
      <c r="L134" t="s">
        <v>8</v>
      </c>
      <c r="N134" t="s">
        <v>11</v>
      </c>
    </row>
    <row r="135" spans="1:14" x14ac:dyDescent="0.25">
      <c r="A135" t="s">
        <v>68</v>
      </c>
      <c r="J135" t="s">
        <v>127</v>
      </c>
      <c r="K135" s="17">
        <f>K134 * (6.4/2.29)/16</f>
        <v>8.3842794759825345</v>
      </c>
      <c r="L135" t="s">
        <v>130</v>
      </c>
      <c r="M135" t="s">
        <v>132</v>
      </c>
      <c r="N135" t="s">
        <v>136</v>
      </c>
    </row>
    <row r="136" spans="1:14" x14ac:dyDescent="0.25">
      <c r="A136" t="s">
        <v>68</v>
      </c>
      <c r="J136" t="s">
        <v>128</v>
      </c>
      <c r="K136" s="17">
        <f>K134 * (15.9/(47/39))/16</f>
        <v>39.58085106382979</v>
      </c>
      <c r="L136" t="s">
        <v>131</v>
      </c>
      <c r="M136" t="s">
        <v>133</v>
      </c>
      <c r="N136" t="s">
        <v>136</v>
      </c>
    </row>
    <row r="137" spans="1:14" x14ac:dyDescent="0.25">
      <c r="A137" t="s">
        <v>63</v>
      </c>
      <c r="C137" t="s">
        <v>83</v>
      </c>
      <c r="J137" t="s">
        <v>7</v>
      </c>
      <c r="K137" s="19">
        <v>0.6</v>
      </c>
      <c r="L137" t="s">
        <v>8</v>
      </c>
      <c r="N137" t="s">
        <v>11</v>
      </c>
    </row>
    <row r="138" spans="1:14" x14ac:dyDescent="0.25">
      <c r="A138" t="s">
        <v>63</v>
      </c>
      <c r="C138" t="s">
        <v>83</v>
      </c>
      <c r="J138" t="s">
        <v>127</v>
      </c>
      <c r="K138" s="19">
        <f>K137 * (0.39/2.29)/0.75</f>
        <v>0.13624454148471615</v>
      </c>
      <c r="L138" t="s">
        <v>130</v>
      </c>
      <c r="M138" t="s">
        <v>132</v>
      </c>
      <c r="N138" t="s">
        <v>135</v>
      </c>
    </row>
    <row r="139" spans="1:14" x14ac:dyDescent="0.25">
      <c r="A139" t="s">
        <v>63</v>
      </c>
      <c r="C139" t="s">
        <v>83</v>
      </c>
      <c r="J139" t="s">
        <v>128</v>
      </c>
      <c r="K139" s="19">
        <f>K137 * (0.33/(47/39))/0.75</f>
        <v>0.21906382978723404</v>
      </c>
      <c r="L139" t="s">
        <v>131</v>
      </c>
      <c r="M139" t="s">
        <v>133</v>
      </c>
      <c r="N139" t="s">
        <v>135</v>
      </c>
    </row>
    <row r="140" spans="1:14" x14ac:dyDescent="0.25">
      <c r="A140" t="s">
        <v>63</v>
      </c>
      <c r="C140" t="s">
        <v>64</v>
      </c>
      <c r="D140" t="s">
        <v>65</v>
      </c>
      <c r="J140" t="s">
        <v>7</v>
      </c>
      <c r="K140">
        <v>0.28999999999999998</v>
      </c>
      <c r="L140" t="s">
        <v>8</v>
      </c>
      <c r="N140" t="s">
        <v>11</v>
      </c>
    </row>
    <row r="141" spans="1:14" x14ac:dyDescent="0.25">
      <c r="A141" t="s">
        <v>63</v>
      </c>
      <c r="C141" t="s">
        <v>64</v>
      </c>
      <c r="D141" t="s">
        <v>65</v>
      </c>
      <c r="J141" t="s">
        <v>127</v>
      </c>
      <c r="K141" s="19">
        <f>K140 * (0.19/2.29)/0.53</f>
        <v>4.5398368624866105E-2</v>
      </c>
      <c r="L141" t="s">
        <v>130</v>
      </c>
      <c r="M141" t="s">
        <v>132</v>
      </c>
      <c r="N141" t="s">
        <v>129</v>
      </c>
    </row>
    <row r="142" spans="1:14" x14ac:dyDescent="0.25">
      <c r="A142" t="s">
        <v>63</v>
      </c>
      <c r="C142" t="s">
        <v>64</v>
      </c>
      <c r="D142" t="s">
        <v>65</v>
      </c>
      <c r="J142" t="s">
        <v>128</v>
      </c>
      <c r="K142" s="19">
        <f>K140 * (0.26/(47/39))/0.53</f>
        <v>0.11804897631473303</v>
      </c>
      <c r="L142" t="s">
        <v>131</v>
      </c>
      <c r="M142" t="s">
        <v>133</v>
      </c>
      <c r="N142" t="s">
        <v>129</v>
      </c>
    </row>
    <row r="143" spans="1:14" x14ac:dyDescent="0.25">
      <c r="A143" t="s">
        <v>63</v>
      </c>
      <c r="C143" t="s">
        <v>64</v>
      </c>
      <c r="J143" t="s">
        <v>7</v>
      </c>
      <c r="K143" s="19">
        <v>0.6</v>
      </c>
      <c r="L143" t="s">
        <v>8</v>
      </c>
      <c r="M143" t="s">
        <v>66</v>
      </c>
      <c r="N143" t="s">
        <v>11</v>
      </c>
    </row>
    <row r="144" spans="1:14" x14ac:dyDescent="0.25">
      <c r="A144" t="s">
        <v>63</v>
      </c>
      <c r="C144" t="s">
        <v>64</v>
      </c>
      <c r="J144" t="s">
        <v>127</v>
      </c>
      <c r="K144" s="19">
        <f>K143 * (0.55/2.29)/1.12</f>
        <v>0.12866500311915158</v>
      </c>
      <c r="L144" t="s">
        <v>130</v>
      </c>
      <c r="M144" t="s">
        <v>132</v>
      </c>
      <c r="N144" t="s">
        <v>134</v>
      </c>
    </row>
    <row r="145" spans="1:14" x14ac:dyDescent="0.25">
      <c r="A145" t="s">
        <v>63</v>
      </c>
      <c r="C145" t="s">
        <v>64</v>
      </c>
      <c r="J145" t="s">
        <v>128</v>
      </c>
      <c r="K145" s="19">
        <f>K143 * (0.44/(47/39))/1.12</f>
        <v>0.19559270516717325</v>
      </c>
      <c r="L145" t="s">
        <v>131</v>
      </c>
      <c r="M145" t="s">
        <v>133</v>
      </c>
      <c r="N145" t="s">
        <v>134</v>
      </c>
    </row>
    <row r="146" spans="1:14" x14ac:dyDescent="0.25">
      <c r="F146" s="5"/>
    </row>
    <row r="147" spans="1:14" s="12" customFormat="1" x14ac:dyDescent="0.25">
      <c r="A147" s="13"/>
      <c r="J147" s="6" t="s">
        <v>102</v>
      </c>
      <c r="K147" s="18">
        <v>0</v>
      </c>
      <c r="L147" s="18"/>
      <c r="M147" s="18" t="s">
        <v>122</v>
      </c>
    </row>
    <row r="148" spans="1:14" s="12" customFormat="1" x14ac:dyDescent="0.25">
      <c r="A148" s="13"/>
      <c r="J148" s="6" t="s">
        <v>106</v>
      </c>
      <c r="K148" s="18">
        <v>0</v>
      </c>
      <c r="L148" s="18"/>
      <c r="M148" s="18" t="s">
        <v>122</v>
      </c>
    </row>
    <row r="149" spans="1:14" s="12" customFormat="1" x14ac:dyDescent="0.25">
      <c r="A149" s="13"/>
      <c r="J149" s="6" t="s">
        <v>107</v>
      </c>
      <c r="K149" s="18">
        <v>0</v>
      </c>
      <c r="L149" s="18"/>
      <c r="M149" s="18" t="s">
        <v>122</v>
      </c>
    </row>
    <row r="150" spans="1:14" x14ac:dyDescent="0.25">
      <c r="A150" t="s">
        <v>1</v>
      </c>
      <c r="D150" t="s">
        <v>3</v>
      </c>
      <c r="F150" s="5"/>
      <c r="J150" t="s">
        <v>102</v>
      </c>
      <c r="K150">
        <v>22.5</v>
      </c>
      <c r="L150" t="s">
        <v>108</v>
      </c>
      <c r="M150" t="s">
        <v>111</v>
      </c>
      <c r="N150" t="s">
        <v>124</v>
      </c>
    </row>
    <row r="151" spans="1:14" x14ac:dyDescent="0.25">
      <c r="A151" t="s">
        <v>1</v>
      </c>
      <c r="D151" t="s">
        <v>3</v>
      </c>
      <c r="F151" s="5"/>
      <c r="J151" t="s">
        <v>106</v>
      </c>
      <c r="K151">
        <v>7.4</v>
      </c>
      <c r="L151" t="s">
        <v>109</v>
      </c>
      <c r="N151" t="s">
        <v>124</v>
      </c>
    </row>
    <row r="152" spans="1:14" x14ac:dyDescent="0.25">
      <c r="A152" t="s">
        <v>1</v>
      </c>
      <c r="D152" t="s">
        <v>3</v>
      </c>
      <c r="F152" s="5"/>
      <c r="J152" t="s">
        <v>107</v>
      </c>
      <c r="K152" s="17">
        <v>2</v>
      </c>
      <c r="L152" t="s">
        <v>110</v>
      </c>
      <c r="N152" t="s">
        <v>124</v>
      </c>
    </row>
    <row r="153" spans="1:14" x14ac:dyDescent="0.25">
      <c r="A153" t="s">
        <v>1</v>
      </c>
      <c r="D153" t="s">
        <v>12</v>
      </c>
      <c r="F153" s="5"/>
      <c r="J153" t="s">
        <v>102</v>
      </c>
      <c r="K153">
        <f>23.1</f>
        <v>23.1</v>
      </c>
      <c r="L153" t="s">
        <v>108</v>
      </c>
      <c r="M153" t="s">
        <v>112</v>
      </c>
      <c r="N153" t="s">
        <v>124</v>
      </c>
    </row>
    <row r="154" spans="1:14" x14ac:dyDescent="0.25">
      <c r="A154" t="s">
        <v>1</v>
      </c>
      <c r="D154" t="s">
        <v>12</v>
      </c>
      <c r="F154" s="5"/>
      <c r="J154" t="s">
        <v>106</v>
      </c>
      <c r="K154">
        <v>7.4</v>
      </c>
      <c r="L154" t="s">
        <v>109</v>
      </c>
      <c r="N154" t="s">
        <v>124</v>
      </c>
    </row>
    <row r="155" spans="1:14" x14ac:dyDescent="0.25">
      <c r="A155" t="s">
        <v>1</v>
      </c>
      <c r="D155" t="s">
        <v>12</v>
      </c>
      <c r="F155" s="5"/>
      <c r="J155" t="s">
        <v>107</v>
      </c>
      <c r="K155" s="17">
        <v>2</v>
      </c>
      <c r="L155" t="s">
        <v>110</v>
      </c>
      <c r="N155" t="s">
        <v>124</v>
      </c>
    </row>
    <row r="156" spans="1:14" x14ac:dyDescent="0.25">
      <c r="A156" t="s">
        <v>1</v>
      </c>
      <c r="D156" t="s">
        <v>13</v>
      </c>
      <c r="F156" s="5"/>
      <c r="J156" t="s">
        <v>102</v>
      </c>
      <c r="K156">
        <v>26.4</v>
      </c>
      <c r="L156" t="s">
        <v>108</v>
      </c>
      <c r="M156" t="s">
        <v>113</v>
      </c>
      <c r="N156" t="s">
        <v>124</v>
      </c>
    </row>
    <row r="157" spans="1:14" x14ac:dyDescent="0.25">
      <c r="A157" t="s">
        <v>1</v>
      </c>
      <c r="D157" t="s">
        <v>13</v>
      </c>
      <c r="F157" s="5"/>
      <c r="J157" t="s">
        <v>106</v>
      </c>
      <c r="K157">
        <v>6.85</v>
      </c>
      <c r="L157" t="s">
        <v>109</v>
      </c>
      <c r="N157" t="s">
        <v>124</v>
      </c>
    </row>
    <row r="158" spans="1:14" x14ac:dyDescent="0.25">
      <c r="A158" t="s">
        <v>1</v>
      </c>
      <c r="D158" t="s">
        <v>13</v>
      </c>
      <c r="F158" s="5"/>
      <c r="J158" t="s">
        <v>107</v>
      </c>
      <c r="K158">
        <v>1.69</v>
      </c>
      <c r="L158" t="s">
        <v>110</v>
      </c>
      <c r="N158" t="s">
        <v>124</v>
      </c>
    </row>
    <row r="159" spans="1:14" x14ac:dyDescent="0.25">
      <c r="A159" t="s">
        <v>1</v>
      </c>
      <c r="D159" t="s">
        <v>15</v>
      </c>
      <c r="F159" s="5"/>
      <c r="J159" t="s">
        <v>102</v>
      </c>
      <c r="K159">
        <v>27.04</v>
      </c>
      <c r="L159" t="s">
        <v>108</v>
      </c>
      <c r="M159" t="s">
        <v>115</v>
      </c>
      <c r="N159" t="s">
        <v>124</v>
      </c>
    </row>
    <row r="160" spans="1:14" x14ac:dyDescent="0.25">
      <c r="A160" t="s">
        <v>1</v>
      </c>
      <c r="D160" t="s">
        <v>15</v>
      </c>
      <c r="F160" s="5"/>
      <c r="J160" t="s">
        <v>106</v>
      </c>
      <c r="K160">
        <v>7.4</v>
      </c>
      <c r="L160" t="s">
        <v>109</v>
      </c>
      <c r="N160" t="s">
        <v>124</v>
      </c>
    </row>
    <row r="161" spans="1:14" x14ac:dyDescent="0.25">
      <c r="A161" t="s">
        <v>1</v>
      </c>
      <c r="D161" t="s">
        <v>15</v>
      </c>
      <c r="F161" s="5"/>
      <c r="J161" t="s">
        <v>107</v>
      </c>
      <c r="K161">
        <v>1.91</v>
      </c>
      <c r="L161" t="s">
        <v>110</v>
      </c>
      <c r="N161" t="s">
        <v>124</v>
      </c>
    </row>
    <row r="162" spans="1:14" x14ac:dyDescent="0.25">
      <c r="A162" t="s">
        <v>1</v>
      </c>
      <c r="D162" t="s">
        <v>16</v>
      </c>
      <c r="F162" s="5"/>
      <c r="J162" t="s">
        <v>102</v>
      </c>
      <c r="K162">
        <v>27.04</v>
      </c>
      <c r="L162" t="s">
        <v>108</v>
      </c>
      <c r="M162" t="s">
        <v>115</v>
      </c>
      <c r="N162" t="s">
        <v>124</v>
      </c>
    </row>
    <row r="163" spans="1:14" x14ac:dyDescent="0.25">
      <c r="A163" t="s">
        <v>1</v>
      </c>
      <c r="D163" t="s">
        <v>16</v>
      </c>
      <c r="F163" s="5"/>
      <c r="J163" t="s">
        <v>106</v>
      </c>
      <c r="K163">
        <v>7.4</v>
      </c>
      <c r="L163" t="s">
        <v>109</v>
      </c>
      <c r="N163" t="s">
        <v>124</v>
      </c>
    </row>
    <row r="164" spans="1:14" x14ac:dyDescent="0.25">
      <c r="A164" t="s">
        <v>1</v>
      </c>
      <c r="D164" t="s">
        <v>16</v>
      </c>
      <c r="F164" s="5"/>
      <c r="J164" t="s">
        <v>107</v>
      </c>
      <c r="K164">
        <v>1.91</v>
      </c>
      <c r="L164" t="s">
        <v>110</v>
      </c>
      <c r="N164" t="s">
        <v>124</v>
      </c>
    </row>
    <row r="165" spans="1:14" x14ac:dyDescent="0.25">
      <c r="A165" t="s">
        <v>1</v>
      </c>
      <c r="D165" t="s">
        <v>17</v>
      </c>
      <c r="F165" s="5"/>
      <c r="J165" t="s">
        <v>102</v>
      </c>
      <c r="K165">
        <v>25.28</v>
      </c>
      <c r="L165" t="s">
        <v>108</v>
      </c>
      <c r="M165" t="s">
        <v>114</v>
      </c>
      <c r="N165" t="s">
        <v>124</v>
      </c>
    </row>
    <row r="166" spans="1:14" x14ac:dyDescent="0.25">
      <c r="A166" t="s">
        <v>1</v>
      </c>
      <c r="D166" t="s">
        <v>17</v>
      </c>
      <c r="F166" s="5"/>
      <c r="J166" t="s">
        <v>106</v>
      </c>
      <c r="K166">
        <v>7.4</v>
      </c>
      <c r="L166" t="s">
        <v>109</v>
      </c>
      <c r="N166" t="s">
        <v>124</v>
      </c>
    </row>
    <row r="167" spans="1:14" x14ac:dyDescent="0.25">
      <c r="A167" t="s">
        <v>1</v>
      </c>
      <c r="D167" t="s">
        <v>17</v>
      </c>
      <c r="F167" s="5"/>
      <c r="J167" t="s">
        <v>107</v>
      </c>
      <c r="K167" s="17">
        <v>2</v>
      </c>
      <c r="L167" t="s">
        <v>110</v>
      </c>
      <c r="N167" t="s">
        <v>124</v>
      </c>
    </row>
    <row r="168" spans="1:14" x14ac:dyDescent="0.25">
      <c r="F168" s="5"/>
    </row>
    <row r="169" spans="1:14" x14ac:dyDescent="0.25">
      <c r="A169" t="s">
        <v>82</v>
      </c>
      <c r="F169" s="5"/>
      <c r="J169" t="s">
        <v>102</v>
      </c>
      <c r="K169" s="5">
        <v>25</v>
      </c>
      <c r="L169" t="s">
        <v>108</v>
      </c>
      <c r="M169" t="s">
        <v>125</v>
      </c>
      <c r="N169" t="s">
        <v>124</v>
      </c>
    </row>
    <row r="170" spans="1:14" x14ac:dyDescent="0.25">
      <c r="A170" t="s">
        <v>82</v>
      </c>
      <c r="F170" s="5"/>
      <c r="J170" t="s">
        <v>106</v>
      </c>
      <c r="K170" s="5">
        <v>7.8</v>
      </c>
      <c r="L170" t="s">
        <v>109</v>
      </c>
      <c r="N170" t="s">
        <v>124</v>
      </c>
    </row>
    <row r="171" spans="1:14" x14ac:dyDescent="0.25">
      <c r="A171" t="s">
        <v>82</v>
      </c>
      <c r="F171" s="5"/>
      <c r="J171" t="s">
        <v>107</v>
      </c>
      <c r="K171" s="5">
        <v>1.7</v>
      </c>
      <c r="L171" t="s">
        <v>110</v>
      </c>
      <c r="N171" t="s">
        <v>124</v>
      </c>
    </row>
    <row r="172" spans="1:14" x14ac:dyDescent="0.25">
      <c r="A172" t="s">
        <v>82</v>
      </c>
      <c r="D172" t="s">
        <v>116</v>
      </c>
      <c r="F172" s="5"/>
      <c r="J172" t="s">
        <v>102</v>
      </c>
      <c r="K172" s="5">
        <v>26.2</v>
      </c>
      <c r="L172" t="s">
        <v>108</v>
      </c>
      <c r="M172" t="s">
        <v>126</v>
      </c>
      <c r="N172" t="s">
        <v>124</v>
      </c>
    </row>
    <row r="173" spans="1:14" x14ac:dyDescent="0.25">
      <c r="A173" t="s">
        <v>82</v>
      </c>
      <c r="D173" t="s">
        <v>116</v>
      </c>
      <c r="F173" s="5"/>
      <c r="J173" t="s">
        <v>106</v>
      </c>
      <c r="K173" s="5">
        <v>5.2</v>
      </c>
      <c r="L173" t="s">
        <v>109</v>
      </c>
      <c r="N173" t="s">
        <v>124</v>
      </c>
    </row>
    <row r="174" spans="1:14" x14ac:dyDescent="0.25">
      <c r="A174" t="s">
        <v>82</v>
      </c>
      <c r="D174" t="s">
        <v>116</v>
      </c>
      <c r="F174" s="5"/>
      <c r="J174" t="s">
        <v>107</v>
      </c>
      <c r="K174" s="5">
        <v>1.7</v>
      </c>
      <c r="L174" t="s">
        <v>110</v>
      </c>
      <c r="N174" t="s">
        <v>124</v>
      </c>
    </row>
    <row r="175" spans="1:14" x14ac:dyDescent="0.25">
      <c r="F175" s="5"/>
      <c r="K175" s="5"/>
    </row>
    <row r="176" spans="1:14" x14ac:dyDescent="0.25">
      <c r="A176" t="s">
        <v>68</v>
      </c>
      <c r="F176" s="5"/>
      <c r="J176" t="s">
        <v>102</v>
      </c>
      <c r="K176" s="5">
        <v>29.9</v>
      </c>
      <c r="L176" t="s">
        <v>108</v>
      </c>
      <c r="M176" t="s">
        <v>123</v>
      </c>
      <c r="N176" t="s">
        <v>124</v>
      </c>
    </row>
    <row r="177" spans="1:14" x14ac:dyDescent="0.25">
      <c r="A177" t="s">
        <v>68</v>
      </c>
      <c r="F177" s="5"/>
      <c r="J177" t="s">
        <v>106</v>
      </c>
      <c r="K177" s="5">
        <v>7.5</v>
      </c>
      <c r="L177" t="s">
        <v>109</v>
      </c>
      <c r="N177" t="s">
        <v>124</v>
      </c>
    </row>
    <row r="178" spans="1:14" x14ac:dyDescent="0.25">
      <c r="A178" t="s">
        <v>68</v>
      </c>
      <c r="F178" s="5"/>
      <c r="J178" t="s">
        <v>107</v>
      </c>
      <c r="K178" s="5">
        <v>2</v>
      </c>
      <c r="L178" t="s">
        <v>110</v>
      </c>
      <c r="N178" t="s">
        <v>124</v>
      </c>
    </row>
    <row r="179" spans="1:14" x14ac:dyDescent="0.25">
      <c r="F179" s="5"/>
      <c r="K179" s="17"/>
    </row>
    <row r="180" spans="1:14" x14ac:dyDescent="0.25">
      <c r="A180" t="s">
        <v>43</v>
      </c>
      <c r="D180" t="s">
        <v>50</v>
      </c>
      <c r="F180" s="5"/>
      <c r="J180" t="s">
        <v>102</v>
      </c>
      <c r="K180">
        <v>25</v>
      </c>
      <c r="L180" t="s">
        <v>108</v>
      </c>
      <c r="M180" t="s">
        <v>117</v>
      </c>
      <c r="N180" t="s">
        <v>124</v>
      </c>
    </row>
    <row r="181" spans="1:14" x14ac:dyDescent="0.25">
      <c r="A181" t="s">
        <v>43</v>
      </c>
      <c r="D181" t="s">
        <v>50</v>
      </c>
      <c r="F181" s="5"/>
      <c r="J181" t="s">
        <v>106</v>
      </c>
      <c r="K181">
        <v>5.35</v>
      </c>
      <c r="L181" t="s">
        <v>109</v>
      </c>
      <c r="N181" t="s">
        <v>124</v>
      </c>
    </row>
    <row r="182" spans="1:14" x14ac:dyDescent="0.25">
      <c r="A182" t="s">
        <v>43</v>
      </c>
      <c r="D182" t="s">
        <v>50</v>
      </c>
      <c r="F182" s="5"/>
      <c r="J182" t="s">
        <v>107</v>
      </c>
      <c r="K182" s="17">
        <v>2.08</v>
      </c>
      <c r="L182" t="s">
        <v>110</v>
      </c>
      <c r="N182" t="s">
        <v>124</v>
      </c>
    </row>
    <row r="183" spans="1:14" x14ac:dyDescent="0.25">
      <c r="A183" t="s">
        <v>43</v>
      </c>
      <c r="D183" t="s">
        <v>53</v>
      </c>
      <c r="J183" t="s">
        <v>102</v>
      </c>
      <c r="K183" s="17">
        <v>24.9</v>
      </c>
      <c r="L183" t="s">
        <v>108</v>
      </c>
      <c r="M183" t="s">
        <v>118</v>
      </c>
      <c r="N183" t="s">
        <v>124</v>
      </c>
    </row>
    <row r="184" spans="1:14" x14ac:dyDescent="0.25">
      <c r="A184" t="s">
        <v>43</v>
      </c>
      <c r="D184" t="s">
        <v>53</v>
      </c>
      <c r="J184" t="s">
        <v>106</v>
      </c>
      <c r="K184" s="17">
        <v>5.35</v>
      </c>
      <c r="L184" t="s">
        <v>109</v>
      </c>
      <c r="N184" t="s">
        <v>124</v>
      </c>
    </row>
    <row r="185" spans="1:14" x14ac:dyDescent="0.25">
      <c r="A185" t="s">
        <v>43</v>
      </c>
      <c r="D185" t="s">
        <v>53</v>
      </c>
      <c r="J185" t="s">
        <v>107</v>
      </c>
      <c r="K185" s="17">
        <v>2.25</v>
      </c>
      <c r="L185" t="s">
        <v>110</v>
      </c>
      <c r="N185" t="s">
        <v>124</v>
      </c>
    </row>
    <row r="186" spans="1:14" x14ac:dyDescent="0.25">
      <c r="A186" t="s">
        <v>43</v>
      </c>
      <c r="D186" t="s">
        <v>51</v>
      </c>
      <c r="J186" t="s">
        <v>102</v>
      </c>
      <c r="K186" s="17">
        <v>25</v>
      </c>
      <c r="L186" t="s">
        <v>108</v>
      </c>
      <c r="M186" t="s">
        <v>119</v>
      </c>
      <c r="N186" t="s">
        <v>124</v>
      </c>
    </row>
    <row r="187" spans="1:14" x14ac:dyDescent="0.25">
      <c r="A187" t="s">
        <v>43</v>
      </c>
      <c r="D187" t="s">
        <v>51</v>
      </c>
      <c r="J187" t="s">
        <v>106</v>
      </c>
      <c r="K187" s="17">
        <v>5.35</v>
      </c>
      <c r="L187" t="s">
        <v>109</v>
      </c>
      <c r="N187" t="s">
        <v>124</v>
      </c>
    </row>
    <row r="188" spans="1:14" x14ac:dyDescent="0.25">
      <c r="A188" t="s">
        <v>43</v>
      </c>
      <c r="D188" t="s">
        <v>51</v>
      </c>
      <c r="J188" t="s">
        <v>107</v>
      </c>
      <c r="K188" s="17">
        <v>2.04</v>
      </c>
      <c r="L188" t="s">
        <v>110</v>
      </c>
      <c r="N188" t="s">
        <v>124</v>
      </c>
    </row>
    <row r="189" spans="1:14" x14ac:dyDescent="0.25">
      <c r="A189" t="s">
        <v>43</v>
      </c>
      <c r="D189" t="s">
        <v>52</v>
      </c>
      <c r="F189" s="5"/>
      <c r="J189" t="s">
        <v>102</v>
      </c>
      <c r="K189" s="17">
        <v>23.1</v>
      </c>
      <c r="L189" t="s">
        <v>108</v>
      </c>
      <c r="M189" t="s">
        <v>120</v>
      </c>
      <c r="N189" t="s">
        <v>124</v>
      </c>
    </row>
    <row r="190" spans="1:14" x14ac:dyDescent="0.25">
      <c r="A190" t="s">
        <v>43</v>
      </c>
      <c r="D190" t="s">
        <v>52</v>
      </c>
      <c r="F190" s="5"/>
      <c r="J190" t="s">
        <v>106</v>
      </c>
      <c r="K190" s="17">
        <v>5.36</v>
      </c>
      <c r="L190" t="s">
        <v>109</v>
      </c>
      <c r="N190" t="s">
        <v>124</v>
      </c>
    </row>
    <row r="191" spans="1:14" x14ac:dyDescent="0.25">
      <c r="A191" t="s">
        <v>43</v>
      </c>
      <c r="D191" t="s">
        <v>52</v>
      </c>
      <c r="F191" s="5"/>
      <c r="J191" t="s">
        <v>107</v>
      </c>
      <c r="K191" s="17">
        <v>2.64</v>
      </c>
      <c r="L191" t="s">
        <v>110</v>
      </c>
      <c r="N191" t="s">
        <v>124</v>
      </c>
    </row>
    <row r="192" spans="1:14" x14ac:dyDescent="0.25">
      <c r="A192" t="s">
        <v>43</v>
      </c>
      <c r="F192" s="5"/>
      <c r="J192" t="s">
        <v>102</v>
      </c>
      <c r="K192" s="17">
        <v>25</v>
      </c>
      <c r="L192" t="s">
        <v>108</v>
      </c>
      <c r="M192" t="s">
        <v>121</v>
      </c>
      <c r="N192" t="s">
        <v>124</v>
      </c>
    </row>
    <row r="193" spans="1:14" x14ac:dyDescent="0.25">
      <c r="A193" t="s">
        <v>43</v>
      </c>
      <c r="F193" s="5"/>
      <c r="J193" t="s">
        <v>106</v>
      </c>
      <c r="K193" s="17">
        <v>5.36</v>
      </c>
      <c r="L193" t="s">
        <v>109</v>
      </c>
      <c r="N193" t="s">
        <v>124</v>
      </c>
    </row>
    <row r="194" spans="1:14" x14ac:dyDescent="0.25">
      <c r="A194" t="s">
        <v>43</v>
      </c>
      <c r="F194" s="5"/>
      <c r="J194" t="s">
        <v>107</v>
      </c>
      <c r="K194" s="17">
        <v>2.2799999999999998</v>
      </c>
      <c r="L194" t="s">
        <v>110</v>
      </c>
      <c r="N194" t="s">
        <v>124</v>
      </c>
    </row>
    <row r="195" spans="1:14" x14ac:dyDescent="0.25">
      <c r="F195" s="5"/>
      <c r="K195" s="17"/>
    </row>
    <row r="196" spans="1:14" x14ac:dyDescent="0.25">
      <c r="F196" s="5"/>
      <c r="J196" s="6" t="s">
        <v>137</v>
      </c>
      <c r="K196" s="20">
        <v>0</v>
      </c>
      <c r="L196" s="6" t="s">
        <v>122</v>
      </c>
    </row>
    <row r="197" spans="1:14" x14ac:dyDescent="0.25">
      <c r="F197" s="5"/>
      <c r="J197" s="6" t="s">
        <v>142</v>
      </c>
      <c r="K197" s="20">
        <v>0</v>
      </c>
      <c r="L197" s="6" t="s">
        <v>122</v>
      </c>
    </row>
    <row r="198" spans="1:14" x14ac:dyDescent="0.25">
      <c r="F198" s="5"/>
      <c r="J198" s="6" t="s">
        <v>143</v>
      </c>
      <c r="K198" s="20">
        <v>0</v>
      </c>
      <c r="L198" s="6" t="s">
        <v>122</v>
      </c>
    </row>
    <row r="199" spans="1:14" x14ac:dyDescent="0.25">
      <c r="E199" t="s">
        <v>146</v>
      </c>
      <c r="F199" s="5"/>
      <c r="J199" t="s">
        <v>137</v>
      </c>
      <c r="K199" s="19">
        <f>5.49/1.035</f>
        <v>5.304347826086957</v>
      </c>
      <c r="L199" t="s">
        <v>138</v>
      </c>
      <c r="M199" t="s">
        <v>144</v>
      </c>
      <c r="N199" t="s">
        <v>145</v>
      </c>
    </row>
    <row r="200" spans="1:14" x14ac:dyDescent="0.25">
      <c r="E200" t="s">
        <v>146</v>
      </c>
      <c r="F200" s="5"/>
      <c r="J200" t="s">
        <v>142</v>
      </c>
      <c r="K200" s="19">
        <f>0.97/1.035</f>
        <v>0.9371980676328503</v>
      </c>
      <c r="L200" t="s">
        <v>139</v>
      </c>
      <c r="N200" t="s">
        <v>145</v>
      </c>
    </row>
    <row r="201" spans="1:14" x14ac:dyDescent="0.25">
      <c r="E201" t="s">
        <v>146</v>
      </c>
      <c r="F201" s="5"/>
      <c r="J201" t="s">
        <v>143</v>
      </c>
      <c r="K201" s="19">
        <f>1.6/1.035</f>
        <v>1.5458937198067635</v>
      </c>
      <c r="L201" t="s">
        <v>140</v>
      </c>
      <c r="N201" t="s">
        <v>145</v>
      </c>
    </row>
    <row r="202" spans="1:14" x14ac:dyDescent="0.25">
      <c r="F202" s="5"/>
    </row>
    <row r="203" spans="1:14" x14ac:dyDescent="0.25">
      <c r="A203" s="14" t="s">
        <v>105</v>
      </c>
      <c r="B203" s="15"/>
      <c r="C203" s="15"/>
      <c r="D203" s="15"/>
      <c r="E203" s="15"/>
      <c r="F203" s="16"/>
      <c r="G203" s="15"/>
      <c r="H203" s="15"/>
      <c r="I203" s="15"/>
      <c r="J203" s="15"/>
      <c r="K203" s="15"/>
      <c r="L203" s="15"/>
      <c r="M203" s="15"/>
      <c r="N203" s="15"/>
    </row>
    <row r="204" spans="1:14" x14ac:dyDescent="0.25">
      <c r="J204" s="1" t="s">
        <v>28</v>
      </c>
      <c r="K204" s="1">
        <v>0</v>
      </c>
      <c r="L204" s="1"/>
      <c r="M204" s="1" t="s">
        <v>62</v>
      </c>
    </row>
    <row r="205" spans="1:14" x14ac:dyDescent="0.25">
      <c r="J205" s="1" t="s">
        <v>29</v>
      </c>
      <c r="K205" s="1">
        <v>0</v>
      </c>
      <c r="L205" s="1"/>
      <c r="M205" s="1" t="s">
        <v>62</v>
      </c>
    </row>
    <row r="206" spans="1:14" x14ac:dyDescent="0.25">
      <c r="J206" s="1" t="s">
        <v>33</v>
      </c>
      <c r="K206" s="1">
        <v>0</v>
      </c>
      <c r="L206" s="1"/>
      <c r="M206" s="1" t="s">
        <v>62</v>
      </c>
    </row>
    <row r="207" spans="1:14" x14ac:dyDescent="0.25">
      <c r="A207" t="s">
        <v>1</v>
      </c>
      <c r="F207" t="s">
        <v>24</v>
      </c>
      <c r="H207" t="s">
        <v>27</v>
      </c>
      <c r="J207" t="s">
        <v>28</v>
      </c>
      <c r="K207">
        <v>4</v>
      </c>
      <c r="L207" t="s">
        <v>72</v>
      </c>
      <c r="N207" t="s">
        <v>22</v>
      </c>
    </row>
    <row r="208" spans="1:14" x14ac:dyDescent="0.25">
      <c r="A208" t="s">
        <v>1</v>
      </c>
      <c r="F208" t="s">
        <v>25</v>
      </c>
      <c r="H208" t="s">
        <v>27</v>
      </c>
      <c r="J208" t="s">
        <v>28</v>
      </c>
      <c r="K208">
        <v>4</v>
      </c>
      <c r="L208" t="s">
        <v>72</v>
      </c>
      <c r="N208" t="s">
        <v>22</v>
      </c>
    </row>
    <row r="209" spans="1:14" x14ac:dyDescent="0.25">
      <c r="A209" t="s">
        <v>1</v>
      </c>
      <c r="F209" t="s">
        <v>26</v>
      </c>
      <c r="H209" t="s">
        <v>27</v>
      </c>
      <c r="J209" t="s">
        <v>28</v>
      </c>
      <c r="K209">
        <v>20</v>
      </c>
      <c r="L209" t="s">
        <v>72</v>
      </c>
      <c r="N209" t="s">
        <v>22</v>
      </c>
    </row>
    <row r="210" spans="1:14" x14ac:dyDescent="0.25">
      <c r="A210" t="s">
        <v>43</v>
      </c>
      <c r="F210" t="s">
        <v>24</v>
      </c>
      <c r="H210" t="s">
        <v>27</v>
      </c>
      <c r="J210" t="s">
        <v>28</v>
      </c>
      <c r="K210">
        <v>10</v>
      </c>
      <c r="L210" t="s">
        <v>72</v>
      </c>
      <c r="N210" t="s">
        <v>22</v>
      </c>
    </row>
    <row r="211" spans="1:14" x14ac:dyDescent="0.25">
      <c r="A211" t="s">
        <v>43</v>
      </c>
      <c r="F211" t="s">
        <v>25</v>
      </c>
      <c r="H211" t="s">
        <v>27</v>
      </c>
      <c r="J211" t="s">
        <v>28</v>
      </c>
      <c r="K211">
        <v>14</v>
      </c>
      <c r="L211" t="s">
        <v>72</v>
      </c>
      <c r="N211" t="s">
        <v>22</v>
      </c>
    </row>
    <row r="212" spans="1:14" x14ac:dyDescent="0.25">
      <c r="A212" t="s">
        <v>43</v>
      </c>
      <c r="F212" t="s">
        <v>26</v>
      </c>
      <c r="H212" t="s">
        <v>27</v>
      </c>
      <c r="J212" t="s">
        <v>28</v>
      </c>
      <c r="K212">
        <v>25</v>
      </c>
      <c r="L212" t="s">
        <v>72</v>
      </c>
      <c r="N212" t="s">
        <v>22</v>
      </c>
    </row>
    <row r="213" spans="1:14" x14ac:dyDescent="0.25">
      <c r="A213" t="s">
        <v>63</v>
      </c>
      <c r="C213" t="s">
        <v>83</v>
      </c>
      <c r="F213" t="s">
        <v>24</v>
      </c>
      <c r="H213" t="s">
        <v>27</v>
      </c>
      <c r="J213" t="s">
        <v>28</v>
      </c>
      <c r="K213">
        <v>10</v>
      </c>
      <c r="L213" t="s">
        <v>72</v>
      </c>
      <c r="N213" t="s">
        <v>22</v>
      </c>
    </row>
    <row r="214" spans="1:14" x14ac:dyDescent="0.25">
      <c r="A214" t="s">
        <v>63</v>
      </c>
      <c r="C214" t="s">
        <v>83</v>
      </c>
      <c r="F214" t="s">
        <v>25</v>
      </c>
      <c r="H214" t="s">
        <v>27</v>
      </c>
      <c r="J214" t="s">
        <v>28</v>
      </c>
      <c r="K214">
        <v>10</v>
      </c>
      <c r="L214" t="s">
        <v>72</v>
      </c>
      <c r="N214" t="s">
        <v>22</v>
      </c>
    </row>
    <row r="215" spans="1:14" x14ac:dyDescent="0.25">
      <c r="A215" t="s">
        <v>63</v>
      </c>
      <c r="C215" t="s">
        <v>83</v>
      </c>
      <c r="F215" t="s">
        <v>26</v>
      </c>
      <c r="H215" t="s">
        <v>27</v>
      </c>
      <c r="J215" t="s">
        <v>28</v>
      </c>
      <c r="K215">
        <v>35</v>
      </c>
      <c r="L215" t="s">
        <v>72</v>
      </c>
      <c r="N215" t="s">
        <v>22</v>
      </c>
    </row>
    <row r="216" spans="1:14" x14ac:dyDescent="0.25">
      <c r="A216" t="s">
        <v>63</v>
      </c>
      <c r="C216" t="s">
        <v>64</v>
      </c>
      <c r="D216" t="s">
        <v>65</v>
      </c>
      <c r="F216" t="s">
        <v>26</v>
      </c>
      <c r="H216" t="s">
        <v>27</v>
      </c>
      <c r="J216" t="s">
        <v>28</v>
      </c>
      <c r="K216">
        <v>10</v>
      </c>
      <c r="L216" t="s">
        <v>72</v>
      </c>
      <c r="N216" t="s">
        <v>22</v>
      </c>
    </row>
    <row r="217" spans="1:14" x14ac:dyDescent="0.25">
      <c r="A217" t="s">
        <v>63</v>
      </c>
      <c r="C217" t="s">
        <v>64</v>
      </c>
      <c r="F217" t="s">
        <v>24</v>
      </c>
      <c r="H217" t="s">
        <v>27</v>
      </c>
      <c r="J217" t="s">
        <v>28</v>
      </c>
      <c r="K217">
        <v>10</v>
      </c>
      <c r="L217" t="s">
        <v>72</v>
      </c>
      <c r="M217" t="s">
        <v>73</v>
      </c>
      <c r="N217" t="s">
        <v>22</v>
      </c>
    </row>
    <row r="218" spans="1:14" x14ac:dyDescent="0.25">
      <c r="A218" t="s">
        <v>63</v>
      </c>
      <c r="C218" t="s">
        <v>64</v>
      </c>
      <c r="F218" t="s">
        <v>25</v>
      </c>
      <c r="H218" t="s">
        <v>27</v>
      </c>
      <c r="J218" t="s">
        <v>28</v>
      </c>
      <c r="K218">
        <v>10</v>
      </c>
      <c r="L218" t="s">
        <v>72</v>
      </c>
      <c r="M218" t="s">
        <v>73</v>
      </c>
      <c r="N218" t="s">
        <v>22</v>
      </c>
    </row>
    <row r="219" spans="1:14" x14ac:dyDescent="0.25">
      <c r="A219" t="s">
        <v>63</v>
      </c>
      <c r="C219" t="s">
        <v>64</v>
      </c>
      <c r="F219" t="s">
        <v>26</v>
      </c>
      <c r="H219" t="s">
        <v>27</v>
      </c>
      <c r="J219" t="s">
        <v>28</v>
      </c>
      <c r="K219">
        <v>35</v>
      </c>
      <c r="L219" t="s">
        <v>72</v>
      </c>
      <c r="M219" t="s">
        <v>73</v>
      </c>
      <c r="N219" t="s">
        <v>22</v>
      </c>
    </row>
    <row r="220" spans="1:14" x14ac:dyDescent="0.25">
      <c r="A220" s="1" t="s">
        <v>68</v>
      </c>
      <c r="B220" s="1"/>
      <c r="C220" s="1"/>
      <c r="D220" s="1"/>
      <c r="E220" s="1"/>
      <c r="F220" s="1" t="s">
        <v>24</v>
      </c>
      <c r="G220" s="1"/>
      <c r="H220" s="1" t="s">
        <v>27</v>
      </c>
      <c r="I220" s="1"/>
      <c r="J220" s="1" t="s">
        <v>28</v>
      </c>
      <c r="K220" s="1">
        <v>4</v>
      </c>
      <c r="L220" s="1" t="s">
        <v>72</v>
      </c>
      <c r="M220" s="1" t="s">
        <v>69</v>
      </c>
    </row>
    <row r="221" spans="1:14" x14ac:dyDescent="0.25">
      <c r="A221" s="1" t="s">
        <v>68</v>
      </c>
      <c r="B221" s="1"/>
      <c r="C221" s="1"/>
      <c r="D221" s="1"/>
      <c r="E221" s="1"/>
      <c r="F221" s="1" t="s">
        <v>25</v>
      </c>
      <c r="G221" s="1"/>
      <c r="H221" s="1" t="s">
        <v>27</v>
      </c>
      <c r="I221" s="1"/>
      <c r="J221" s="1" t="s">
        <v>28</v>
      </c>
      <c r="K221" s="1">
        <v>4</v>
      </c>
      <c r="L221" s="1" t="s">
        <v>72</v>
      </c>
      <c r="M221" s="1" t="s">
        <v>69</v>
      </c>
    </row>
    <row r="222" spans="1:14" x14ac:dyDescent="0.25">
      <c r="A222" s="1" t="s">
        <v>68</v>
      </c>
      <c r="B222" s="1"/>
      <c r="C222" s="1"/>
      <c r="D222" s="1"/>
      <c r="E222" s="1"/>
      <c r="F222" s="1" t="s">
        <v>26</v>
      </c>
      <c r="G222" s="1"/>
      <c r="H222" s="1" t="s">
        <v>27</v>
      </c>
      <c r="I222" s="1"/>
      <c r="J222" s="1" t="s">
        <v>28</v>
      </c>
      <c r="K222" s="1">
        <v>20</v>
      </c>
      <c r="L222" s="1" t="s">
        <v>72</v>
      </c>
      <c r="M222" s="1" t="s">
        <v>69</v>
      </c>
    </row>
    <row r="223" spans="1:14" x14ac:dyDescent="0.25">
      <c r="A223" t="s">
        <v>1</v>
      </c>
      <c r="F223" t="s">
        <v>24</v>
      </c>
      <c r="H223" t="s">
        <v>27</v>
      </c>
      <c r="J223" t="s">
        <v>29</v>
      </c>
      <c r="K223">
        <v>3</v>
      </c>
      <c r="L223" t="s">
        <v>72</v>
      </c>
      <c r="N223" t="s">
        <v>22</v>
      </c>
    </row>
    <row r="224" spans="1:14" x14ac:dyDescent="0.25">
      <c r="A224" t="s">
        <v>1</v>
      </c>
      <c r="C224" t="s">
        <v>2</v>
      </c>
      <c r="D224" t="s">
        <v>3</v>
      </c>
      <c r="F224" t="s">
        <v>25</v>
      </c>
      <c r="H224" t="s">
        <v>27</v>
      </c>
      <c r="J224" t="s">
        <v>29</v>
      </c>
      <c r="K224">
        <v>18</v>
      </c>
      <c r="L224" t="s">
        <v>72</v>
      </c>
      <c r="N224" t="s">
        <v>22</v>
      </c>
    </row>
    <row r="225" spans="1:14" x14ac:dyDescent="0.25">
      <c r="A225" t="s">
        <v>1</v>
      </c>
      <c r="C225" t="s">
        <v>9</v>
      </c>
      <c r="D225" t="s">
        <v>3</v>
      </c>
      <c r="F225" t="s">
        <v>25</v>
      </c>
      <c r="H225" t="s">
        <v>27</v>
      </c>
      <c r="J225" t="s">
        <v>29</v>
      </c>
      <c r="K225">
        <v>17</v>
      </c>
      <c r="L225" t="s">
        <v>72</v>
      </c>
      <c r="N225" t="s">
        <v>22</v>
      </c>
    </row>
    <row r="226" spans="1:14" x14ac:dyDescent="0.25">
      <c r="A226" t="s">
        <v>1</v>
      </c>
      <c r="D226" t="s">
        <v>12</v>
      </c>
      <c r="F226" t="s">
        <v>25</v>
      </c>
      <c r="H226" t="s">
        <v>27</v>
      </c>
      <c r="J226" t="s">
        <v>29</v>
      </c>
      <c r="K226">
        <v>18</v>
      </c>
      <c r="L226" t="s">
        <v>72</v>
      </c>
      <c r="N226" t="s">
        <v>22</v>
      </c>
    </row>
    <row r="227" spans="1:14" x14ac:dyDescent="0.25">
      <c r="A227" t="s">
        <v>1</v>
      </c>
      <c r="D227" t="s">
        <v>13</v>
      </c>
      <c r="F227" t="s">
        <v>25</v>
      </c>
      <c r="H227" t="s">
        <v>27</v>
      </c>
      <c r="J227" t="s">
        <v>29</v>
      </c>
      <c r="K227">
        <v>18</v>
      </c>
      <c r="L227" t="s">
        <v>72</v>
      </c>
      <c r="N227" t="s">
        <v>22</v>
      </c>
    </row>
    <row r="228" spans="1:14" x14ac:dyDescent="0.25">
      <c r="A228" t="s">
        <v>1</v>
      </c>
      <c r="D228" t="s">
        <v>15</v>
      </c>
      <c r="F228" t="s">
        <v>25</v>
      </c>
      <c r="H228" t="s">
        <v>27</v>
      </c>
      <c r="J228" t="s">
        <v>29</v>
      </c>
      <c r="K228">
        <v>17</v>
      </c>
      <c r="L228" t="s">
        <v>72</v>
      </c>
      <c r="N228" t="s">
        <v>22</v>
      </c>
    </row>
    <row r="229" spans="1:14" x14ac:dyDescent="0.25">
      <c r="A229" t="s">
        <v>1</v>
      </c>
      <c r="D229" t="s">
        <v>16</v>
      </c>
      <c r="F229" t="s">
        <v>25</v>
      </c>
      <c r="H229" t="s">
        <v>27</v>
      </c>
      <c r="J229" t="s">
        <v>29</v>
      </c>
      <c r="K229">
        <v>17</v>
      </c>
      <c r="L229" t="s">
        <v>72</v>
      </c>
      <c r="N229" t="s">
        <v>22</v>
      </c>
    </row>
    <row r="230" spans="1:14" x14ac:dyDescent="0.25">
      <c r="A230" t="s">
        <v>1</v>
      </c>
      <c r="D230" t="s">
        <v>17</v>
      </c>
      <c r="F230" t="s">
        <v>25</v>
      </c>
      <c r="H230" t="s">
        <v>27</v>
      </c>
      <c r="J230" t="s">
        <v>29</v>
      </c>
      <c r="K230">
        <v>17</v>
      </c>
      <c r="L230" t="s">
        <v>72</v>
      </c>
      <c r="M230" t="s">
        <v>18</v>
      </c>
      <c r="N230" t="s">
        <v>22</v>
      </c>
    </row>
    <row r="231" spans="1:14" x14ac:dyDescent="0.25">
      <c r="A231" t="s">
        <v>1</v>
      </c>
      <c r="F231" t="s">
        <v>26</v>
      </c>
      <c r="H231" t="s">
        <v>27</v>
      </c>
      <c r="J231" t="s">
        <v>29</v>
      </c>
      <c r="K231">
        <v>30</v>
      </c>
      <c r="L231" t="s">
        <v>72</v>
      </c>
      <c r="N231" t="s">
        <v>22</v>
      </c>
    </row>
    <row r="232" spans="1:14" x14ac:dyDescent="0.25">
      <c r="A232" s="1" t="s">
        <v>68</v>
      </c>
      <c r="B232" s="1"/>
      <c r="C232" s="1"/>
      <c r="D232" s="1"/>
      <c r="E232" s="1"/>
      <c r="F232" s="1" t="s">
        <v>24</v>
      </c>
      <c r="G232" s="1"/>
      <c r="H232" s="1" t="s">
        <v>27</v>
      </c>
      <c r="I232" s="1"/>
      <c r="J232" s="1" t="s">
        <v>29</v>
      </c>
      <c r="K232" s="1">
        <v>3</v>
      </c>
      <c r="L232" s="1" t="s">
        <v>72</v>
      </c>
      <c r="M232" s="1" t="s">
        <v>69</v>
      </c>
    </row>
    <row r="233" spans="1:14" x14ac:dyDescent="0.25">
      <c r="A233" s="1" t="s">
        <v>68</v>
      </c>
      <c r="B233" s="1"/>
      <c r="C233" s="1"/>
      <c r="D233" s="1"/>
      <c r="E233" s="1"/>
      <c r="F233" s="1" t="s">
        <v>25</v>
      </c>
      <c r="G233" s="1"/>
      <c r="H233" s="1" t="s">
        <v>27</v>
      </c>
      <c r="I233" s="1"/>
      <c r="J233" s="1" t="s">
        <v>29</v>
      </c>
      <c r="K233" s="1">
        <v>17</v>
      </c>
      <c r="L233" s="1" t="s">
        <v>72</v>
      </c>
      <c r="M233" s="1" t="s">
        <v>70</v>
      </c>
    </row>
    <row r="234" spans="1:14" x14ac:dyDescent="0.25">
      <c r="A234" s="1" t="s">
        <v>68</v>
      </c>
      <c r="B234" s="1"/>
      <c r="C234" s="1"/>
      <c r="D234" s="1"/>
      <c r="E234" s="1"/>
      <c r="F234" s="1" t="s">
        <v>26</v>
      </c>
      <c r="G234" s="1"/>
      <c r="H234" s="1" t="s">
        <v>27</v>
      </c>
      <c r="I234" s="1"/>
      <c r="J234" s="1" t="s">
        <v>29</v>
      </c>
      <c r="K234" s="1">
        <v>30</v>
      </c>
      <c r="L234" s="1" t="s">
        <v>72</v>
      </c>
      <c r="M234" s="1" t="s">
        <v>69</v>
      </c>
    </row>
    <row r="235" spans="1:14" x14ac:dyDescent="0.25">
      <c r="A235" t="s">
        <v>43</v>
      </c>
      <c r="F235" t="s">
        <v>24</v>
      </c>
      <c r="H235" t="s">
        <v>27</v>
      </c>
      <c r="J235" t="s">
        <v>29</v>
      </c>
      <c r="K235">
        <v>4</v>
      </c>
      <c r="L235" t="s">
        <v>72</v>
      </c>
      <c r="N235" t="s">
        <v>22</v>
      </c>
    </row>
    <row r="236" spans="1:14" x14ac:dyDescent="0.25">
      <c r="A236" t="s">
        <v>43</v>
      </c>
      <c r="F236" t="s">
        <v>25</v>
      </c>
      <c r="H236" t="s">
        <v>27</v>
      </c>
      <c r="J236" t="s">
        <v>29</v>
      </c>
      <c r="K236">
        <v>18</v>
      </c>
      <c r="L236" t="s">
        <v>72</v>
      </c>
      <c r="N236" t="s">
        <v>22</v>
      </c>
    </row>
    <row r="237" spans="1:14" x14ac:dyDescent="0.25">
      <c r="A237" t="s">
        <v>43</v>
      </c>
      <c r="F237" t="s">
        <v>26</v>
      </c>
      <c r="H237" t="s">
        <v>27</v>
      </c>
      <c r="J237" t="s">
        <v>29</v>
      </c>
      <c r="K237">
        <v>30</v>
      </c>
      <c r="L237" t="s">
        <v>72</v>
      </c>
      <c r="N237" t="s">
        <v>22</v>
      </c>
    </row>
    <row r="238" spans="1:14" x14ac:dyDescent="0.25">
      <c r="A238" t="s">
        <v>63</v>
      </c>
      <c r="C238" t="s">
        <v>83</v>
      </c>
      <c r="F238" t="s">
        <v>24</v>
      </c>
      <c r="H238" t="s">
        <v>27</v>
      </c>
      <c r="J238" t="s">
        <v>29</v>
      </c>
      <c r="K238">
        <v>4</v>
      </c>
      <c r="L238" t="s">
        <v>72</v>
      </c>
      <c r="N238" t="s">
        <v>22</v>
      </c>
    </row>
    <row r="239" spans="1:14" x14ac:dyDescent="0.25">
      <c r="A239" t="s">
        <v>63</v>
      </c>
      <c r="C239" t="s">
        <v>83</v>
      </c>
      <c r="F239" t="s">
        <v>25</v>
      </c>
      <c r="H239" t="s">
        <v>27</v>
      </c>
      <c r="J239" t="s">
        <v>29</v>
      </c>
      <c r="K239">
        <v>12</v>
      </c>
      <c r="L239" t="s">
        <v>72</v>
      </c>
      <c r="N239" t="s">
        <v>22</v>
      </c>
    </row>
    <row r="240" spans="1:14" x14ac:dyDescent="0.25">
      <c r="A240" t="s">
        <v>63</v>
      </c>
      <c r="C240" t="s">
        <v>83</v>
      </c>
      <c r="F240" t="s">
        <v>26</v>
      </c>
      <c r="H240" t="s">
        <v>27</v>
      </c>
      <c r="J240" t="s">
        <v>29</v>
      </c>
      <c r="K240">
        <v>20</v>
      </c>
      <c r="L240" t="s">
        <v>72</v>
      </c>
      <c r="N240" t="s">
        <v>22</v>
      </c>
    </row>
    <row r="241" spans="1:14" x14ac:dyDescent="0.25">
      <c r="A241" t="s">
        <v>63</v>
      </c>
      <c r="C241" t="s">
        <v>64</v>
      </c>
      <c r="D241" t="s">
        <v>65</v>
      </c>
      <c r="F241" t="s">
        <v>25</v>
      </c>
      <c r="H241" t="s">
        <v>27</v>
      </c>
      <c r="J241" t="s">
        <v>29</v>
      </c>
      <c r="K241">
        <v>5</v>
      </c>
      <c r="L241" t="s">
        <v>72</v>
      </c>
      <c r="N241" t="s">
        <v>22</v>
      </c>
    </row>
    <row r="242" spans="1:14" x14ac:dyDescent="0.25">
      <c r="A242" t="s">
        <v>63</v>
      </c>
      <c r="C242" t="s">
        <v>64</v>
      </c>
      <c r="D242" t="s">
        <v>65</v>
      </c>
      <c r="F242" t="s">
        <v>26</v>
      </c>
      <c r="H242" t="s">
        <v>27</v>
      </c>
      <c r="J242" t="s">
        <v>29</v>
      </c>
      <c r="K242">
        <v>5</v>
      </c>
      <c r="L242" t="s">
        <v>72</v>
      </c>
      <c r="N242" t="s">
        <v>22</v>
      </c>
    </row>
    <row r="243" spans="1:14" x14ac:dyDescent="0.25">
      <c r="A243" t="s">
        <v>63</v>
      </c>
      <c r="C243" t="s">
        <v>64</v>
      </c>
      <c r="F243" t="s">
        <v>24</v>
      </c>
      <c r="H243" t="s">
        <v>27</v>
      </c>
      <c r="J243" t="s">
        <v>29</v>
      </c>
      <c r="K243">
        <v>4</v>
      </c>
      <c r="L243" t="s">
        <v>72</v>
      </c>
      <c r="M243" t="s">
        <v>73</v>
      </c>
      <c r="N243" t="s">
        <v>22</v>
      </c>
    </row>
    <row r="244" spans="1:14" x14ac:dyDescent="0.25">
      <c r="A244" t="s">
        <v>63</v>
      </c>
      <c r="C244" t="s">
        <v>64</v>
      </c>
      <c r="F244" t="s">
        <v>25</v>
      </c>
      <c r="H244" t="s">
        <v>27</v>
      </c>
      <c r="J244" t="s">
        <v>29</v>
      </c>
      <c r="K244">
        <v>12</v>
      </c>
      <c r="L244" t="s">
        <v>72</v>
      </c>
      <c r="M244" t="s">
        <v>73</v>
      </c>
      <c r="N244" t="s">
        <v>22</v>
      </c>
    </row>
    <row r="245" spans="1:14" x14ac:dyDescent="0.25">
      <c r="A245" t="s">
        <v>63</v>
      </c>
      <c r="C245" t="s">
        <v>64</v>
      </c>
      <c r="F245" t="s">
        <v>26</v>
      </c>
      <c r="H245" t="s">
        <v>27</v>
      </c>
      <c r="J245" t="s">
        <v>29</v>
      </c>
      <c r="K245">
        <v>20</v>
      </c>
      <c r="L245" t="s">
        <v>72</v>
      </c>
      <c r="M245" t="s">
        <v>73</v>
      </c>
      <c r="N245" t="s">
        <v>22</v>
      </c>
    </row>
    <row r="246" spans="1:14" x14ac:dyDescent="0.25">
      <c r="F246" t="s">
        <v>24</v>
      </c>
      <c r="H246" t="s">
        <v>30</v>
      </c>
      <c r="J246" t="s">
        <v>29</v>
      </c>
      <c r="K246">
        <v>0.01</v>
      </c>
      <c r="L246" t="s">
        <v>74</v>
      </c>
      <c r="N246" t="s">
        <v>22</v>
      </c>
    </row>
    <row r="247" spans="1:14" x14ac:dyDescent="0.25">
      <c r="F247" t="s">
        <v>25</v>
      </c>
      <c r="H247" t="s">
        <v>30</v>
      </c>
      <c r="J247" t="s">
        <v>29</v>
      </c>
      <c r="K247">
        <v>1</v>
      </c>
      <c r="L247" t="s">
        <v>74</v>
      </c>
      <c r="N247" t="s">
        <v>22</v>
      </c>
    </row>
    <row r="248" spans="1:14" x14ac:dyDescent="0.25">
      <c r="F248" t="s">
        <v>26</v>
      </c>
      <c r="H248" t="s">
        <v>30</v>
      </c>
      <c r="J248" t="s">
        <v>29</v>
      </c>
      <c r="K248">
        <v>1</v>
      </c>
      <c r="L248" t="s">
        <v>74</v>
      </c>
      <c r="N248" t="s">
        <v>22</v>
      </c>
    </row>
    <row r="249" spans="1:14" x14ac:dyDescent="0.25">
      <c r="F249" t="s">
        <v>24</v>
      </c>
      <c r="H249" t="s">
        <v>31</v>
      </c>
      <c r="J249" t="s">
        <v>29</v>
      </c>
      <c r="K249">
        <v>0.5</v>
      </c>
      <c r="L249" t="s">
        <v>72</v>
      </c>
      <c r="N249" t="s">
        <v>22</v>
      </c>
    </row>
    <row r="250" spans="1:14" x14ac:dyDescent="0.25">
      <c r="F250" t="s">
        <v>25</v>
      </c>
      <c r="H250" t="s">
        <v>31</v>
      </c>
      <c r="J250" t="s">
        <v>29</v>
      </c>
      <c r="K250">
        <v>0.5</v>
      </c>
      <c r="L250" t="s">
        <v>72</v>
      </c>
      <c r="N250" t="s">
        <v>22</v>
      </c>
    </row>
    <row r="251" spans="1:14" x14ac:dyDescent="0.25">
      <c r="F251" t="s">
        <v>26</v>
      </c>
      <c r="H251" t="s">
        <v>31</v>
      </c>
      <c r="J251" t="s">
        <v>29</v>
      </c>
      <c r="K251">
        <v>1</v>
      </c>
      <c r="L251" t="s">
        <v>72</v>
      </c>
      <c r="N251" t="s">
        <v>22</v>
      </c>
    </row>
    <row r="252" spans="1:14" x14ac:dyDescent="0.25">
      <c r="F252" t="s">
        <v>24</v>
      </c>
      <c r="H252" t="s">
        <v>32</v>
      </c>
      <c r="J252" t="s">
        <v>29</v>
      </c>
      <c r="K252">
        <v>0.3</v>
      </c>
      <c r="L252" t="s">
        <v>74</v>
      </c>
      <c r="N252" t="s">
        <v>22</v>
      </c>
    </row>
    <row r="253" spans="1:14" x14ac:dyDescent="0.25">
      <c r="F253" t="s">
        <v>25</v>
      </c>
      <c r="H253" t="s">
        <v>32</v>
      </c>
      <c r="J253" t="s">
        <v>29</v>
      </c>
      <c r="K253">
        <v>30</v>
      </c>
      <c r="L253" t="s">
        <v>74</v>
      </c>
      <c r="N253" t="s">
        <v>22</v>
      </c>
    </row>
    <row r="254" spans="1:14" x14ac:dyDescent="0.25">
      <c r="F254" t="s">
        <v>26</v>
      </c>
      <c r="H254" t="s">
        <v>32</v>
      </c>
      <c r="J254" t="s">
        <v>29</v>
      </c>
      <c r="K254">
        <v>30</v>
      </c>
      <c r="L254" t="s">
        <v>74</v>
      </c>
      <c r="N254" t="s">
        <v>22</v>
      </c>
    </row>
    <row r="255" spans="1:14" x14ac:dyDescent="0.25">
      <c r="A255" t="s">
        <v>1</v>
      </c>
      <c r="F255" t="s">
        <v>24</v>
      </c>
      <c r="J255" t="s">
        <v>33</v>
      </c>
      <c r="K255">
        <v>60</v>
      </c>
      <c r="L255" t="s">
        <v>72</v>
      </c>
      <c r="N255" t="s">
        <v>71</v>
      </c>
    </row>
    <row r="256" spans="1:14" x14ac:dyDescent="0.25">
      <c r="A256" t="s">
        <v>1</v>
      </c>
      <c r="C256" t="s">
        <v>2</v>
      </c>
      <c r="D256" t="s">
        <v>3</v>
      </c>
      <c r="F256" t="s">
        <v>25</v>
      </c>
      <c r="J256" t="s">
        <v>33</v>
      </c>
      <c r="K256">
        <v>51</v>
      </c>
      <c r="L256" t="s">
        <v>72</v>
      </c>
      <c r="N256" t="s">
        <v>71</v>
      </c>
    </row>
    <row r="257" spans="1:14" x14ac:dyDescent="0.25">
      <c r="A257" t="s">
        <v>1</v>
      </c>
      <c r="C257" t="s">
        <v>9</v>
      </c>
      <c r="D257" t="s">
        <v>3</v>
      </c>
      <c r="F257" t="s">
        <v>25</v>
      </c>
      <c r="J257" t="s">
        <v>33</v>
      </c>
      <c r="K257">
        <v>52</v>
      </c>
      <c r="L257" t="s">
        <v>72</v>
      </c>
      <c r="N257" t="s">
        <v>71</v>
      </c>
    </row>
    <row r="258" spans="1:14" x14ac:dyDescent="0.25">
      <c r="A258" t="s">
        <v>1</v>
      </c>
      <c r="D258" t="s">
        <v>12</v>
      </c>
      <c r="F258" t="s">
        <v>25</v>
      </c>
      <c r="J258" t="s">
        <v>33</v>
      </c>
      <c r="K258">
        <v>51</v>
      </c>
      <c r="L258" t="s">
        <v>72</v>
      </c>
      <c r="N258" t="s">
        <v>71</v>
      </c>
    </row>
    <row r="259" spans="1:14" x14ac:dyDescent="0.25">
      <c r="A259" t="s">
        <v>1</v>
      </c>
      <c r="D259" t="s">
        <v>13</v>
      </c>
      <c r="F259" t="s">
        <v>25</v>
      </c>
      <c r="J259" t="s">
        <v>33</v>
      </c>
      <c r="K259">
        <v>51</v>
      </c>
      <c r="L259" t="s">
        <v>72</v>
      </c>
      <c r="N259" t="s">
        <v>71</v>
      </c>
    </row>
    <row r="260" spans="1:14" x14ac:dyDescent="0.25">
      <c r="A260" t="s">
        <v>1</v>
      </c>
      <c r="D260" t="s">
        <v>15</v>
      </c>
      <c r="F260" t="s">
        <v>25</v>
      </c>
      <c r="J260" t="s">
        <v>33</v>
      </c>
      <c r="K260">
        <v>52</v>
      </c>
      <c r="L260" t="s">
        <v>72</v>
      </c>
      <c r="N260" t="s">
        <v>71</v>
      </c>
    </row>
    <row r="261" spans="1:14" x14ac:dyDescent="0.25">
      <c r="A261" t="s">
        <v>1</v>
      </c>
      <c r="D261" t="s">
        <v>16</v>
      </c>
      <c r="F261" t="s">
        <v>25</v>
      </c>
      <c r="J261" t="s">
        <v>33</v>
      </c>
      <c r="K261">
        <v>52</v>
      </c>
      <c r="L261" t="s">
        <v>72</v>
      </c>
      <c r="N261" t="s">
        <v>71</v>
      </c>
    </row>
    <row r="262" spans="1:14" x14ac:dyDescent="0.25">
      <c r="A262" t="s">
        <v>1</v>
      </c>
      <c r="D262" t="s">
        <v>17</v>
      </c>
      <c r="F262" t="s">
        <v>25</v>
      </c>
      <c r="J262" t="s">
        <v>33</v>
      </c>
      <c r="K262">
        <v>52</v>
      </c>
      <c r="L262" t="s">
        <v>72</v>
      </c>
      <c r="M262" t="s">
        <v>18</v>
      </c>
    </row>
    <row r="263" spans="1:14" x14ac:dyDescent="0.25">
      <c r="A263" t="s">
        <v>1</v>
      </c>
      <c r="F263" t="s">
        <v>26</v>
      </c>
      <c r="J263" t="s">
        <v>33</v>
      </c>
      <c r="K263">
        <v>10</v>
      </c>
      <c r="L263" t="s">
        <v>72</v>
      </c>
      <c r="N263" t="s">
        <v>71</v>
      </c>
    </row>
    <row r="264" spans="1:14" x14ac:dyDescent="0.25">
      <c r="A264" s="1" t="s">
        <v>1</v>
      </c>
      <c r="F264" s="5" t="s">
        <v>19</v>
      </c>
      <c r="G264" s="5"/>
      <c r="H264" s="5"/>
      <c r="I264" s="5"/>
      <c r="J264" s="5" t="s">
        <v>33</v>
      </c>
      <c r="K264" s="5">
        <v>60</v>
      </c>
      <c r="L264" s="5" t="s">
        <v>72</v>
      </c>
      <c r="M264" s="1"/>
      <c r="N264" t="s">
        <v>75</v>
      </c>
    </row>
    <row r="265" spans="1:14" x14ac:dyDescent="0.25">
      <c r="A265" s="5" t="s">
        <v>68</v>
      </c>
      <c r="B265" s="5"/>
      <c r="C265" s="5"/>
      <c r="D265" s="5"/>
      <c r="E265" s="5"/>
      <c r="F265" s="5" t="s">
        <v>24</v>
      </c>
      <c r="G265" s="5"/>
      <c r="H265" s="5"/>
      <c r="I265" s="5"/>
      <c r="J265" s="5" t="s">
        <v>33</v>
      </c>
      <c r="K265" s="5">
        <v>24</v>
      </c>
      <c r="L265" t="s">
        <v>72</v>
      </c>
      <c r="M265" s="1"/>
      <c r="N265" t="s">
        <v>71</v>
      </c>
    </row>
    <row r="266" spans="1:14" x14ac:dyDescent="0.25">
      <c r="A266" s="5" t="s">
        <v>68</v>
      </c>
      <c r="B266" s="5"/>
      <c r="C266" s="5"/>
      <c r="D266" s="5"/>
      <c r="E266" s="5"/>
      <c r="F266" s="5" t="s">
        <v>25</v>
      </c>
      <c r="G266" s="5"/>
      <c r="H266" s="5"/>
      <c r="I266" s="5"/>
      <c r="J266" s="5" t="s">
        <v>33</v>
      </c>
      <c r="K266" s="5">
        <v>25</v>
      </c>
      <c r="L266" t="s">
        <v>72</v>
      </c>
      <c r="M266" s="1"/>
      <c r="N266" t="s">
        <v>71</v>
      </c>
    </row>
    <row r="267" spans="1:14" x14ac:dyDescent="0.25">
      <c r="A267" s="5" t="s">
        <v>68</v>
      </c>
      <c r="B267" s="5"/>
      <c r="C267" s="5"/>
      <c r="D267" s="5"/>
      <c r="E267" s="5"/>
      <c r="F267" s="5" t="s">
        <v>26</v>
      </c>
      <c r="G267" s="5"/>
      <c r="H267" s="5"/>
      <c r="I267" s="5"/>
      <c r="J267" s="5" t="s">
        <v>33</v>
      </c>
      <c r="K267" s="5">
        <v>10</v>
      </c>
      <c r="L267" t="s">
        <v>72</v>
      </c>
      <c r="M267" s="1"/>
      <c r="N267" t="s">
        <v>71</v>
      </c>
    </row>
    <row r="268" spans="1:14" x14ac:dyDescent="0.25">
      <c r="A268" s="5" t="s">
        <v>68</v>
      </c>
      <c r="B268" s="5"/>
      <c r="C268" s="5"/>
      <c r="D268" s="5"/>
      <c r="E268" s="5"/>
      <c r="F268" s="5" t="s">
        <v>19</v>
      </c>
      <c r="G268" s="5"/>
      <c r="H268" s="5"/>
      <c r="I268" s="5"/>
      <c r="J268" s="5" t="s">
        <v>33</v>
      </c>
      <c r="K268" s="5">
        <v>60</v>
      </c>
      <c r="L268" s="5" t="s">
        <v>72</v>
      </c>
      <c r="M268" s="1"/>
      <c r="N268" t="s">
        <v>75</v>
      </c>
    </row>
    <row r="269" spans="1:14" x14ac:dyDescent="0.25">
      <c r="A269" s="5" t="s">
        <v>63</v>
      </c>
      <c r="B269" s="5"/>
      <c r="C269" s="5" t="s">
        <v>83</v>
      </c>
      <c r="D269" s="5"/>
      <c r="E269" s="5"/>
      <c r="F269" s="5" t="s">
        <v>24</v>
      </c>
      <c r="G269" s="5"/>
      <c r="H269" s="5"/>
      <c r="I269" s="5"/>
      <c r="J269" s="5" t="s">
        <v>33</v>
      </c>
      <c r="K269" s="5">
        <v>75</v>
      </c>
      <c r="L269" s="5" t="s">
        <v>72</v>
      </c>
      <c r="M269" s="1"/>
    </row>
    <row r="270" spans="1:14" x14ac:dyDescent="0.25">
      <c r="A270" s="5" t="s">
        <v>63</v>
      </c>
      <c r="B270" s="5"/>
      <c r="C270" s="5" t="s">
        <v>83</v>
      </c>
      <c r="D270" s="5"/>
      <c r="E270" s="5"/>
      <c r="F270" s="5" t="s">
        <v>25</v>
      </c>
      <c r="G270" s="5"/>
      <c r="H270" s="5"/>
      <c r="I270" s="5"/>
      <c r="J270" s="5" t="s">
        <v>33</v>
      </c>
      <c r="K270" s="5">
        <v>60</v>
      </c>
      <c r="L270" s="5" t="s">
        <v>72</v>
      </c>
      <c r="M270" s="1"/>
    </row>
    <row r="271" spans="1:14" x14ac:dyDescent="0.25">
      <c r="A271" s="5" t="s">
        <v>63</v>
      </c>
      <c r="B271" s="5"/>
      <c r="C271" s="5" t="s">
        <v>83</v>
      </c>
      <c r="D271" s="5"/>
      <c r="E271" s="5"/>
      <c r="F271" s="5" t="s">
        <v>26</v>
      </c>
      <c r="G271" s="5"/>
      <c r="H271" s="5"/>
      <c r="I271" s="5"/>
      <c r="J271" s="5" t="s">
        <v>33</v>
      </c>
      <c r="K271" s="5">
        <v>40</v>
      </c>
      <c r="L271" s="5" t="s">
        <v>72</v>
      </c>
      <c r="M271" s="1"/>
    </row>
    <row r="272" spans="1:14" x14ac:dyDescent="0.25">
      <c r="A272" t="s">
        <v>63</v>
      </c>
      <c r="C272" t="s">
        <v>64</v>
      </c>
      <c r="D272" t="s">
        <v>65</v>
      </c>
      <c r="J272" s="5" t="s">
        <v>33</v>
      </c>
      <c r="K272">
        <v>40</v>
      </c>
      <c r="L272" s="5" t="s">
        <v>72</v>
      </c>
      <c r="N272" t="s">
        <v>71</v>
      </c>
    </row>
    <row r="273" spans="1:14" x14ac:dyDescent="0.25">
      <c r="A273" s="5" t="s">
        <v>63</v>
      </c>
      <c r="B273" s="5"/>
      <c r="C273" s="5" t="s">
        <v>64</v>
      </c>
      <c r="F273" s="5" t="s">
        <v>24</v>
      </c>
      <c r="J273" s="5" t="s">
        <v>33</v>
      </c>
      <c r="K273" s="5">
        <v>75</v>
      </c>
      <c r="L273" s="5" t="s">
        <v>72</v>
      </c>
      <c r="M273" t="s">
        <v>73</v>
      </c>
    </row>
    <row r="274" spans="1:14" x14ac:dyDescent="0.25">
      <c r="A274" s="5" t="s">
        <v>63</v>
      </c>
      <c r="B274" s="5"/>
      <c r="C274" s="5" t="s">
        <v>64</v>
      </c>
      <c r="F274" s="5" t="s">
        <v>25</v>
      </c>
      <c r="J274" s="5" t="s">
        <v>33</v>
      </c>
      <c r="K274" s="5">
        <v>60</v>
      </c>
      <c r="L274" s="5" t="s">
        <v>72</v>
      </c>
      <c r="M274" t="s">
        <v>73</v>
      </c>
    </row>
    <row r="275" spans="1:14" x14ac:dyDescent="0.25">
      <c r="A275" s="5" t="s">
        <v>63</v>
      </c>
      <c r="B275" s="5"/>
      <c r="C275" s="5" t="s">
        <v>64</v>
      </c>
      <c r="D275" s="1"/>
      <c r="E275" s="1"/>
      <c r="F275" s="5" t="s">
        <v>26</v>
      </c>
      <c r="G275" s="1"/>
      <c r="H275" s="1"/>
      <c r="I275" s="1"/>
      <c r="J275" s="5" t="s">
        <v>33</v>
      </c>
      <c r="K275" s="5">
        <v>40</v>
      </c>
      <c r="L275" s="5" t="s">
        <v>72</v>
      </c>
      <c r="M275" t="s">
        <v>73</v>
      </c>
    </row>
    <row r="276" spans="1:14" x14ac:dyDescent="0.25">
      <c r="A276" t="s">
        <v>43</v>
      </c>
      <c r="F276" t="s">
        <v>24</v>
      </c>
      <c r="J276" t="s">
        <v>33</v>
      </c>
      <c r="K276">
        <v>70</v>
      </c>
      <c r="L276" t="s">
        <v>72</v>
      </c>
      <c r="N276" t="s">
        <v>71</v>
      </c>
    </row>
    <row r="277" spans="1:14" x14ac:dyDescent="0.25">
      <c r="A277" t="s">
        <v>43</v>
      </c>
      <c r="F277" t="s">
        <v>25</v>
      </c>
      <c r="J277" t="s">
        <v>33</v>
      </c>
      <c r="K277">
        <v>51</v>
      </c>
      <c r="L277" t="s">
        <v>72</v>
      </c>
      <c r="N277" t="s">
        <v>71</v>
      </c>
    </row>
    <row r="278" spans="1:14" x14ac:dyDescent="0.25">
      <c r="A278" t="s">
        <v>43</v>
      </c>
      <c r="F278" t="s">
        <v>26</v>
      </c>
      <c r="J278" t="s">
        <v>33</v>
      </c>
      <c r="K278">
        <v>10</v>
      </c>
      <c r="L278" t="s">
        <v>72</v>
      </c>
      <c r="N278" t="s">
        <v>71</v>
      </c>
    </row>
    <row r="281" spans="1:14" x14ac:dyDescent="0.25">
      <c r="A281" s="11" t="s">
        <v>96</v>
      </c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</row>
    <row r="282" spans="1:14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9" t="s">
        <v>4</v>
      </c>
      <c r="K282" s="9">
        <v>0</v>
      </c>
      <c r="L282" s="9" t="s">
        <v>5</v>
      </c>
      <c r="M282" s="9" t="s">
        <v>79</v>
      </c>
      <c r="N282" s="8"/>
    </row>
    <row r="283" spans="1:14" x14ac:dyDescent="0.25">
      <c r="A283" s="9" t="s">
        <v>1</v>
      </c>
      <c r="B283" s="9"/>
      <c r="C283" s="9" t="s">
        <v>2</v>
      </c>
      <c r="D283" s="9" t="s">
        <v>3</v>
      </c>
      <c r="E283" s="9"/>
      <c r="F283" s="9"/>
      <c r="G283" s="9"/>
      <c r="H283" s="9"/>
      <c r="I283" s="9"/>
      <c r="J283" s="9" t="s">
        <v>4</v>
      </c>
      <c r="K283" s="9">
        <v>5.39</v>
      </c>
      <c r="L283" s="9" t="s">
        <v>5</v>
      </c>
      <c r="M283" s="9"/>
      <c r="N283" s="9" t="s">
        <v>6</v>
      </c>
    </row>
    <row r="284" spans="1:14" x14ac:dyDescent="0.25">
      <c r="A284" s="9" t="s">
        <v>1</v>
      </c>
      <c r="B284" s="9"/>
      <c r="C284" s="9" t="s">
        <v>9</v>
      </c>
      <c r="D284" s="9" t="s">
        <v>3</v>
      </c>
      <c r="E284" s="9"/>
      <c r="F284" s="9"/>
      <c r="G284" s="9"/>
      <c r="H284" s="9"/>
      <c r="I284" s="9"/>
      <c r="J284" s="9" t="s">
        <v>4</v>
      </c>
      <c r="K284" s="10">
        <v>2.2999999999999998</v>
      </c>
      <c r="L284" s="9" t="s">
        <v>5</v>
      </c>
      <c r="M284" s="9"/>
      <c r="N284" s="9" t="s">
        <v>10</v>
      </c>
    </row>
    <row r="285" spans="1:14" x14ac:dyDescent="0.25">
      <c r="A285" s="9" t="s">
        <v>1</v>
      </c>
      <c r="B285" s="9"/>
      <c r="C285" s="9" t="s">
        <v>9</v>
      </c>
      <c r="D285" s="9" t="s">
        <v>3</v>
      </c>
      <c r="E285" s="9"/>
      <c r="F285" s="9" t="s">
        <v>19</v>
      </c>
      <c r="G285" s="9"/>
      <c r="H285" s="9"/>
      <c r="I285" s="9"/>
      <c r="J285" s="9" t="s">
        <v>4</v>
      </c>
      <c r="K285" s="10">
        <v>3.17</v>
      </c>
      <c r="L285" s="9" t="s">
        <v>5</v>
      </c>
      <c r="M285" s="9"/>
      <c r="N285" s="9" t="s">
        <v>10</v>
      </c>
    </row>
    <row r="286" spans="1:14" x14ac:dyDescent="0.25">
      <c r="A286" s="9" t="s">
        <v>1</v>
      </c>
      <c r="B286" s="9"/>
      <c r="C286" s="9"/>
      <c r="D286" s="9" t="s">
        <v>12</v>
      </c>
      <c r="E286" s="9"/>
      <c r="F286" s="9"/>
      <c r="G286" s="9"/>
      <c r="H286" s="9"/>
      <c r="I286" s="9"/>
      <c r="J286" s="9" t="s">
        <v>4</v>
      </c>
      <c r="K286" s="9">
        <v>2.2599999999999998</v>
      </c>
      <c r="L286" s="9" t="s">
        <v>5</v>
      </c>
      <c r="M286" s="9"/>
      <c r="N286" s="9" t="s">
        <v>10</v>
      </c>
    </row>
    <row r="287" spans="1:14" x14ac:dyDescent="0.25">
      <c r="A287" s="9" t="s">
        <v>1</v>
      </c>
      <c r="B287" s="9"/>
      <c r="C287" s="9"/>
      <c r="D287" s="9" t="s">
        <v>13</v>
      </c>
      <c r="E287" s="9"/>
      <c r="F287" s="9"/>
      <c r="G287" s="9"/>
      <c r="H287" s="9"/>
      <c r="I287" s="9"/>
      <c r="J287" s="9" t="s">
        <v>4</v>
      </c>
      <c r="K287" s="9">
        <v>0.79</v>
      </c>
      <c r="L287" s="9" t="s">
        <v>5</v>
      </c>
      <c r="M287" s="9" t="s">
        <v>14</v>
      </c>
      <c r="N287" s="9" t="s">
        <v>10</v>
      </c>
    </row>
    <row r="288" spans="1:14" x14ac:dyDescent="0.25">
      <c r="A288" s="9" t="s">
        <v>1</v>
      </c>
      <c r="B288" s="9"/>
      <c r="C288" s="9"/>
      <c r="D288" s="9" t="s">
        <v>16</v>
      </c>
      <c r="E288" s="9"/>
      <c r="F288" s="9"/>
      <c r="G288" s="9"/>
      <c r="H288" s="9"/>
      <c r="I288" s="9"/>
      <c r="J288" s="9" t="s">
        <v>4</v>
      </c>
      <c r="K288" s="9">
        <v>2.2599999999999998</v>
      </c>
      <c r="L288" s="9" t="s">
        <v>5</v>
      </c>
      <c r="M288" s="9"/>
      <c r="N288" s="9" t="s">
        <v>10</v>
      </c>
    </row>
    <row r="289" spans="1:14" x14ac:dyDescent="0.25">
      <c r="A289" s="9" t="s">
        <v>1</v>
      </c>
      <c r="B289" s="9"/>
      <c r="C289" s="9"/>
      <c r="D289" s="9" t="s">
        <v>15</v>
      </c>
      <c r="E289" s="9"/>
      <c r="F289" s="9"/>
      <c r="G289" s="9"/>
      <c r="H289" s="9"/>
      <c r="I289" s="9"/>
      <c r="J289" s="9" t="s">
        <v>4</v>
      </c>
      <c r="K289" s="9">
        <v>2.2599999999999998</v>
      </c>
      <c r="L289" s="9" t="s">
        <v>5</v>
      </c>
      <c r="M289" s="9"/>
      <c r="N289" s="9" t="s">
        <v>10</v>
      </c>
    </row>
    <row r="290" spans="1:14" x14ac:dyDescent="0.25">
      <c r="A290" s="9" t="s">
        <v>1</v>
      </c>
      <c r="B290" s="9"/>
      <c r="C290" s="9"/>
      <c r="D290" s="9" t="s">
        <v>17</v>
      </c>
      <c r="E290" s="9"/>
      <c r="F290" s="9"/>
      <c r="G290" s="9"/>
      <c r="H290" s="9"/>
      <c r="I290" s="9"/>
      <c r="J290" s="9" t="s">
        <v>4</v>
      </c>
      <c r="K290" s="9">
        <v>2.2599999999999998</v>
      </c>
      <c r="L290" s="9" t="s">
        <v>5</v>
      </c>
      <c r="M290" s="9" t="s">
        <v>18</v>
      </c>
      <c r="N290" s="9" t="s">
        <v>10</v>
      </c>
    </row>
    <row r="291" spans="1:14" x14ac:dyDescent="0.25">
      <c r="A291" s="9" t="s">
        <v>82</v>
      </c>
      <c r="B291" s="9"/>
      <c r="C291" s="9"/>
      <c r="D291" s="9"/>
      <c r="E291" s="9"/>
      <c r="F291" s="9"/>
      <c r="G291" s="9"/>
      <c r="H291" s="9"/>
      <c r="I291" s="9"/>
      <c r="J291" s="9" t="s">
        <v>4</v>
      </c>
      <c r="K291" s="9">
        <v>0.4</v>
      </c>
      <c r="L291" s="9" t="s">
        <v>5</v>
      </c>
      <c r="M291" s="9"/>
      <c r="N291" s="9" t="s">
        <v>95</v>
      </c>
    </row>
    <row r="292" spans="1:14" x14ac:dyDescent="0.25">
      <c r="A292" s="9" t="s">
        <v>68</v>
      </c>
      <c r="B292" s="9"/>
      <c r="C292" s="9"/>
      <c r="D292" s="9"/>
      <c r="E292" s="9"/>
      <c r="F292" s="9"/>
      <c r="G292" s="9"/>
      <c r="H292" s="9"/>
      <c r="I292" s="9"/>
      <c r="J292" s="9" t="s">
        <v>4</v>
      </c>
      <c r="K292" s="9">
        <v>2.13</v>
      </c>
      <c r="L292" s="9" t="s">
        <v>5</v>
      </c>
      <c r="M292" s="9"/>
      <c r="N292" s="9" t="s">
        <v>95</v>
      </c>
    </row>
    <row r="293" spans="1:14" x14ac:dyDescent="0.25">
      <c r="A293" s="9" t="s">
        <v>43</v>
      </c>
      <c r="B293" s="9"/>
      <c r="C293" s="9"/>
      <c r="D293" s="9" t="s">
        <v>50</v>
      </c>
      <c r="E293" s="9"/>
      <c r="F293" s="9"/>
      <c r="G293" s="9"/>
      <c r="H293" s="9"/>
      <c r="I293" s="9"/>
      <c r="J293" s="9" t="s">
        <v>4</v>
      </c>
      <c r="K293" s="9">
        <v>0.69</v>
      </c>
      <c r="L293" s="9" t="s">
        <v>5</v>
      </c>
      <c r="M293" s="9"/>
      <c r="N293" s="9" t="s">
        <v>10</v>
      </c>
    </row>
    <row r="294" spans="1:14" x14ac:dyDescent="0.25">
      <c r="A294" s="9" t="s">
        <v>43</v>
      </c>
      <c r="B294" s="9"/>
      <c r="C294" s="9"/>
      <c r="D294" s="9" t="s">
        <v>51</v>
      </c>
      <c r="E294" s="9"/>
      <c r="F294" s="9"/>
      <c r="G294" s="9"/>
      <c r="H294" s="9"/>
      <c r="I294" s="9"/>
      <c r="J294" s="9" t="s">
        <v>4</v>
      </c>
      <c r="K294" s="9">
        <v>0.45</v>
      </c>
      <c r="L294" s="9" t="s">
        <v>5</v>
      </c>
      <c r="M294" s="9"/>
      <c r="N294" s="9" t="s">
        <v>10</v>
      </c>
    </row>
    <row r="295" spans="1:14" x14ac:dyDescent="0.25">
      <c r="A295" s="9" t="s">
        <v>43</v>
      </c>
      <c r="B295" s="9"/>
      <c r="C295" s="9"/>
      <c r="D295" s="9" t="s">
        <v>52</v>
      </c>
      <c r="E295" s="9"/>
      <c r="F295" s="9"/>
      <c r="G295" s="9"/>
      <c r="H295" s="9"/>
      <c r="I295" s="9"/>
      <c r="J295" s="9" t="s">
        <v>4</v>
      </c>
      <c r="K295" s="9">
        <v>4.3999999999999997E-2</v>
      </c>
      <c r="L295" s="9" t="s">
        <v>5</v>
      </c>
      <c r="M295" s="9"/>
      <c r="N295" s="9" t="s">
        <v>10</v>
      </c>
    </row>
    <row r="296" spans="1:14" x14ac:dyDescent="0.25">
      <c r="A296" s="9" t="s">
        <v>43</v>
      </c>
      <c r="B296" s="9"/>
      <c r="C296" s="9"/>
      <c r="D296" s="9" t="s">
        <v>53</v>
      </c>
      <c r="E296" s="9"/>
      <c r="F296" s="9"/>
      <c r="G296" s="9"/>
      <c r="H296" s="9"/>
      <c r="I296" s="9"/>
      <c r="J296" s="9" t="s">
        <v>4</v>
      </c>
      <c r="K296" s="9">
        <v>0.69</v>
      </c>
      <c r="L296" s="9" t="s">
        <v>5</v>
      </c>
      <c r="M296" s="9" t="s">
        <v>76</v>
      </c>
      <c r="N296" s="9" t="s">
        <v>10</v>
      </c>
    </row>
    <row r="297" spans="1:14" x14ac:dyDescent="0.25">
      <c r="A297" s="9" t="s">
        <v>43</v>
      </c>
      <c r="B297" s="9"/>
      <c r="C297" s="9"/>
      <c r="D297" s="9" t="s">
        <v>44</v>
      </c>
      <c r="E297" s="9"/>
      <c r="F297" s="9"/>
      <c r="G297" s="9"/>
      <c r="H297" s="9"/>
      <c r="I297" s="9"/>
      <c r="J297" s="9" t="s">
        <v>4</v>
      </c>
      <c r="K297" s="9">
        <v>0.37</v>
      </c>
      <c r="L297" s="9" t="s">
        <v>5</v>
      </c>
      <c r="M297" s="9"/>
      <c r="N297" s="9" t="s">
        <v>10</v>
      </c>
    </row>
    <row r="298" spans="1:14" x14ac:dyDescent="0.25">
      <c r="A298" s="9" t="s">
        <v>43</v>
      </c>
      <c r="B298" s="9"/>
      <c r="C298" s="9"/>
      <c r="D298" s="9" t="s">
        <v>45</v>
      </c>
      <c r="E298" s="9"/>
      <c r="F298" s="9"/>
      <c r="G298" s="9"/>
      <c r="H298" s="9"/>
      <c r="I298" s="9"/>
      <c r="J298" s="9" t="s">
        <v>4</v>
      </c>
      <c r="K298" s="9">
        <v>0.37</v>
      </c>
      <c r="L298" s="9" t="s">
        <v>5</v>
      </c>
      <c r="M298" s="9"/>
      <c r="N298" s="9" t="s">
        <v>10</v>
      </c>
    </row>
    <row r="299" spans="1:14" x14ac:dyDescent="0.25">
      <c r="A299" s="9" t="s">
        <v>63</v>
      </c>
      <c r="B299" s="9"/>
      <c r="C299" s="9"/>
      <c r="D299" s="9" t="s">
        <v>64</v>
      </c>
      <c r="E299" s="9"/>
      <c r="F299" s="9"/>
      <c r="G299" s="9"/>
      <c r="H299" s="9"/>
      <c r="I299" s="9"/>
      <c r="J299" s="9" t="s">
        <v>4</v>
      </c>
      <c r="K299" s="9">
        <v>0.01</v>
      </c>
      <c r="L299" s="9" t="s">
        <v>5</v>
      </c>
      <c r="M299" s="9"/>
      <c r="N299" s="9" t="s">
        <v>95</v>
      </c>
    </row>
    <row r="300" spans="1:14" x14ac:dyDescent="0.25">
      <c r="A300" s="9" t="s">
        <v>63</v>
      </c>
      <c r="B300" s="9"/>
      <c r="C300" s="9"/>
      <c r="D300" s="9" t="s">
        <v>83</v>
      </c>
      <c r="E300" s="9"/>
      <c r="F300" s="9"/>
      <c r="G300" s="9"/>
      <c r="H300" s="9"/>
      <c r="I300" s="9"/>
      <c r="J300" s="9" t="s">
        <v>4</v>
      </c>
      <c r="K300" s="9">
        <v>0.02</v>
      </c>
      <c r="L300" s="9" t="s">
        <v>5</v>
      </c>
      <c r="M300" s="9"/>
      <c r="N300" s="9" t="s">
        <v>95</v>
      </c>
    </row>
    <row r="301" spans="1:14" x14ac:dyDescent="0.2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</row>
    <row r="302" spans="1:14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 t="s">
        <v>81</v>
      </c>
      <c r="K302" s="9">
        <v>0</v>
      </c>
      <c r="L302" s="9" t="s">
        <v>80</v>
      </c>
      <c r="M302" s="9" t="s">
        <v>79</v>
      </c>
      <c r="N302" s="9"/>
    </row>
    <row r="303" spans="1:14" x14ac:dyDescent="0.25">
      <c r="A303" s="9" t="s">
        <v>68</v>
      </c>
      <c r="B303" s="9"/>
      <c r="C303" s="9"/>
      <c r="D303" s="9"/>
      <c r="E303" s="9"/>
      <c r="F303" s="9"/>
      <c r="G303" s="9"/>
      <c r="H303" s="9"/>
      <c r="I303" s="9"/>
      <c r="J303" s="9" t="s">
        <v>81</v>
      </c>
      <c r="K303" s="9">
        <v>1.56</v>
      </c>
      <c r="L303" s="9" t="s">
        <v>80</v>
      </c>
      <c r="M303" s="9"/>
      <c r="N303" s="9" t="s">
        <v>86</v>
      </c>
    </row>
    <row r="304" spans="1:14" x14ac:dyDescent="0.25">
      <c r="A304" s="9" t="s">
        <v>82</v>
      </c>
      <c r="B304" s="9"/>
      <c r="C304" s="9"/>
      <c r="D304" s="9"/>
      <c r="E304" s="9"/>
      <c r="F304" s="9"/>
      <c r="G304" s="9"/>
      <c r="H304" s="9"/>
      <c r="I304" s="9"/>
      <c r="J304" s="9" t="s">
        <v>81</v>
      </c>
      <c r="K304" s="9">
        <v>0.19</v>
      </c>
      <c r="L304" s="9" t="s">
        <v>80</v>
      </c>
      <c r="M304" s="9"/>
      <c r="N304" s="9" t="s">
        <v>86</v>
      </c>
    </row>
    <row r="305" spans="1:14" x14ac:dyDescent="0.25">
      <c r="A305" s="9" t="s">
        <v>63</v>
      </c>
      <c r="B305" s="9"/>
      <c r="C305" s="9" t="s">
        <v>64</v>
      </c>
      <c r="D305" s="9"/>
      <c r="E305" s="9"/>
      <c r="F305" s="9"/>
      <c r="G305" s="9"/>
      <c r="H305" s="9"/>
      <c r="I305" s="9"/>
      <c r="J305" s="9" t="s">
        <v>81</v>
      </c>
      <c r="K305" s="9">
        <v>0.02</v>
      </c>
      <c r="L305" s="9" t="s">
        <v>80</v>
      </c>
      <c r="M305" s="9"/>
      <c r="N305" s="9" t="s">
        <v>86</v>
      </c>
    </row>
    <row r="306" spans="1:14" x14ac:dyDescent="0.25">
      <c r="A306" s="9" t="s">
        <v>63</v>
      </c>
      <c r="B306" s="9"/>
      <c r="C306" s="9" t="s">
        <v>83</v>
      </c>
      <c r="D306" s="9"/>
      <c r="E306" s="9"/>
      <c r="F306" s="9"/>
      <c r="G306" s="9"/>
      <c r="H306" s="9"/>
      <c r="I306" s="9"/>
      <c r="J306" s="9" t="s">
        <v>81</v>
      </c>
      <c r="K306" s="9">
        <v>0.03</v>
      </c>
      <c r="L306" s="9" t="s">
        <v>80</v>
      </c>
      <c r="M306" s="9"/>
      <c r="N306" s="9" t="s">
        <v>86</v>
      </c>
    </row>
    <row r="309" spans="1:14" x14ac:dyDescent="0.25">
      <c r="K309" s="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103</v>
      </c>
    </row>
    <row r="2" spans="1:1" x14ac:dyDescent="0.25">
      <c r="A2" t="s">
        <v>156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2023-11-15T11:56:19Z</dcterms:modified>
</cp:coreProperties>
</file>