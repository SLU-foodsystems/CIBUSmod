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gions" sheetId="1" state="visible" r:id="rId3"/>
    <sheet name="Regions-x0_crops" sheetId="2" state="visible" r:id="rId4"/>
    <sheet name="DemandAndConversions" sheetId="3" state="visible" r:id="rId5"/>
    <sheet name="CropProduction" sheetId="4" state="visible" r:id="rId6"/>
    <sheet name="CattleHerd" sheetId="5" state="visible" r:id="rId7"/>
    <sheet name="PigHerd" sheetId="6" state="visible" r:id="rId8"/>
    <sheet name="FeedMgmt" sheetId="7" state="visible" r:id="rId9"/>
    <sheet name="SheepHerd" sheetId="8" state="visible" r:id="rId10"/>
    <sheet name="MachineryAndEnergyMgmt" sheetId="9" state="visible" r:id="rId11"/>
    <sheet name="motivations" sheetId="10" state="visible" r:id="rId12"/>
  </sheets>
  <externalReferences>
    <externalReference r:id="rId13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<sst xmlns="http://schemas.openxmlformats.org/spreadsheetml/2006/main" count="937" uniqueCount="180">
  <si>
    <t xml:space="preserve">f_land_use</t>
  </si>
  <si>
    <t xml:space="preserve">parameter</t>
  </si>
  <si>
    <t xml:space="preserve">val_is</t>
  </si>
  <si>
    <t xml:space="preserve">y_2020</t>
  </si>
  <si>
    <t xml:space="preserve">y_2050</t>
  </si>
  <si>
    <t xml:space="preserve">cropland</t>
  </si>
  <si>
    <t xml:space="preserve">max_land_use_factor</t>
  </si>
  <si>
    <t xml:space="preserve">abs</t>
  </si>
  <si>
    <t xml:space="preserve">greenhouse</t>
  </si>
  <si>
    <t xml:space="preserve">semi-natural grasslands</t>
  </si>
  <si>
    <t xml:space="preserve">f_crop</t>
  </si>
  <si>
    <t xml:space="preserve">y_2025</t>
  </si>
  <si>
    <t xml:space="preserve">y_2030</t>
  </si>
  <si>
    <t xml:space="preserve">y_2035</t>
  </si>
  <si>
    <t xml:space="preserve">y_2040</t>
  </si>
  <si>
    <t xml:space="preserve">y_2045</t>
  </si>
  <si>
    <t xml:space="preserve">Ley for grazing</t>
  </si>
  <si>
    <t xml:space="preserve">x0_crops</t>
  </si>
  <si>
    <t xml:space="preserve">rel</t>
  </si>
  <si>
    <t xml:space="preserve">Semi-natural pastures</t>
  </si>
  <si>
    <t xml:space="preserve">Semi-natural pastures, thin soils</t>
  </si>
  <si>
    <t xml:space="preserve">Semi-natural pastures, wooded</t>
  </si>
  <si>
    <t xml:space="preserve">f_food</t>
  </si>
  <si>
    <t xml:space="preserve">f_origin</t>
  </si>
  <si>
    <t xml:space="preserve">f_prod_system</t>
  </si>
  <si>
    <t xml:space="preserve">POPULATION</t>
  </si>
  <si>
    <t xml:space="preserve">population</t>
  </si>
  <si>
    <t xml:space="preserve">DIET</t>
  </si>
  <si>
    <t xml:space="preserve">consumption</t>
  </si>
  <si>
    <t xml:space="preserve">Cereals (excl. beer)</t>
  </si>
  <si>
    <t xml:space="preserve">Wheat and products, refined</t>
  </si>
  <si>
    <t xml:space="preserve">Wheat and products, whole grain</t>
  </si>
  <si>
    <t xml:space="preserve">Rice and products</t>
  </si>
  <si>
    <t xml:space="preserve">Barley and products, refined</t>
  </si>
  <si>
    <t xml:space="preserve">Barley and products, whole grain</t>
  </si>
  <si>
    <t xml:space="preserve">Maize and products</t>
  </si>
  <si>
    <t xml:space="preserve">Rye and products, refined</t>
  </si>
  <si>
    <t xml:space="preserve">Rye and products, whole grain</t>
  </si>
  <si>
    <t xml:space="preserve">Oats and products, refined</t>
  </si>
  <si>
    <t xml:space="preserve">Oats and products, whole grain</t>
  </si>
  <si>
    <t xml:space="preserve">Other cereals and products, refined</t>
  </si>
  <si>
    <t xml:space="preserve">Other cereals and products, whole grain</t>
  </si>
  <si>
    <t xml:space="preserve">Quinoa</t>
  </si>
  <si>
    <t xml:space="preserve">Tubers or starchy vegetables</t>
  </si>
  <si>
    <t xml:space="preserve">Potatoes, fresh</t>
  </si>
  <si>
    <t xml:space="preserve">Potatoes, frozen</t>
  </si>
  <si>
    <t xml:space="preserve">Potato flour</t>
  </si>
  <si>
    <t xml:space="preserve">Starch of potatoes</t>
  </si>
  <si>
    <t xml:space="preserve">Vegetables DONE!</t>
  </si>
  <si>
    <t xml:space="preserve">Carrots and turnips</t>
  </si>
  <si>
    <t xml:space="preserve">Beetroot</t>
  </si>
  <si>
    <t xml:space="preserve">Onions, dry</t>
  </si>
  <si>
    <t xml:space="preserve">Cabbages (and cauliflower &amp; broccoli)</t>
  </si>
  <si>
    <t xml:space="preserve">Lettuce and spinach</t>
  </si>
  <si>
    <t xml:space="preserve">Pumpkins, squash and gourds</t>
  </si>
  <si>
    <t xml:space="preserve">Peas, green</t>
  </si>
  <si>
    <t xml:space="preserve">Tomatoes and products</t>
  </si>
  <si>
    <t xml:space="preserve">Cucumbers and gherkins</t>
  </si>
  <si>
    <t xml:space="preserve">Mushrooms and truffles</t>
  </si>
  <si>
    <t xml:space="preserve">Other vegetables</t>
  </si>
  <si>
    <t xml:space="preserve">Fruits and berries (excl. wine)</t>
  </si>
  <si>
    <t xml:space="preserve">Apples</t>
  </si>
  <si>
    <t xml:space="preserve">Apple juice</t>
  </si>
  <si>
    <t xml:space="preserve">Apple juice concentrate</t>
  </si>
  <si>
    <t xml:space="preserve">Pears</t>
  </si>
  <si>
    <t xml:space="preserve">Other fruit</t>
  </si>
  <si>
    <t xml:space="preserve">Strawberries</t>
  </si>
  <si>
    <t xml:space="preserve">Currants</t>
  </si>
  <si>
    <t xml:space="preserve">gooseberries and currants</t>
  </si>
  <si>
    <t xml:space="preserve">Other berries</t>
  </si>
  <si>
    <t xml:space="preserve">blueberries and raspberries</t>
  </si>
  <si>
    <t xml:space="preserve">Dairy foods</t>
  </si>
  <si>
    <t xml:space="preserve">Milk and products less than 1% fat</t>
  </si>
  <si>
    <t xml:space="preserve">Milk and products 1-2% fat</t>
  </si>
  <si>
    <t xml:space="preserve">Milk and products more than 2% fat</t>
  </si>
  <si>
    <t xml:space="preserve">Cheese</t>
  </si>
  <si>
    <t xml:space="preserve">Icecream</t>
  </si>
  <si>
    <t xml:space="preserve">Sourcream</t>
  </si>
  <si>
    <t xml:space="preserve">Cream low fat</t>
  </si>
  <si>
    <t xml:space="preserve">Cream high fat</t>
  </si>
  <si>
    <t xml:space="preserve">Butter</t>
  </si>
  <si>
    <t xml:space="preserve">Meat, offals and animal fats</t>
  </si>
  <si>
    <t xml:space="preserve">Pig meat and products</t>
  </si>
  <si>
    <t xml:space="preserve">Bovine meat and products</t>
  </si>
  <si>
    <t xml:space="preserve">Mutton/goat meat</t>
  </si>
  <si>
    <t xml:space="preserve">Poultry meat and products</t>
  </si>
  <si>
    <t xml:space="preserve">Eggs</t>
  </si>
  <si>
    <t xml:space="preserve">Eggs novel foods</t>
  </si>
  <si>
    <t xml:space="preserve">Fish</t>
  </si>
  <si>
    <t xml:space="preserve">Pulses and oil seeds</t>
  </si>
  <si>
    <t xml:space="preserve">Peas, dry</t>
  </si>
  <si>
    <t xml:space="preserve">Broad beans and horse beans, dry</t>
  </si>
  <si>
    <t xml:space="preserve">Beans, dry</t>
  </si>
  <si>
    <t xml:space="preserve">plus chickpeas</t>
  </si>
  <si>
    <t xml:space="preserve">Chick peas, dry</t>
  </si>
  <si>
    <t xml:space="preserve">Lentils, dry</t>
  </si>
  <si>
    <t xml:space="preserve">Sweet lupin</t>
  </si>
  <si>
    <t xml:space="preserve">Grey pea</t>
  </si>
  <si>
    <t xml:space="preserve">Treenuts</t>
  </si>
  <si>
    <t xml:space="preserve">Hazelnuts</t>
  </si>
  <si>
    <t xml:space="preserve">Walnuts</t>
  </si>
  <si>
    <t xml:space="preserve">Seeds</t>
  </si>
  <si>
    <t xml:space="preserve">Sunflower seeds</t>
  </si>
  <si>
    <t xml:space="preserve">Vegetable oils</t>
  </si>
  <si>
    <t xml:space="preserve">Rape and mustard oil and products</t>
  </si>
  <si>
    <t xml:space="preserve">Rapeseed oil novel foods</t>
  </si>
  <si>
    <t xml:space="preserve">obs ändra ej här</t>
  </si>
  <si>
    <t xml:space="preserve">Sunflowerseed oil and products</t>
  </si>
  <si>
    <t xml:space="preserve">Olive oil and products</t>
  </si>
  <si>
    <t xml:space="preserve">Sweeteners</t>
  </si>
  <si>
    <t xml:space="preserve">Sugar and products</t>
  </si>
  <si>
    <t xml:space="preserve">Other sweeteners</t>
  </si>
  <si>
    <t xml:space="preserve">Honey</t>
  </si>
  <si>
    <t xml:space="preserve">Alcoholic beverages</t>
  </si>
  <si>
    <t xml:space="preserve">Wine and products</t>
  </si>
  <si>
    <t xml:space="preserve">Barley beer</t>
  </si>
  <si>
    <t xml:space="preserve">Beverages, fermented and products</t>
  </si>
  <si>
    <t xml:space="preserve">Beverages, alcoholic</t>
  </si>
  <si>
    <t xml:space="preserve">Stimulants</t>
  </si>
  <si>
    <t xml:space="preserve">Spices</t>
  </si>
  <si>
    <t xml:space="preserve">Wild food</t>
  </si>
  <si>
    <t xml:space="preserve">Novel foods</t>
  </si>
  <si>
    <t xml:space="preserve">Pea protein product</t>
  </si>
  <si>
    <t xml:space="preserve">Soy protein product</t>
  </si>
  <si>
    <t xml:space="preserve">Wheat protein product</t>
  </si>
  <si>
    <t xml:space="preserve">Oat drink</t>
  </si>
  <si>
    <t xml:space="preserve">Cellbased meat</t>
  </si>
  <si>
    <t xml:space="preserve">Cellbased dairy</t>
  </si>
  <si>
    <t xml:space="preserve">Quorn</t>
  </si>
  <si>
    <t xml:space="preserve">Tempeh faba bean</t>
  </si>
  <si>
    <t xml:space="preserve">Tofu faba beans</t>
  </si>
  <si>
    <t xml:space="preserve">Cellbased fish</t>
  </si>
  <si>
    <t xml:space="preserve">Microbial fats (yeast)</t>
  </si>
  <si>
    <t xml:space="preserve">Microbial fats (algae)</t>
  </si>
  <si>
    <t xml:space="preserve">Microbial eggs</t>
  </si>
  <si>
    <t xml:space="preserve">IMPORT SHARES</t>
  </si>
  <si>
    <t xml:space="preserve">share_imported</t>
  </si>
  <si>
    <t xml:space="preserve">Fruits (excl. wine)</t>
  </si>
  <si>
    <t xml:space="preserve">Vegetables</t>
  </si>
  <si>
    <t xml:space="preserve">domestic</t>
  </si>
  <si>
    <t xml:space="preserve">organic</t>
  </si>
  <si>
    <t xml:space="preserve">share_in_prod_system</t>
  </si>
  <si>
    <t xml:space="preserve">yield</t>
  </si>
  <si>
    <t xml:space="preserve">Semi-natural meadows</t>
  </si>
  <si>
    <t xml:space="preserve">f_breed</t>
  </si>
  <si>
    <t xml:space="preserve">f_animal</t>
  </si>
  <si>
    <t xml:space="preserve">f_feed</t>
  </si>
  <si>
    <t xml:space="preserve">dairy</t>
  </si>
  <si>
    <t xml:space="preserve">milk_prod</t>
  </si>
  <si>
    <t xml:space="preserve">conventional</t>
  </si>
  <si>
    <t xml:space="preserve">slaughter_share_male_as_steers</t>
  </si>
  <si>
    <t xml:space="preserve">beef</t>
  </si>
  <si>
    <t xml:space="preserve">growing pigs</t>
  </si>
  <si>
    <t xml:space="preserve">feed_energy_per_growth</t>
  </si>
  <si>
    <t xml:space="preserve">finishing pigs</t>
  </si>
  <si>
    <t xml:space="preserve">f_species</t>
  </si>
  <si>
    <t xml:space="preserve">cattle</t>
  </si>
  <si>
    <t xml:space="preserve">cows</t>
  </si>
  <si>
    <t xml:space="preserve">enteric_adj</t>
  </si>
  <si>
    <t xml:space="preserve">bulls</t>
  </si>
  <si>
    <t xml:space="preserve">f_sub_system</t>
  </si>
  <si>
    <t xml:space="preserve">autumn lamb</t>
  </si>
  <si>
    <t xml:space="preserve">max_share_sub_system</t>
  </si>
  <si>
    <t xml:space="preserve">spring lamb</t>
  </si>
  <si>
    <t xml:space="preserve">winter lamb</t>
  </si>
  <si>
    <t xml:space="preserve">other sheep</t>
  </si>
  <si>
    <t xml:space="preserve">f_activity</t>
  </si>
  <si>
    <t xml:space="preserve">f_energy_source</t>
  </si>
  <si>
    <t xml:space="preserve">field machinery</t>
  </si>
  <si>
    <t xml:space="preserve">Diesel</t>
  </si>
  <si>
    <t xml:space="preserve">energy_source_share</t>
  </si>
  <si>
    <t xml:space="preserve">Biodiesel</t>
  </si>
  <si>
    <t xml:space="preserve">Hydrogen</t>
  </si>
  <si>
    <t xml:space="preserve">Electricity</t>
  </si>
  <si>
    <t xml:space="preserve">PIGS</t>
  </si>
  <si>
    <t xml:space="preserve">Growing/finishing pigs energy per kg weight gain</t>
  </si>
  <si>
    <t xml:space="preserve">Mortality</t>
  </si>
  <si>
    <t xml:space="preserve">MJ NE/kg w.g.</t>
  </si>
  <si>
    <t xml:space="preserve">growing/finishing</t>
  </si>
  <si>
    <t xml:space="preserve">over 10 years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</si>
</sst>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General"/>
    <numFmt numFmtId="168" formatCode="0"/>
    <numFmt numFmtId="169" formatCode="0\ %"/>
    <numFmt numFmtId="170" formatCode="0.00\ 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sz val="11"/>
      <color theme="2" tint="-0.25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9"/>
      <color rgb="FF595959"/>
      <name val="Calibri"/>
      <family val="2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rgb="FFD9D9D9"/>
      </patternFill>
    </fill>
    <fill>
      <patternFill patternType="solid">
        <fgColor theme="9" tint="0.5999"/>
        <bgColor rgb="FFD9D9D9"/>
      </patternFill>
    </fill>
    <fill>
      <patternFill patternType="solid">
        <fgColor theme="4" tint="0.3999"/>
        <bgColor rgb="FFAFABAB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2" fillId="4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0000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lang="sv-SE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000000"/>
                </a:solidFill>
                <a:prstDash val="sysDot"/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motivations!$B$7:$B$17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motivations!$C$7:$C$17</c:f>
              <c:numCache>
                <c:formatCode>General</c:formatCode>
                <c:ptCount val="11"/>
                <c:pt idx="0">
                  <c:v>26.2</c:v>
                </c:pt>
                <c:pt idx="1">
                  <c:v>26.1</c:v>
                </c:pt>
                <c:pt idx="2">
                  <c:v>26.7</c:v>
                </c:pt>
                <c:pt idx="3">
                  <c:v>26.6</c:v>
                </c:pt>
                <c:pt idx="4">
                  <c:v>27</c:v>
                </c:pt>
                <c:pt idx="5">
                  <c:v>25.7</c:v>
                </c:pt>
                <c:pt idx="6">
                  <c:v>25.4</c:v>
                </c:pt>
                <c:pt idx="7">
                  <c:v>25.8</c:v>
                </c:pt>
                <c:pt idx="8">
                  <c:v>25.3</c:v>
                </c:pt>
                <c:pt idx="9">
                  <c:v>24.8</c:v>
                </c:pt>
                <c:pt idx="10">
                  <c:v>24.6</c:v>
                </c:pt>
              </c:numCache>
            </c:numRef>
          </c:yVal>
          <c:smooth val="0"/>
        </c:ser>
        <c:axId val="65421830"/>
        <c:axId val="50869948"/>
      </c:scatterChart>
      <c:valAx>
        <c:axId val="654218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sv-SE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69948"/>
        <c:crosses val="autoZero"/>
        <c:crossBetween val="midCat"/>
      </c:valAx>
      <c:valAx>
        <c:axId val="50869948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sv-SE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21830"/>
        <c:crosses val="autoZero"/>
        <c:crossBetween val="midCat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000000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b="0" lang="sv-SE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000000"/>
                </a:solidFill>
                <a:prstDash val="sysDot"/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motivations!$J$7:$J$17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</c:numCache>
            </c:numRef>
          </c:xVal>
          <c:yVal>
            <c:numRef>
              <c:f>motivations!$K$7:$K$17</c:f>
              <c:numCache>
                <c:formatCode>General</c:formatCode>
                <c:ptCount val="11"/>
                <c:pt idx="0">
                  <c:v>1.7</c:v>
                </c:pt>
                <c:pt idx="1">
                  <c:v>1.6</c:v>
                </c:pt>
                <c:pt idx="2">
                  <c:v>1.6</c:v>
                </c:pt>
                <c:pt idx="3">
                  <c:v>1.5</c:v>
                </c:pt>
                <c:pt idx="4">
                  <c:v>1.7</c:v>
                </c:pt>
                <c:pt idx="5">
                  <c:v>1.6</c:v>
                </c:pt>
                <c:pt idx="6">
                  <c:v>1.8</c:v>
                </c:pt>
                <c:pt idx="7">
                  <c:v>1.7</c:v>
                </c:pt>
                <c:pt idx="8">
                  <c:v>1.7</c:v>
                </c:pt>
                <c:pt idx="9">
                  <c:v>1.7</c:v>
                </c:pt>
                <c:pt idx="10">
                  <c:v>1.7</c:v>
                </c:pt>
              </c:numCache>
            </c:numRef>
          </c:yVal>
          <c:smooth val="0"/>
        </c:ser>
        <c:axId val="80722153"/>
        <c:axId val="74788778"/>
      </c:scatterChart>
      <c:valAx>
        <c:axId val="807221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sv-SE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88778"/>
        <c:crosses val="autoZero"/>
        <c:crossBetween val="midCat"/>
      </c:valAx>
      <c:valAx>
        <c:axId val="74788778"/>
        <c:scaling>
          <c:orientation val="minMax"/>
          <c:max val="2"/>
          <c:min val="1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936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sv-SE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722153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600120</xdr:colOff>
      <xdr:row>5</xdr:row>
      <xdr:rowOff>157320</xdr:rowOff>
    </xdr:from>
    <xdr:to>
      <xdr:col>7</xdr:col>
      <xdr:colOff>142560</xdr:colOff>
      <xdr:row>14</xdr:row>
      <xdr:rowOff>37800</xdr:rowOff>
    </xdr:to>
    <xdr:graphicFrame>
      <xdr:nvGraphicFramePr>
        <xdr:cNvPr id="0" name="Chart 1"/>
        <xdr:cNvGraphicFramePr/>
      </xdr:nvGraphicFramePr>
      <xdr:xfrm>
        <a:off x="2876760" y="1119240"/>
        <a:ext cx="2577600" cy="159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600120</xdr:colOff>
      <xdr:row>6</xdr:row>
      <xdr:rowOff>0</xdr:rowOff>
    </xdr:from>
    <xdr:to>
      <xdr:col>15</xdr:col>
      <xdr:colOff>142560</xdr:colOff>
      <xdr:row>14</xdr:row>
      <xdr:rowOff>70920</xdr:rowOff>
    </xdr:to>
    <xdr:graphicFrame>
      <xdr:nvGraphicFramePr>
        <xdr:cNvPr id="1" name="Chart 2"/>
        <xdr:cNvGraphicFramePr/>
      </xdr:nvGraphicFramePr>
      <xdr:xfrm>
        <a:off x="8947080" y="1152360"/>
        <a:ext cx="2577960" cy="1595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lv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mandAndConversions"/>
      <sheetName val="CattleHerd"/>
      <sheetName val="Regions"/>
      <sheetName val="SheepHerd"/>
    </sheetNames>
    <sheetDataSet>
      <sheetData sheetId="0">
        <row r="3">
          <cell r="D3">
            <v>1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.28"/>
    <col collapsed="false" customWidth="true" hidden="false" outlineLevel="0" max="2" min="2" style="0" width="20.14"/>
    <col collapsed="false" customWidth="true" hidden="false" outlineLevel="0" max="3" min="3" style="0" width="6"/>
    <col collapsed="false" customWidth="true" hidden="false" outlineLevel="0" max="5" min="4" style="0" width="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/>
      <c r="I1" s="1"/>
      <c r="J1" s="1"/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n">
        <v>1</v>
      </c>
      <c r="E2" s="0" t="n">
        <v>3</v>
      </c>
    </row>
    <row r="3" customFormat="false" ht="15" hidden="false" customHeight="false" outlineLevel="0" collapsed="false">
      <c r="A3" s="0" t="s">
        <v>8</v>
      </c>
      <c r="B3" s="0" t="s">
        <v>6</v>
      </c>
      <c r="C3" s="0" t="s">
        <v>7</v>
      </c>
      <c r="D3" s="0" t="n">
        <v>1</v>
      </c>
      <c r="E3" s="0" t="n">
        <v>3</v>
      </c>
    </row>
    <row r="4" customFormat="false" ht="15" hidden="false" customHeight="false" outlineLevel="0" collapsed="false">
      <c r="A4" s="0" t="s">
        <v>9</v>
      </c>
      <c r="B4" s="0" t="s">
        <v>6</v>
      </c>
      <c r="C4" s="0" t="s">
        <v>7</v>
      </c>
      <c r="D4" s="0" t="n">
        <v>1</v>
      </c>
      <c r="E4" s="0" t="n"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2" activeCellId="0" sqref="L32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10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4</v>
      </c>
    </row>
    <row r="2" customFormat="false" ht="15" hidden="false" customHeight="false" outlineLevel="0" collapsed="false">
      <c r="A2" s="0" t="s">
        <v>16</v>
      </c>
      <c r="B2" s="0" t="s">
        <v>17</v>
      </c>
      <c r="C2" s="0" t="s">
        <v>18</v>
      </c>
      <c r="D2" s="0" t="n">
        <f aca="false">[1]DemandAndConversions!D3</f>
        <v>1</v>
      </c>
      <c r="J2" s="0" t="n">
        <v>1</v>
      </c>
    </row>
    <row r="3" customFormat="false" ht="15" hidden="false" customHeight="false" outlineLevel="0" collapsed="false">
      <c r="A3" s="0" t="s">
        <v>19</v>
      </c>
      <c r="B3" s="0" t="s">
        <v>17</v>
      </c>
      <c r="C3" s="0" t="s">
        <v>18</v>
      </c>
      <c r="D3" s="0" t="n">
        <v>1</v>
      </c>
      <c r="J3" s="0" t="n">
        <v>2</v>
      </c>
    </row>
    <row r="4" customFormat="false" ht="15" hidden="false" customHeight="false" outlineLevel="0" collapsed="false">
      <c r="A4" s="0" t="s">
        <v>20</v>
      </c>
      <c r="B4" s="0" t="s">
        <v>17</v>
      </c>
      <c r="C4" s="0" t="s">
        <v>18</v>
      </c>
      <c r="D4" s="0" t="n">
        <v>1</v>
      </c>
      <c r="J4" s="0" t="n">
        <v>2</v>
      </c>
    </row>
    <row r="5" customFormat="false" ht="15" hidden="false" customHeight="false" outlineLevel="0" collapsed="false">
      <c r="A5" s="0" t="s">
        <v>21</v>
      </c>
      <c r="B5" s="0" t="s">
        <v>17</v>
      </c>
      <c r="C5" s="0" t="s">
        <v>18</v>
      </c>
      <c r="D5" s="0" t="n">
        <v>1</v>
      </c>
      <c r="J5" s="0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1"/>
  <sheetViews>
    <sheetView showFormulas="false" showGridLines="true" showRowColHeaders="true" showZeros="true" rightToLeft="false" tabSelected="true" showOutlineSymbols="true" defaultGridColor="true" view="normal" topLeftCell="A181" colorId="64" zoomScale="100" zoomScaleNormal="100" zoomScalePageLayoutView="100" workbookViewId="0">
      <selection pane="topLeft" activeCell="M203" activeCellId="0" sqref="M203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2.72"/>
    <col collapsed="false" customWidth="true" hidden="false" outlineLevel="0" max="3" min="3" style="0" width="11.29"/>
    <col collapsed="false" customWidth="true" hidden="false" outlineLevel="0" max="4" min="4" style="0" width="15.29"/>
    <col collapsed="false" customWidth="true" hidden="false" outlineLevel="0" max="12" min="6" style="0" width="6.71"/>
  </cols>
  <sheetData>
    <row r="1" customFormat="false" ht="1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1</v>
      </c>
      <c r="E1" s="1" t="s">
        <v>2</v>
      </c>
      <c r="F1" s="1" t="s">
        <v>3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4</v>
      </c>
    </row>
    <row r="2" customFormat="false" ht="15" hidden="false" customHeight="false" outlineLevel="0" collapsed="false">
      <c r="A2" s="2" t="s">
        <v>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1"/>
      <c r="B3" s="1"/>
      <c r="C3" s="1"/>
      <c r="D3" s="0" t="s">
        <v>26</v>
      </c>
      <c r="E3" s="3" t="s">
        <v>18</v>
      </c>
      <c r="F3" s="3" t="n">
        <v>1</v>
      </c>
      <c r="G3" s="3" t="n">
        <v>1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v>1</v>
      </c>
    </row>
    <row r="4" customFormat="false" ht="15" hidden="false" customHeight="false" outlineLevel="0" collapsed="false">
      <c r="A4" s="2" t="s">
        <v>27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1"/>
      <c r="B5" s="1"/>
      <c r="C5" s="1"/>
      <c r="D5" s="4" t="s">
        <v>28</v>
      </c>
      <c r="E5" s="4" t="s">
        <v>18</v>
      </c>
      <c r="F5" s="4" t="n">
        <v>1</v>
      </c>
      <c r="G5" s="3"/>
      <c r="H5" s="3"/>
      <c r="I5" s="3"/>
      <c r="J5" s="3"/>
      <c r="K5" s="3"/>
      <c r="L5" s="3"/>
    </row>
    <row r="6" customFormat="false" ht="15" hidden="false" customHeight="false" outlineLevel="0" collapsed="false">
      <c r="A6" s="5" t="s">
        <v>29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false" outlineLevel="0" collapsed="false">
      <c r="A7" s="0" t="s">
        <v>30</v>
      </c>
      <c r="D7" s="0" t="s">
        <v>28</v>
      </c>
      <c r="E7" s="0" t="s">
        <v>18</v>
      </c>
      <c r="F7" s="0" t="n">
        <v>1</v>
      </c>
      <c r="G7" s="6"/>
      <c r="H7" s="6"/>
      <c r="I7" s="6"/>
      <c r="J7" s="6"/>
      <c r="K7" s="6"/>
      <c r="L7" s="0" t="n">
        <f aca="false">32.6/69.8</f>
        <v>0.467048710601719</v>
      </c>
    </row>
    <row r="8" customFormat="false" ht="15" hidden="false" customHeight="false" outlineLevel="0" collapsed="false">
      <c r="A8" s="0" t="s">
        <v>31</v>
      </c>
      <c r="D8" s="0" t="s">
        <v>28</v>
      </c>
      <c r="E8" s="0" t="s">
        <v>18</v>
      </c>
      <c r="F8" s="0" t="n">
        <v>1</v>
      </c>
      <c r="L8" s="0" t="n">
        <f aca="false">97.8/23.3</f>
        <v>4.19742489270386</v>
      </c>
    </row>
    <row r="9" customFormat="false" ht="15" hidden="false" customHeight="false" outlineLevel="0" collapsed="false">
      <c r="A9" s="0" t="s">
        <v>32</v>
      </c>
      <c r="D9" s="0" t="s">
        <v>28</v>
      </c>
      <c r="E9" s="0" t="s">
        <v>18</v>
      </c>
      <c r="F9" s="0" t="n">
        <v>1</v>
      </c>
      <c r="L9" s="0" t="n">
        <v>0</v>
      </c>
    </row>
    <row r="10" customFormat="false" ht="15" hidden="false" customHeight="false" outlineLevel="0" collapsed="false">
      <c r="A10" s="0" t="s">
        <v>33</v>
      </c>
      <c r="D10" s="0" t="s">
        <v>28</v>
      </c>
      <c r="E10" s="0" t="s">
        <v>18</v>
      </c>
      <c r="F10" s="0" t="n">
        <v>1</v>
      </c>
      <c r="L10" s="0" t="n">
        <v>1</v>
      </c>
    </row>
    <row r="11" customFormat="false" ht="15" hidden="false" customHeight="false" outlineLevel="0" collapsed="false">
      <c r="A11" s="0" t="s">
        <v>34</v>
      </c>
      <c r="D11" s="0" t="s">
        <v>28</v>
      </c>
      <c r="E11" s="0" t="s">
        <v>18</v>
      </c>
      <c r="F11" s="0" t="n">
        <v>1</v>
      </c>
      <c r="L11" s="0" t="n">
        <v>1</v>
      </c>
    </row>
    <row r="12" customFormat="false" ht="15" hidden="false" customHeight="false" outlineLevel="0" collapsed="false">
      <c r="A12" s="0" t="s">
        <v>35</v>
      </c>
      <c r="D12" s="0" t="s">
        <v>28</v>
      </c>
      <c r="E12" s="0" t="s">
        <v>18</v>
      </c>
      <c r="F12" s="0" t="n">
        <v>1</v>
      </c>
      <c r="L12" s="0" t="n">
        <v>1</v>
      </c>
    </row>
    <row r="13" customFormat="false" ht="15" hidden="false" customHeight="false" outlineLevel="0" collapsed="false">
      <c r="A13" s="0" t="s">
        <v>36</v>
      </c>
      <c r="D13" s="0" t="s">
        <v>28</v>
      </c>
      <c r="E13" s="0" t="s">
        <v>18</v>
      </c>
      <c r="F13" s="0" t="n">
        <v>1</v>
      </c>
      <c r="L13" s="0" t="n">
        <f aca="false">L7</f>
        <v>0.467048710601719</v>
      </c>
    </row>
    <row r="14" customFormat="false" ht="15" hidden="false" customHeight="false" outlineLevel="0" collapsed="false">
      <c r="A14" s="0" t="s">
        <v>37</v>
      </c>
      <c r="D14" s="0" t="s">
        <v>28</v>
      </c>
      <c r="E14" s="0" t="s">
        <v>18</v>
      </c>
      <c r="F14" s="0" t="n">
        <v>1</v>
      </c>
      <c r="L14" s="0" t="n">
        <f aca="false">L8</f>
        <v>4.19742489270386</v>
      </c>
    </row>
    <row r="15" customFormat="false" ht="15" hidden="false" customHeight="false" outlineLevel="0" collapsed="false">
      <c r="A15" s="0" t="s">
        <v>38</v>
      </c>
      <c r="D15" s="0" t="s">
        <v>28</v>
      </c>
      <c r="E15" s="0" t="s">
        <v>18</v>
      </c>
      <c r="F15" s="0" t="n">
        <v>1</v>
      </c>
      <c r="L15" s="0" t="n">
        <f aca="false">L7</f>
        <v>0.467048710601719</v>
      </c>
    </row>
    <row r="16" customFormat="false" ht="15" hidden="false" customHeight="false" outlineLevel="0" collapsed="false">
      <c r="A16" s="0" t="s">
        <v>39</v>
      </c>
      <c r="D16" s="0" t="s">
        <v>28</v>
      </c>
      <c r="E16" s="0" t="s">
        <v>18</v>
      </c>
      <c r="F16" s="0" t="n">
        <v>1</v>
      </c>
      <c r="L16" s="0" t="n">
        <f aca="false">L8</f>
        <v>4.19742489270386</v>
      </c>
    </row>
    <row r="17" customFormat="false" ht="15" hidden="false" customHeight="false" outlineLevel="0" collapsed="false">
      <c r="A17" s="7" t="s">
        <v>40</v>
      </c>
      <c r="B17" s="7"/>
      <c r="C17" s="7"/>
      <c r="D17" s="0" t="s">
        <v>28</v>
      </c>
      <c r="E17" s="0" t="s">
        <v>18</v>
      </c>
      <c r="F17" s="0" t="n">
        <v>1</v>
      </c>
      <c r="L17" s="0" t="n">
        <v>1</v>
      </c>
    </row>
    <row r="18" customFormat="false" ht="15" hidden="false" customHeight="false" outlineLevel="0" collapsed="false">
      <c r="A18" s="7" t="s">
        <v>41</v>
      </c>
      <c r="B18" s="7"/>
      <c r="C18" s="7"/>
      <c r="D18" s="0" t="s">
        <v>28</v>
      </c>
      <c r="E18" s="0" t="s">
        <v>18</v>
      </c>
      <c r="F18" s="0" t="n">
        <v>1</v>
      </c>
      <c r="L18" s="0" t="n">
        <v>1</v>
      </c>
    </row>
    <row r="19" customFormat="false" ht="15" hidden="false" customHeight="false" outlineLevel="0" collapsed="false">
      <c r="A19" s="4" t="s">
        <v>42</v>
      </c>
      <c r="B19" s="4"/>
      <c r="C19" s="4"/>
      <c r="D19" s="4" t="s">
        <v>28</v>
      </c>
      <c r="E19" s="4" t="s">
        <v>7</v>
      </c>
      <c r="F19" s="4" t="n">
        <v>0</v>
      </c>
      <c r="G19" s="4"/>
      <c r="H19" s="4"/>
      <c r="I19" s="4"/>
      <c r="J19" s="4"/>
      <c r="K19" s="4"/>
      <c r="L19" s="4" t="n">
        <v>7.1</v>
      </c>
    </row>
    <row r="20" customFormat="false" ht="15" hidden="false" customHeight="false" outlineLevel="0" collapsed="false">
      <c r="A20" s="5" t="s">
        <v>43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customFormat="false" ht="15" hidden="false" customHeight="false" outlineLevel="0" collapsed="false">
      <c r="A21" s="8" t="s">
        <v>44</v>
      </c>
      <c r="B21" s="8"/>
      <c r="C21" s="8"/>
      <c r="D21" s="0" t="s">
        <v>28</v>
      </c>
      <c r="E21" s="0" t="s">
        <v>18</v>
      </c>
      <c r="F21" s="0" t="n">
        <v>1</v>
      </c>
      <c r="L21" s="0" t="n">
        <v>1</v>
      </c>
    </row>
    <row r="22" customFormat="false" ht="15" hidden="false" customHeight="false" outlineLevel="0" collapsed="false">
      <c r="A22" s="8" t="s">
        <v>45</v>
      </c>
      <c r="B22" s="8"/>
      <c r="C22" s="8"/>
      <c r="D22" s="0" t="s">
        <v>28</v>
      </c>
      <c r="E22" s="0" t="s">
        <v>18</v>
      </c>
      <c r="F22" s="0" t="n">
        <v>1</v>
      </c>
      <c r="L22" s="0" t="n">
        <v>1</v>
      </c>
    </row>
    <row r="23" customFormat="false" ht="15" hidden="false" customHeight="false" outlineLevel="0" collapsed="false">
      <c r="A23" s="8" t="s">
        <v>46</v>
      </c>
      <c r="B23" s="8"/>
      <c r="C23" s="8"/>
      <c r="D23" s="0" t="s">
        <v>28</v>
      </c>
      <c r="E23" s="0" t="s">
        <v>18</v>
      </c>
      <c r="F23" s="0" t="n">
        <v>1</v>
      </c>
      <c r="L23" s="0" t="n">
        <v>1</v>
      </c>
    </row>
    <row r="24" customFormat="false" ht="15" hidden="false" customHeight="false" outlineLevel="0" collapsed="false">
      <c r="A24" s="8" t="s">
        <v>47</v>
      </c>
      <c r="B24" s="8"/>
      <c r="C24" s="8"/>
      <c r="D24" s="0" t="s">
        <v>28</v>
      </c>
      <c r="E24" s="0" t="s">
        <v>18</v>
      </c>
      <c r="F24" s="0" t="n">
        <v>1</v>
      </c>
      <c r="L24" s="0" t="n">
        <v>1</v>
      </c>
    </row>
    <row r="25" customFormat="false" ht="15" hidden="false" customHeight="false" outlineLevel="0" collapsed="false">
      <c r="A25" s="5" t="s">
        <v>48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15" hidden="false" customHeight="false" outlineLevel="0" collapsed="false">
      <c r="A26" s="8" t="s">
        <v>49</v>
      </c>
      <c r="B26" s="8"/>
      <c r="C26" s="8"/>
      <c r="D26" s="0" t="s">
        <v>28</v>
      </c>
      <c r="E26" s="0" t="s">
        <v>18</v>
      </c>
      <c r="F26" s="0" t="n">
        <v>1</v>
      </c>
      <c r="L26" s="0" t="n">
        <v>3</v>
      </c>
    </row>
    <row r="27" s="4" customFormat="true" ht="15" hidden="false" customHeight="false" outlineLevel="0" collapsed="false">
      <c r="A27" s="4" t="s">
        <v>50</v>
      </c>
      <c r="D27" s="4" t="s">
        <v>28</v>
      </c>
      <c r="E27" s="4" t="s">
        <v>18</v>
      </c>
      <c r="F27" s="4" t="n">
        <v>1</v>
      </c>
      <c r="L27" s="4" t="n">
        <v>1</v>
      </c>
    </row>
    <row r="28" customFormat="false" ht="15" hidden="false" customHeight="false" outlineLevel="0" collapsed="false">
      <c r="A28" s="8" t="s">
        <v>51</v>
      </c>
      <c r="B28" s="8"/>
      <c r="C28" s="8"/>
      <c r="D28" s="0" t="s">
        <v>28</v>
      </c>
      <c r="E28" s="0" t="s">
        <v>18</v>
      </c>
      <c r="F28" s="0" t="n">
        <v>1</v>
      </c>
      <c r="L28" s="0" t="n">
        <v>2</v>
      </c>
    </row>
    <row r="29" customFormat="false" ht="15" hidden="false" customHeight="false" outlineLevel="0" collapsed="false">
      <c r="A29" s="8" t="s">
        <v>52</v>
      </c>
      <c r="B29" s="8"/>
      <c r="C29" s="8"/>
      <c r="D29" s="0" t="s">
        <v>28</v>
      </c>
      <c r="E29" s="0" t="s">
        <v>18</v>
      </c>
      <c r="F29" s="0" t="n">
        <v>1</v>
      </c>
      <c r="L29" s="0" t="n">
        <v>3</v>
      </c>
    </row>
    <row r="30" customFormat="false" ht="15" hidden="false" customHeight="false" outlineLevel="0" collapsed="false">
      <c r="A30" s="8" t="s">
        <v>53</v>
      </c>
      <c r="B30" s="8"/>
      <c r="C30" s="8"/>
      <c r="D30" s="0" t="s">
        <v>28</v>
      </c>
      <c r="E30" s="0" t="s">
        <v>18</v>
      </c>
      <c r="F30" s="0" t="n">
        <v>1</v>
      </c>
      <c r="L30" s="0" t="n">
        <v>3</v>
      </c>
    </row>
    <row r="31" customFormat="false" ht="15" hidden="false" customHeight="false" outlineLevel="0" collapsed="false">
      <c r="A31" s="8" t="s">
        <v>54</v>
      </c>
      <c r="B31" s="8"/>
      <c r="C31" s="8"/>
      <c r="D31" s="0" t="s">
        <v>28</v>
      </c>
      <c r="E31" s="0" t="s">
        <v>18</v>
      </c>
      <c r="F31" s="0" t="n">
        <v>1</v>
      </c>
      <c r="L31" s="0" t="n">
        <v>3</v>
      </c>
    </row>
    <row r="32" customFormat="false" ht="15" hidden="false" customHeight="false" outlineLevel="0" collapsed="false">
      <c r="A32" s="8" t="s">
        <v>55</v>
      </c>
      <c r="B32" s="8"/>
      <c r="C32" s="8"/>
      <c r="D32" s="0" t="s">
        <v>28</v>
      </c>
      <c r="E32" s="0" t="s">
        <v>18</v>
      </c>
      <c r="F32" s="0" t="n">
        <v>1</v>
      </c>
      <c r="L32" s="0" t="n">
        <v>3</v>
      </c>
    </row>
    <row r="33" customFormat="false" ht="15" hidden="false" customHeight="false" outlineLevel="0" collapsed="false">
      <c r="A33" s="8" t="s">
        <v>56</v>
      </c>
      <c r="B33" s="8"/>
      <c r="C33" s="8"/>
      <c r="D33" s="0" t="s">
        <v>28</v>
      </c>
      <c r="E33" s="0" t="s">
        <v>18</v>
      </c>
      <c r="F33" s="0" t="n">
        <v>1</v>
      </c>
      <c r="L33" s="0" t="n">
        <v>1</v>
      </c>
    </row>
    <row r="34" customFormat="false" ht="15" hidden="false" customHeight="false" outlineLevel="0" collapsed="false">
      <c r="A34" s="8" t="s">
        <v>57</v>
      </c>
      <c r="B34" s="8"/>
      <c r="C34" s="8"/>
      <c r="D34" s="0" t="s">
        <v>28</v>
      </c>
      <c r="E34" s="0" t="s">
        <v>18</v>
      </c>
      <c r="F34" s="0" t="n">
        <v>1</v>
      </c>
      <c r="L34" s="4" t="n">
        <v>1</v>
      </c>
    </row>
    <row r="35" customFormat="false" ht="15" hidden="false" customHeight="false" outlineLevel="0" collapsed="false">
      <c r="A35" s="8" t="s">
        <v>58</v>
      </c>
      <c r="B35" s="8"/>
      <c r="C35" s="8"/>
      <c r="D35" s="0" t="s">
        <v>28</v>
      </c>
      <c r="E35" s="0" t="s">
        <v>18</v>
      </c>
      <c r="F35" s="0" t="n">
        <v>1</v>
      </c>
      <c r="L35" s="0" t="n">
        <v>0.5</v>
      </c>
    </row>
    <row r="36" customFormat="false" ht="15" hidden="false" customHeight="false" outlineLevel="0" collapsed="false">
      <c r="A36" s="8" t="s">
        <v>59</v>
      </c>
      <c r="B36" s="8"/>
      <c r="C36" s="8"/>
      <c r="D36" s="0" t="s">
        <v>28</v>
      </c>
      <c r="E36" s="0" t="s">
        <v>18</v>
      </c>
      <c r="F36" s="0" t="n">
        <v>1</v>
      </c>
      <c r="L36" s="0" t="n">
        <v>3</v>
      </c>
    </row>
    <row r="37" customFormat="false" ht="15" hidden="false" customHeight="false" outlineLevel="0" collapsed="false">
      <c r="A37" s="8"/>
      <c r="B37" s="8"/>
      <c r="C37" s="8"/>
    </row>
    <row r="38" customFormat="false" ht="15" hidden="false" customHeight="false" outlineLevel="0" collapsed="false">
      <c r="A38" s="5" t="s">
        <v>60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8" t="s">
        <v>61</v>
      </c>
      <c r="B39" s="8"/>
      <c r="C39" s="8"/>
      <c r="D39" s="0" t="s">
        <v>28</v>
      </c>
      <c r="E39" s="0" t="s">
        <v>18</v>
      </c>
      <c r="F39" s="0" t="n">
        <v>1</v>
      </c>
      <c r="L39" s="0" t="n">
        <v>2</v>
      </c>
    </row>
    <row r="40" customFormat="false" ht="15" hidden="false" customHeight="false" outlineLevel="0" collapsed="false">
      <c r="A40" s="8" t="s">
        <v>62</v>
      </c>
      <c r="B40" s="8"/>
      <c r="C40" s="8"/>
      <c r="D40" s="0" t="s">
        <v>28</v>
      </c>
      <c r="E40" s="0" t="s">
        <v>18</v>
      </c>
      <c r="F40" s="0" t="n">
        <v>1</v>
      </c>
      <c r="L40" s="0" t="n">
        <v>2</v>
      </c>
    </row>
    <row r="41" customFormat="false" ht="15" hidden="false" customHeight="false" outlineLevel="0" collapsed="false">
      <c r="A41" s="8" t="s">
        <v>63</v>
      </c>
      <c r="B41" s="8"/>
      <c r="C41" s="8"/>
      <c r="D41" s="0" t="s">
        <v>28</v>
      </c>
      <c r="E41" s="0" t="s">
        <v>18</v>
      </c>
      <c r="F41" s="0" t="n">
        <v>1</v>
      </c>
      <c r="L41" s="0" t="n">
        <v>2</v>
      </c>
    </row>
    <row r="42" customFormat="false" ht="15" hidden="false" customHeight="false" outlineLevel="0" collapsed="false">
      <c r="A42" s="8" t="s">
        <v>64</v>
      </c>
      <c r="B42" s="8"/>
      <c r="C42" s="8"/>
      <c r="D42" s="0" t="s">
        <v>28</v>
      </c>
      <c r="E42" s="0" t="s">
        <v>18</v>
      </c>
      <c r="F42" s="0" t="n">
        <v>1</v>
      </c>
      <c r="L42" s="0" t="n">
        <v>2</v>
      </c>
    </row>
    <row r="43" customFormat="false" ht="15" hidden="false" customHeight="false" outlineLevel="0" collapsed="false">
      <c r="A43" s="8" t="s">
        <v>65</v>
      </c>
      <c r="B43" s="8"/>
      <c r="C43" s="8"/>
      <c r="D43" s="0" t="s">
        <v>28</v>
      </c>
      <c r="E43" s="0" t="s">
        <v>18</v>
      </c>
      <c r="F43" s="0" t="n">
        <v>1</v>
      </c>
      <c r="L43" s="0" t="n">
        <v>2</v>
      </c>
    </row>
    <row r="44" customFormat="false" ht="15" hidden="false" customHeight="false" outlineLevel="0" collapsed="false">
      <c r="A44" s="8" t="s">
        <v>66</v>
      </c>
      <c r="B44" s="8"/>
      <c r="C44" s="8"/>
      <c r="D44" s="0" t="s">
        <v>28</v>
      </c>
      <c r="E44" s="0" t="s">
        <v>18</v>
      </c>
      <c r="F44" s="0" t="n">
        <v>1</v>
      </c>
      <c r="L44" s="0" t="n">
        <v>2</v>
      </c>
    </row>
    <row r="45" customFormat="false" ht="15" hidden="false" customHeight="false" outlineLevel="0" collapsed="false">
      <c r="A45" s="8" t="s">
        <v>67</v>
      </c>
      <c r="B45" s="8"/>
      <c r="C45" s="8"/>
      <c r="D45" s="0" t="s">
        <v>28</v>
      </c>
      <c r="E45" s="0" t="s">
        <v>7</v>
      </c>
      <c r="F45" s="0" t="n">
        <v>0.2</v>
      </c>
      <c r="L45" s="0" t="n">
        <v>20</v>
      </c>
      <c r="M45" s="0" t="s">
        <v>68</v>
      </c>
    </row>
    <row r="46" customFormat="false" ht="15" hidden="false" customHeight="false" outlineLevel="0" collapsed="false">
      <c r="A46" s="8" t="s">
        <v>69</v>
      </c>
      <c r="B46" s="8"/>
      <c r="C46" s="8"/>
      <c r="D46" s="0" t="s">
        <v>28</v>
      </c>
      <c r="E46" s="0" t="s">
        <v>7</v>
      </c>
      <c r="F46" s="0" t="n">
        <v>0.5</v>
      </c>
      <c r="L46" s="0" t="n">
        <f aca="false">10+10</f>
        <v>20</v>
      </c>
      <c r="M46" s="0" t="s">
        <v>70</v>
      </c>
    </row>
    <row r="47" customFormat="false" ht="15" hidden="false" customHeight="false" outlineLevel="0" collapsed="false">
      <c r="A47" s="5" t="s">
        <v>71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false" outlineLevel="0" collapsed="false">
      <c r="A48" s="7" t="s">
        <v>72</v>
      </c>
      <c r="B48" s="7"/>
      <c r="C48" s="7"/>
      <c r="D48" s="0" t="s">
        <v>28</v>
      </c>
      <c r="E48" s="0" t="s">
        <v>18</v>
      </c>
      <c r="F48" s="0" t="n">
        <v>1</v>
      </c>
      <c r="L48" s="6" t="n">
        <f aca="false">2/3</f>
        <v>0.666666666666667</v>
      </c>
    </row>
    <row r="49" customFormat="false" ht="15" hidden="false" customHeight="false" outlineLevel="0" collapsed="false">
      <c r="A49" s="7" t="s">
        <v>73</v>
      </c>
      <c r="B49" s="7"/>
      <c r="C49" s="7"/>
      <c r="D49" s="0" t="s">
        <v>28</v>
      </c>
      <c r="E49" s="0" t="s">
        <v>18</v>
      </c>
      <c r="F49" s="0" t="n">
        <v>1</v>
      </c>
      <c r="L49" s="6" t="n">
        <f aca="false">2/3</f>
        <v>0.666666666666667</v>
      </c>
    </row>
    <row r="50" customFormat="false" ht="15" hidden="false" customHeight="false" outlineLevel="0" collapsed="false">
      <c r="A50" s="7" t="s">
        <v>74</v>
      </c>
      <c r="B50" s="7"/>
      <c r="C50" s="7"/>
      <c r="D50" s="0" t="s">
        <v>28</v>
      </c>
      <c r="E50" s="0" t="s">
        <v>18</v>
      </c>
      <c r="F50" s="0" t="n">
        <v>1</v>
      </c>
      <c r="L50" s="6" t="n">
        <f aca="false">2/3</f>
        <v>0.666666666666667</v>
      </c>
    </row>
    <row r="51" customFormat="false" ht="15" hidden="false" customHeight="false" outlineLevel="0" collapsed="false">
      <c r="A51" s="7" t="s">
        <v>75</v>
      </c>
      <c r="B51" s="7"/>
      <c r="C51" s="7"/>
      <c r="D51" s="0" t="s">
        <v>28</v>
      </c>
      <c r="E51" s="0" t="s">
        <v>18</v>
      </c>
      <c r="F51" s="0" t="n">
        <v>1</v>
      </c>
      <c r="L51" s="6" t="n">
        <f aca="false">2/3</f>
        <v>0.666666666666667</v>
      </c>
    </row>
    <row r="52" customFormat="false" ht="15" hidden="false" customHeight="false" outlineLevel="0" collapsed="false">
      <c r="A52" s="7" t="s">
        <v>76</v>
      </c>
      <c r="B52" s="7"/>
      <c r="C52" s="7"/>
      <c r="D52" s="0" t="s">
        <v>28</v>
      </c>
      <c r="E52" s="0" t="s">
        <v>18</v>
      </c>
      <c r="F52" s="0" t="n">
        <v>1</v>
      </c>
      <c r="L52" s="6" t="n">
        <f aca="false">2/3</f>
        <v>0.666666666666667</v>
      </c>
    </row>
    <row r="53" customFormat="false" ht="15" hidden="false" customHeight="false" outlineLevel="0" collapsed="false">
      <c r="A53" s="7" t="s">
        <v>77</v>
      </c>
      <c r="B53" s="7"/>
      <c r="C53" s="7"/>
      <c r="D53" s="0" t="s">
        <v>28</v>
      </c>
      <c r="E53" s="0" t="s">
        <v>18</v>
      </c>
      <c r="F53" s="0" t="n">
        <v>1</v>
      </c>
      <c r="L53" s="6" t="n">
        <f aca="false">2/3</f>
        <v>0.666666666666667</v>
      </c>
    </row>
    <row r="54" customFormat="false" ht="15" hidden="false" customHeight="false" outlineLevel="0" collapsed="false">
      <c r="A54" s="7" t="s">
        <v>78</v>
      </c>
      <c r="B54" s="7"/>
      <c r="C54" s="7"/>
      <c r="D54" s="0" t="s">
        <v>28</v>
      </c>
      <c r="E54" s="0" t="s">
        <v>18</v>
      </c>
      <c r="F54" s="0" t="n">
        <v>1</v>
      </c>
      <c r="L54" s="6" t="n">
        <f aca="false">2/3</f>
        <v>0.666666666666667</v>
      </c>
    </row>
    <row r="55" customFormat="false" ht="15" hidden="false" customHeight="false" outlineLevel="0" collapsed="false">
      <c r="A55" s="7" t="s">
        <v>79</v>
      </c>
      <c r="B55" s="7"/>
      <c r="C55" s="7"/>
      <c r="D55" s="0" t="s">
        <v>28</v>
      </c>
      <c r="E55" s="0" t="s">
        <v>18</v>
      </c>
      <c r="F55" s="0" t="n">
        <v>1</v>
      </c>
      <c r="L55" s="6" t="n">
        <f aca="false">2/3</f>
        <v>0.666666666666667</v>
      </c>
    </row>
    <row r="56" customFormat="false" ht="15" hidden="false" customHeight="false" outlineLevel="0" collapsed="false">
      <c r="A56" s="7" t="s">
        <v>80</v>
      </c>
      <c r="B56" s="7"/>
      <c r="C56" s="7"/>
      <c r="D56" s="0" t="s">
        <v>28</v>
      </c>
      <c r="E56" s="0" t="s">
        <v>18</v>
      </c>
      <c r="F56" s="0" t="n">
        <v>1</v>
      </c>
      <c r="L56" s="6" t="n">
        <f aca="false">2/3</f>
        <v>0.666666666666667</v>
      </c>
    </row>
    <row r="57" customFormat="false" ht="15" hidden="false" customHeight="false" outlineLevel="0" collapsed="false">
      <c r="A57" s="5" t="s">
        <v>81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</row>
    <row r="58" customFormat="false" ht="15" hidden="false" customHeight="false" outlineLevel="0" collapsed="false">
      <c r="A58" s="0" t="s">
        <v>82</v>
      </c>
      <c r="D58" s="0" t="s">
        <v>28</v>
      </c>
      <c r="E58" s="0" t="s">
        <v>18</v>
      </c>
      <c r="F58" s="0" t="n">
        <v>1</v>
      </c>
      <c r="L58" s="6" t="n">
        <v>0.1</v>
      </c>
    </row>
    <row r="59" customFormat="false" ht="15" hidden="false" customHeight="false" outlineLevel="0" collapsed="false">
      <c r="A59" s="0" t="s">
        <v>83</v>
      </c>
      <c r="D59" s="0" t="s">
        <v>28</v>
      </c>
      <c r="E59" s="0" t="s">
        <v>18</v>
      </c>
      <c r="F59" s="0" t="n">
        <v>1</v>
      </c>
      <c r="L59" s="6" t="n">
        <f aca="false">13/39.9</f>
        <v>0.325814536340852</v>
      </c>
    </row>
    <row r="60" customFormat="false" ht="15" hidden="false" customHeight="false" outlineLevel="0" collapsed="false">
      <c r="A60" s="0" t="s">
        <v>84</v>
      </c>
      <c r="D60" s="0" t="s">
        <v>28</v>
      </c>
      <c r="E60" s="0" t="s">
        <v>18</v>
      </c>
      <c r="F60" s="0" t="n">
        <v>1</v>
      </c>
      <c r="L60" s="6" t="n">
        <f aca="false">1/2.9</f>
        <v>0.344827586206897</v>
      </c>
    </row>
    <row r="61" customFormat="false" ht="15" hidden="false" customHeight="false" outlineLevel="0" collapsed="false">
      <c r="A61" s="0" t="s">
        <v>85</v>
      </c>
      <c r="D61" s="0" t="s">
        <v>28</v>
      </c>
      <c r="E61" s="0" t="s">
        <v>18</v>
      </c>
      <c r="F61" s="0" t="n">
        <v>1</v>
      </c>
      <c r="L61" s="6" t="n">
        <v>0.2</v>
      </c>
    </row>
    <row r="62" customFormat="false" ht="15" hidden="false" customHeight="false" outlineLevel="0" collapsed="false">
      <c r="A62" s="5" t="s">
        <v>86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customFormat="false" ht="15" hidden="false" customHeight="false" outlineLevel="0" collapsed="false">
      <c r="A63" s="0" t="s">
        <v>86</v>
      </c>
      <c r="D63" s="0" t="s">
        <v>28</v>
      </c>
      <c r="E63" s="0" t="s">
        <v>18</v>
      </c>
      <c r="F63" s="0" t="n">
        <v>1</v>
      </c>
      <c r="L63" s="6" t="n">
        <f aca="false">25/29.3</f>
        <v>0.853242320819113</v>
      </c>
    </row>
    <row r="64" customFormat="false" ht="15" hidden="false" customHeight="false" outlineLevel="0" collapsed="false">
      <c r="A64" s="4" t="s">
        <v>87</v>
      </c>
      <c r="B64" s="4"/>
      <c r="C64" s="4"/>
      <c r="D64" s="4" t="s">
        <v>28</v>
      </c>
      <c r="E64" s="4" t="s">
        <v>7</v>
      </c>
      <c r="F64" s="4" t="n">
        <v>0</v>
      </c>
      <c r="G64" s="4"/>
      <c r="H64" s="4"/>
      <c r="I64" s="4"/>
      <c r="J64" s="4"/>
      <c r="K64" s="4"/>
      <c r="L64" s="9" t="n">
        <f aca="false">L122*0.060606</f>
        <v>0</v>
      </c>
    </row>
    <row r="65" customFormat="false" ht="15" hidden="false" customHeight="false" outlineLevel="0" collapsed="false">
      <c r="A65" s="5" t="s">
        <v>88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</row>
    <row r="66" customFormat="false" ht="15" hidden="false" customHeight="false" outlineLevel="0" collapsed="false">
      <c r="A66" s="5" t="s">
        <v>89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</row>
    <row r="67" customFormat="false" ht="15" hidden="false" customHeight="false" outlineLevel="0" collapsed="false">
      <c r="A67" s="0" t="s">
        <v>90</v>
      </c>
      <c r="D67" s="0" t="s">
        <v>28</v>
      </c>
      <c r="E67" s="0" t="s">
        <v>18</v>
      </c>
      <c r="F67" s="0" t="n">
        <v>1</v>
      </c>
      <c r="L67" s="0" t="n">
        <v>10</v>
      </c>
    </row>
    <row r="68" customFormat="false" ht="15" hidden="false" customHeight="false" outlineLevel="0" collapsed="false">
      <c r="A68" s="10" t="s">
        <v>91</v>
      </c>
      <c r="B68" s="10"/>
      <c r="C68" s="10"/>
      <c r="D68" s="0" t="s">
        <v>28</v>
      </c>
      <c r="E68" s="0" t="s">
        <v>7</v>
      </c>
      <c r="F68" s="0" t="n">
        <v>0</v>
      </c>
      <c r="L68" s="0" t="n">
        <v>24</v>
      </c>
    </row>
    <row r="69" customFormat="false" ht="15" hidden="false" customHeight="false" outlineLevel="0" collapsed="false">
      <c r="A69" s="10" t="s">
        <v>92</v>
      </c>
      <c r="B69" s="10"/>
      <c r="C69" s="10"/>
      <c r="D69" s="0" t="s">
        <v>28</v>
      </c>
      <c r="E69" s="0" t="s">
        <v>18</v>
      </c>
      <c r="F69" s="0" t="n">
        <v>1</v>
      </c>
      <c r="L69" s="0" t="n">
        <f aca="false">(4.8+0.3)/0.7</f>
        <v>7.28571428571429</v>
      </c>
      <c r="M69" s="0" t="s">
        <v>93</v>
      </c>
    </row>
    <row r="70" customFormat="false" ht="15" hidden="false" customHeight="false" outlineLevel="0" collapsed="false">
      <c r="A70" s="10" t="s">
        <v>94</v>
      </c>
      <c r="B70" s="10"/>
      <c r="C70" s="10"/>
      <c r="D70" s="0" t="s">
        <v>28</v>
      </c>
      <c r="E70" s="0" t="s">
        <v>18</v>
      </c>
      <c r="F70" s="0" t="n">
        <v>1</v>
      </c>
      <c r="L70" s="0" t="n">
        <v>1</v>
      </c>
    </row>
    <row r="71" customFormat="false" ht="15" hidden="false" customHeight="false" outlineLevel="0" collapsed="false">
      <c r="A71" s="10" t="s">
        <v>95</v>
      </c>
      <c r="B71" s="10"/>
      <c r="C71" s="10"/>
      <c r="D71" s="0" t="s">
        <v>28</v>
      </c>
      <c r="E71" s="0" t="s">
        <v>18</v>
      </c>
      <c r="F71" s="0" t="n">
        <v>1</v>
      </c>
      <c r="L71" s="0" t="n">
        <v>2</v>
      </c>
    </row>
    <row r="72" customFormat="false" ht="15" hidden="false" customHeight="false" outlineLevel="0" collapsed="false">
      <c r="A72" s="4" t="s">
        <v>96</v>
      </c>
      <c r="B72" s="4"/>
      <c r="C72" s="4"/>
      <c r="D72" s="4" t="s">
        <v>28</v>
      </c>
      <c r="E72" s="4" t="s">
        <v>7</v>
      </c>
      <c r="F72" s="4" t="n">
        <v>0</v>
      </c>
      <c r="G72" s="4"/>
      <c r="H72" s="4"/>
      <c r="I72" s="4"/>
      <c r="J72" s="4"/>
      <c r="K72" s="4"/>
      <c r="L72" s="4" t="n">
        <v>3</v>
      </c>
    </row>
    <row r="73" customFormat="false" ht="15" hidden="false" customHeight="false" outlineLevel="0" collapsed="false">
      <c r="A73" s="4" t="s">
        <v>97</v>
      </c>
      <c r="B73" s="4"/>
      <c r="C73" s="4"/>
      <c r="D73" s="4" t="s">
        <v>28</v>
      </c>
      <c r="E73" s="4" t="s">
        <v>7</v>
      </c>
      <c r="F73" s="4" t="n">
        <v>0</v>
      </c>
      <c r="G73" s="4"/>
      <c r="H73" s="4"/>
      <c r="I73" s="4"/>
      <c r="J73" s="4"/>
      <c r="K73" s="4"/>
      <c r="L73" s="4" t="n">
        <v>3</v>
      </c>
    </row>
    <row r="74" customFormat="false" ht="15" hidden="false" customHeight="false" outlineLevel="0" collapsed="false">
      <c r="A74" s="5" t="s">
        <v>98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="12" customFormat="true" ht="15" hidden="false" customHeight="false" outlineLevel="0" collapsed="false">
      <c r="A75" s="11" t="s">
        <v>99</v>
      </c>
      <c r="B75" s="11"/>
      <c r="C75" s="11"/>
      <c r="D75" s="11" t="s">
        <v>28</v>
      </c>
      <c r="E75" s="11" t="s">
        <v>18</v>
      </c>
      <c r="F75" s="11" t="n">
        <v>1</v>
      </c>
      <c r="G75" s="11"/>
      <c r="H75" s="11"/>
      <c r="I75" s="11"/>
      <c r="J75" s="11"/>
      <c r="K75" s="11"/>
      <c r="L75" s="11" t="n">
        <v>10</v>
      </c>
    </row>
    <row r="76" s="12" customFormat="true" ht="15" hidden="false" customHeight="false" outlineLevel="0" collapsed="false">
      <c r="A76" s="11" t="s">
        <v>100</v>
      </c>
      <c r="B76" s="11"/>
      <c r="C76" s="11"/>
      <c r="D76" s="11" t="s">
        <v>28</v>
      </c>
      <c r="E76" s="11" t="s">
        <v>18</v>
      </c>
      <c r="F76" s="11" t="n">
        <v>1</v>
      </c>
      <c r="G76" s="11"/>
      <c r="H76" s="11"/>
      <c r="I76" s="11"/>
      <c r="J76" s="11"/>
      <c r="K76" s="11"/>
      <c r="L76" s="11" t="n">
        <v>10</v>
      </c>
    </row>
    <row r="77" s="12" customFormat="true" ht="15" hidden="false" customHeight="false" outlineLevel="0" collapsed="false">
      <c r="A77" s="13" t="s">
        <v>101</v>
      </c>
      <c r="B77" s="13"/>
      <c r="C77" s="13"/>
      <c r="D77" s="14"/>
      <c r="E77" s="14"/>
      <c r="F77" s="14"/>
      <c r="G77" s="14"/>
      <c r="H77" s="14"/>
      <c r="I77" s="14"/>
      <c r="J77" s="14"/>
      <c r="K77" s="14"/>
      <c r="L77" s="14"/>
    </row>
    <row r="78" s="12" customFormat="true" ht="15" hidden="false" customHeight="false" outlineLevel="0" collapsed="false">
      <c r="A78" s="11" t="s">
        <v>102</v>
      </c>
      <c r="B78" s="11"/>
      <c r="C78" s="11"/>
      <c r="D78" s="11" t="s">
        <v>28</v>
      </c>
      <c r="E78" s="11" t="s">
        <v>7</v>
      </c>
      <c r="F78" s="11" t="n">
        <v>0</v>
      </c>
      <c r="G78" s="11"/>
      <c r="H78" s="11"/>
      <c r="I78" s="11"/>
      <c r="J78" s="11"/>
      <c r="K78" s="11"/>
      <c r="L78" s="11" t="n">
        <v>7</v>
      </c>
    </row>
    <row r="79" customFormat="false" ht="15" hidden="false" customHeight="false" outlineLevel="0" collapsed="false">
      <c r="A79" s="5" t="s">
        <v>103</v>
      </c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customFormat="false" ht="15" hidden="false" customHeight="false" outlineLevel="0" collapsed="false">
      <c r="A80" s="0" t="s">
        <v>104</v>
      </c>
      <c r="D80" s="0" t="s">
        <v>28</v>
      </c>
      <c r="E80" s="0" t="s">
        <v>18</v>
      </c>
      <c r="F80" s="0" t="n">
        <v>1</v>
      </c>
      <c r="L80" s="0" t="n">
        <v>2</v>
      </c>
    </row>
    <row r="81" customFormat="false" ht="15" hidden="false" customHeight="false" outlineLevel="0" collapsed="false">
      <c r="A81" s="4" t="s">
        <v>105</v>
      </c>
      <c r="B81" s="4"/>
      <c r="C81" s="4"/>
      <c r="D81" s="4" t="s">
        <v>28</v>
      </c>
      <c r="E81" s="4" t="s">
        <v>7</v>
      </c>
      <c r="F81" s="15" t="n">
        <v>0</v>
      </c>
      <c r="G81" s="4"/>
      <c r="H81" s="4"/>
      <c r="I81" s="4"/>
      <c r="J81" s="4"/>
      <c r="K81" s="4"/>
      <c r="L81" s="15" t="n">
        <f aca="false">L97*0.092+L100*0.008+L98*0.097</f>
        <v>0</v>
      </c>
      <c r="M81" s="0" t="s">
        <v>106</v>
      </c>
    </row>
    <row r="82" customFormat="false" ht="15" hidden="false" customHeight="false" outlineLevel="0" collapsed="false">
      <c r="A82" s="0" t="s">
        <v>107</v>
      </c>
      <c r="D82" s="0" t="s">
        <v>28</v>
      </c>
      <c r="E82" s="0" t="s">
        <v>18</v>
      </c>
      <c r="F82" s="0" t="n">
        <v>1</v>
      </c>
      <c r="L82" s="0" t="n">
        <v>1</v>
      </c>
    </row>
    <row r="83" customFormat="false" ht="15" hidden="false" customHeight="false" outlineLevel="0" collapsed="false">
      <c r="A83" s="0" t="s">
        <v>108</v>
      </c>
      <c r="D83" s="0" t="s">
        <v>28</v>
      </c>
      <c r="E83" s="0" t="s">
        <v>18</v>
      </c>
      <c r="F83" s="0" t="n">
        <v>1</v>
      </c>
      <c r="L83" s="0" t="n">
        <v>1</v>
      </c>
    </row>
    <row r="84" customFormat="false" ht="15" hidden="false" customHeight="false" outlineLevel="0" collapsed="false">
      <c r="A84" s="5" t="s">
        <v>109</v>
      </c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customFormat="false" ht="15" hidden="false" customHeight="false" outlineLevel="0" collapsed="false">
      <c r="A85" s="0" t="s">
        <v>110</v>
      </c>
      <c r="D85" s="0" t="s">
        <v>28</v>
      </c>
      <c r="E85" s="0" t="s">
        <v>18</v>
      </c>
      <c r="F85" s="0" t="n">
        <v>1</v>
      </c>
      <c r="L85" s="6" t="n">
        <f aca="false">1/4</f>
        <v>0.25</v>
      </c>
    </row>
    <row r="86" customFormat="false" ht="15" hidden="false" customHeight="false" outlineLevel="0" collapsed="false">
      <c r="A86" s="0" t="s">
        <v>111</v>
      </c>
      <c r="D86" s="0" t="s">
        <v>28</v>
      </c>
      <c r="E86" s="0" t="s">
        <v>18</v>
      </c>
      <c r="F86" s="0" t="n">
        <v>1</v>
      </c>
      <c r="L86" s="6" t="n">
        <f aca="false">1/4</f>
        <v>0.25</v>
      </c>
    </row>
    <row r="87" customFormat="false" ht="15" hidden="false" customHeight="false" outlineLevel="0" collapsed="false">
      <c r="A87" s="0" t="s">
        <v>112</v>
      </c>
      <c r="D87" s="0" t="s">
        <v>28</v>
      </c>
      <c r="E87" s="0" t="s">
        <v>18</v>
      </c>
      <c r="F87" s="0" t="n">
        <v>1</v>
      </c>
      <c r="L87" s="6" t="n">
        <f aca="false">1/4</f>
        <v>0.25</v>
      </c>
    </row>
    <row r="88" customFormat="false" ht="15" hidden="false" customHeight="false" outlineLevel="0" collapsed="false">
      <c r="A88" s="5" t="s">
        <v>113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customFormat="false" ht="15" hidden="false" customHeight="false" outlineLevel="0" collapsed="false">
      <c r="A89" s="0" t="s">
        <v>114</v>
      </c>
      <c r="D89" s="0" t="s">
        <v>28</v>
      </c>
      <c r="E89" s="0" t="s">
        <v>18</v>
      </c>
      <c r="F89" s="0" t="n">
        <v>1</v>
      </c>
      <c r="L89" s="6" t="n">
        <f aca="false">2/3</f>
        <v>0.666666666666667</v>
      </c>
    </row>
    <row r="90" customFormat="false" ht="15" hidden="false" customHeight="false" outlineLevel="0" collapsed="false">
      <c r="A90" s="0" t="s">
        <v>115</v>
      </c>
      <c r="D90" s="0" t="s">
        <v>28</v>
      </c>
      <c r="E90" s="0" t="s">
        <v>18</v>
      </c>
      <c r="F90" s="0" t="n">
        <v>1</v>
      </c>
      <c r="L90" s="6" t="n">
        <f aca="false">2/3</f>
        <v>0.666666666666667</v>
      </c>
    </row>
    <row r="91" customFormat="false" ht="15" hidden="false" customHeight="false" outlineLevel="0" collapsed="false">
      <c r="A91" s="0" t="s">
        <v>116</v>
      </c>
      <c r="D91" s="0" t="s">
        <v>28</v>
      </c>
      <c r="E91" s="0" t="s">
        <v>18</v>
      </c>
      <c r="F91" s="0" t="n">
        <v>1</v>
      </c>
      <c r="L91" s="6" t="n">
        <f aca="false">2/3</f>
        <v>0.666666666666667</v>
      </c>
    </row>
    <row r="92" customFormat="false" ht="15" hidden="false" customHeight="false" outlineLevel="0" collapsed="false">
      <c r="A92" s="0" t="s">
        <v>117</v>
      </c>
      <c r="D92" s="0" t="s">
        <v>28</v>
      </c>
      <c r="E92" s="0" t="s">
        <v>18</v>
      </c>
      <c r="F92" s="0" t="n">
        <v>1</v>
      </c>
      <c r="L92" s="6" t="n">
        <f aca="false">2/3</f>
        <v>0.666666666666667</v>
      </c>
    </row>
    <row r="93" customFormat="false" ht="15" hidden="false" customHeight="false" outlineLevel="0" collapsed="false">
      <c r="A93" s="5" t="s">
        <v>118</v>
      </c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</row>
    <row r="94" customFormat="false" ht="15" hidden="false" customHeight="false" outlineLevel="0" collapsed="false">
      <c r="A94" s="5" t="s">
        <v>119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</row>
    <row r="95" customFormat="false" ht="15" hidden="false" customHeight="false" outlineLevel="0" collapsed="false">
      <c r="A95" s="5" t="s">
        <v>120</v>
      </c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</row>
    <row r="96" customFormat="false" ht="15" hidden="false" customHeight="false" outlineLevel="0" collapsed="false">
      <c r="A96" s="5" t="s">
        <v>121</v>
      </c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</row>
    <row r="97" s="17" customFormat="true" ht="15" hidden="false" customHeight="false" outlineLevel="0" collapsed="false">
      <c r="A97" s="16" t="s">
        <v>122</v>
      </c>
      <c r="B97" s="16"/>
      <c r="C97" s="16"/>
      <c r="D97" s="16" t="s">
        <v>28</v>
      </c>
      <c r="E97" s="16" t="s">
        <v>7</v>
      </c>
      <c r="F97" s="16" t="n">
        <v>0</v>
      </c>
      <c r="G97" s="16"/>
      <c r="H97" s="16"/>
      <c r="I97" s="16"/>
      <c r="J97" s="16"/>
      <c r="K97" s="16"/>
      <c r="L97" s="16" t="n">
        <v>0</v>
      </c>
    </row>
    <row r="98" customFormat="false" ht="15" hidden="false" customHeight="false" outlineLevel="0" collapsed="false">
      <c r="A98" s="16" t="s">
        <v>123</v>
      </c>
      <c r="B98" s="16"/>
      <c r="C98" s="16"/>
      <c r="D98" s="4" t="s">
        <v>28</v>
      </c>
      <c r="E98" s="4" t="s">
        <v>7</v>
      </c>
      <c r="F98" s="4" t="n">
        <v>0</v>
      </c>
      <c r="G98" s="4"/>
      <c r="H98" s="4"/>
      <c r="I98" s="4"/>
      <c r="J98" s="4"/>
      <c r="K98" s="4"/>
      <c r="L98" s="4" t="n">
        <v>0</v>
      </c>
    </row>
    <row r="99" customFormat="false" ht="15" hidden="false" customHeight="false" outlineLevel="0" collapsed="false">
      <c r="A99" s="16" t="s">
        <v>124</v>
      </c>
      <c r="B99" s="16"/>
      <c r="C99" s="16"/>
      <c r="D99" s="4" t="s">
        <v>28</v>
      </c>
      <c r="E99" s="4" t="s">
        <v>7</v>
      </c>
      <c r="F99" s="4" t="n">
        <v>0</v>
      </c>
      <c r="G99" s="4"/>
      <c r="H99" s="4"/>
      <c r="I99" s="4"/>
      <c r="J99" s="4"/>
      <c r="K99" s="4"/>
      <c r="L99" s="4" t="n">
        <v>0</v>
      </c>
    </row>
    <row r="100" customFormat="false" ht="15" hidden="false" customHeight="false" outlineLevel="0" collapsed="false">
      <c r="A100" s="16" t="s">
        <v>125</v>
      </c>
      <c r="B100" s="16"/>
      <c r="C100" s="16"/>
      <c r="D100" s="4" t="s">
        <v>28</v>
      </c>
      <c r="E100" s="4" t="s">
        <v>7</v>
      </c>
      <c r="F100" s="4" t="n">
        <v>0</v>
      </c>
      <c r="G100" s="4"/>
      <c r="H100" s="4"/>
      <c r="I100" s="4"/>
      <c r="J100" s="4"/>
      <c r="K100" s="4"/>
      <c r="L100" s="4" t="n">
        <v>0</v>
      </c>
    </row>
    <row r="101" customFormat="false" ht="15" hidden="false" customHeight="false" outlineLevel="0" collapsed="false">
      <c r="A101" s="16" t="s">
        <v>126</v>
      </c>
      <c r="B101" s="16"/>
      <c r="C101" s="16"/>
      <c r="D101" s="4" t="s">
        <v>28</v>
      </c>
      <c r="E101" s="4" t="s">
        <v>7</v>
      </c>
      <c r="F101" s="4" t="n">
        <v>0</v>
      </c>
      <c r="G101" s="4"/>
      <c r="H101" s="4"/>
      <c r="I101" s="4"/>
      <c r="J101" s="4"/>
      <c r="K101" s="4"/>
      <c r="L101" s="4" t="n">
        <v>0</v>
      </c>
    </row>
    <row r="102" customFormat="false" ht="15" hidden="false" customHeight="false" outlineLevel="0" collapsed="false">
      <c r="A102" s="16" t="s">
        <v>127</v>
      </c>
      <c r="B102" s="16"/>
      <c r="C102" s="16"/>
      <c r="D102" s="4" t="s">
        <v>28</v>
      </c>
      <c r="E102" s="4" t="s">
        <v>7</v>
      </c>
      <c r="F102" s="4" t="n">
        <v>0</v>
      </c>
      <c r="G102" s="4"/>
      <c r="H102" s="4"/>
      <c r="I102" s="4"/>
      <c r="J102" s="4"/>
      <c r="K102" s="4"/>
      <c r="L102" s="4" t="n">
        <v>0</v>
      </c>
    </row>
    <row r="103" customFormat="false" ht="15" hidden="false" customHeight="false" outlineLevel="0" collapsed="false">
      <c r="A103" s="16" t="s">
        <v>128</v>
      </c>
      <c r="B103" s="16"/>
      <c r="C103" s="16"/>
      <c r="D103" s="4" t="s">
        <v>28</v>
      </c>
      <c r="E103" s="4" t="s">
        <v>7</v>
      </c>
      <c r="F103" s="4" t="n">
        <v>0</v>
      </c>
      <c r="G103" s="4"/>
      <c r="H103" s="4"/>
      <c r="I103" s="4"/>
      <c r="J103" s="4"/>
      <c r="K103" s="4"/>
      <c r="L103" s="4" t="n">
        <v>0</v>
      </c>
    </row>
    <row r="104" customFormat="false" ht="15" hidden="false" customHeight="false" outlineLevel="0" collapsed="false">
      <c r="A104" s="16" t="s">
        <v>129</v>
      </c>
      <c r="B104" s="16"/>
      <c r="C104" s="16"/>
      <c r="D104" s="4" t="s">
        <v>28</v>
      </c>
      <c r="E104" s="4" t="s">
        <v>7</v>
      </c>
      <c r="F104" s="4" t="n">
        <v>0</v>
      </c>
      <c r="G104" s="4"/>
      <c r="H104" s="4"/>
      <c r="I104" s="4"/>
      <c r="J104" s="4"/>
      <c r="K104" s="4"/>
      <c r="L104" s="4" t="n">
        <v>10</v>
      </c>
    </row>
    <row r="105" customFormat="false" ht="15" hidden="false" customHeight="false" outlineLevel="0" collapsed="false">
      <c r="A105" s="16" t="s">
        <v>130</v>
      </c>
      <c r="B105" s="16"/>
      <c r="C105" s="16"/>
      <c r="D105" s="4" t="s">
        <v>28</v>
      </c>
      <c r="E105" s="4" t="s">
        <v>7</v>
      </c>
      <c r="F105" s="4" t="n">
        <v>0</v>
      </c>
      <c r="G105" s="4"/>
      <c r="H105" s="4"/>
      <c r="I105" s="4"/>
      <c r="J105" s="4"/>
      <c r="K105" s="4"/>
      <c r="L105" s="4" t="n">
        <v>10</v>
      </c>
    </row>
    <row r="106" customFormat="false" ht="15" hidden="false" customHeight="false" outlineLevel="0" collapsed="false">
      <c r="A106" s="16" t="s">
        <v>131</v>
      </c>
      <c r="B106" s="16"/>
      <c r="C106" s="16"/>
      <c r="D106" s="4" t="s">
        <v>28</v>
      </c>
      <c r="E106" s="4" t="s">
        <v>7</v>
      </c>
      <c r="F106" s="4" t="n">
        <v>0</v>
      </c>
      <c r="G106" s="4"/>
      <c r="H106" s="4"/>
      <c r="I106" s="4"/>
      <c r="J106" s="4"/>
      <c r="K106" s="4"/>
      <c r="L106" s="4" t="n">
        <v>0</v>
      </c>
    </row>
    <row r="107" customFormat="false" ht="15" hidden="false" customHeight="false" outlineLevel="0" collapsed="false">
      <c r="A107" s="16" t="s">
        <v>132</v>
      </c>
      <c r="B107" s="16"/>
      <c r="C107" s="16"/>
      <c r="D107" s="4" t="s">
        <v>28</v>
      </c>
      <c r="E107" s="4" t="s">
        <v>7</v>
      </c>
      <c r="F107" s="4" t="n">
        <v>0</v>
      </c>
      <c r="G107" s="4"/>
      <c r="H107" s="4"/>
      <c r="I107" s="4"/>
      <c r="J107" s="4"/>
      <c r="K107" s="4"/>
      <c r="L107" s="4" t="n">
        <v>0</v>
      </c>
    </row>
    <row r="108" customFormat="false" ht="15" hidden="false" customHeight="false" outlineLevel="0" collapsed="false">
      <c r="A108" s="16" t="s">
        <v>133</v>
      </c>
      <c r="B108" s="16"/>
      <c r="C108" s="16"/>
      <c r="D108" s="4" t="s">
        <v>28</v>
      </c>
      <c r="E108" s="4" t="s">
        <v>7</v>
      </c>
      <c r="F108" s="4" t="n">
        <v>0</v>
      </c>
      <c r="G108" s="4"/>
      <c r="H108" s="4"/>
      <c r="I108" s="4"/>
      <c r="J108" s="4"/>
      <c r="K108" s="4"/>
      <c r="L108" s="4" t="n">
        <v>0</v>
      </c>
    </row>
    <row r="109" customFormat="false" ht="15" hidden="false" customHeight="false" outlineLevel="0" collapsed="false">
      <c r="A109" s="16" t="s">
        <v>134</v>
      </c>
      <c r="B109" s="16"/>
      <c r="C109" s="16"/>
      <c r="D109" s="4" t="s">
        <v>28</v>
      </c>
      <c r="E109" s="4" t="s">
        <v>7</v>
      </c>
      <c r="F109" s="4" t="n">
        <v>0</v>
      </c>
      <c r="G109" s="4"/>
      <c r="H109" s="4"/>
      <c r="I109" s="4"/>
      <c r="J109" s="4"/>
      <c r="K109" s="4"/>
      <c r="L109" s="4" t="n">
        <v>0</v>
      </c>
    </row>
    <row r="110" customFormat="false" ht="15" hidden="false" customHeight="false" outlineLevel="0" collapsed="false">
      <c r="A110" s="16"/>
      <c r="B110" s="16"/>
      <c r="C110" s="16"/>
      <c r="D110" s="4"/>
      <c r="E110" s="4"/>
      <c r="F110" s="4"/>
      <c r="G110" s="4"/>
      <c r="H110" s="4"/>
      <c r="I110" s="4"/>
      <c r="J110" s="4"/>
      <c r="K110" s="4"/>
      <c r="L110" s="4"/>
    </row>
    <row r="111" customFormat="false" ht="15" hidden="false" customHeight="false" outlineLevel="0" collapsed="false">
      <c r="A111" s="2" t="s">
        <v>135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customFormat="false" ht="15" hidden="false" customHeight="false" outlineLevel="0" collapsed="false">
      <c r="D112" s="4" t="s">
        <v>136</v>
      </c>
      <c r="E112" s="4" t="s">
        <v>18</v>
      </c>
      <c r="F112" s="4" t="n">
        <v>1</v>
      </c>
    </row>
    <row r="113" customFormat="false" ht="15" hidden="false" customHeight="false" outlineLevel="0" collapsed="false">
      <c r="A113" s="5" t="s">
        <v>29</v>
      </c>
      <c r="B113" s="5"/>
      <c r="C113" s="5"/>
      <c r="D113" s="5"/>
      <c r="E113" s="5"/>
      <c r="F113" s="18"/>
      <c r="G113" s="5"/>
      <c r="H113" s="5"/>
      <c r="I113" s="5"/>
      <c r="J113" s="5"/>
      <c r="K113" s="5"/>
      <c r="L113" s="5"/>
    </row>
    <row r="114" customFormat="false" ht="15" hidden="false" customHeight="false" outlineLevel="0" collapsed="false">
      <c r="A114" s="0" t="s">
        <v>30</v>
      </c>
      <c r="D114" s="0" t="s">
        <v>136</v>
      </c>
      <c r="E114" s="0" t="s">
        <v>7</v>
      </c>
      <c r="F114" s="0" t="n">
        <v>22</v>
      </c>
      <c r="L114" s="0" t="n">
        <f aca="false">F114-20</f>
        <v>2</v>
      </c>
    </row>
    <row r="115" customFormat="false" ht="15" hidden="false" customHeight="false" outlineLevel="0" collapsed="false">
      <c r="A115" s="0" t="s">
        <v>31</v>
      </c>
      <c r="D115" s="0" t="s">
        <v>136</v>
      </c>
      <c r="E115" s="0" t="s">
        <v>7</v>
      </c>
      <c r="F115" s="19" t="n">
        <f aca="false">F114</f>
        <v>22</v>
      </c>
      <c r="L115" s="0" t="n">
        <f aca="false">F115-20</f>
        <v>2</v>
      </c>
    </row>
    <row r="116" customFormat="false" ht="15" hidden="false" customHeight="false" outlineLevel="0" collapsed="false">
      <c r="A116" s="0" t="s">
        <v>32</v>
      </c>
      <c r="D116" s="0" t="s">
        <v>136</v>
      </c>
      <c r="E116" s="0" t="s">
        <v>7</v>
      </c>
      <c r="F116" s="0" t="n">
        <v>100</v>
      </c>
      <c r="L116" s="0" t="n">
        <v>100</v>
      </c>
    </row>
    <row r="117" customFormat="false" ht="15" hidden="false" customHeight="false" outlineLevel="0" collapsed="false">
      <c r="A117" s="0" t="s">
        <v>33</v>
      </c>
      <c r="D117" s="0" t="s">
        <v>136</v>
      </c>
      <c r="E117" s="0" t="s">
        <v>7</v>
      </c>
      <c r="F117" s="0" t="n">
        <v>4</v>
      </c>
      <c r="L117" s="0" t="n">
        <v>0</v>
      </c>
    </row>
    <row r="118" customFormat="false" ht="15" hidden="false" customHeight="false" outlineLevel="0" collapsed="false">
      <c r="A118" s="0" t="s">
        <v>34</v>
      </c>
      <c r="D118" s="0" t="s">
        <v>136</v>
      </c>
      <c r="E118" s="0" t="s">
        <v>7</v>
      </c>
      <c r="F118" s="19" t="n">
        <f aca="false">F117</f>
        <v>4</v>
      </c>
      <c r="L118" s="0" t="n">
        <v>0</v>
      </c>
    </row>
    <row r="119" customFormat="false" ht="15" hidden="false" customHeight="false" outlineLevel="0" collapsed="false">
      <c r="A119" s="0" t="s">
        <v>35</v>
      </c>
      <c r="D119" s="0" t="s">
        <v>136</v>
      </c>
      <c r="E119" s="0" t="s">
        <v>7</v>
      </c>
      <c r="F119" s="0" t="n">
        <v>100</v>
      </c>
      <c r="L119" s="0" t="n">
        <f aca="false">F119-20</f>
        <v>80</v>
      </c>
    </row>
    <row r="120" customFormat="false" ht="15" hidden="false" customHeight="false" outlineLevel="0" collapsed="false">
      <c r="A120" s="0" t="s">
        <v>36</v>
      </c>
      <c r="D120" s="0" t="s">
        <v>136</v>
      </c>
      <c r="E120" s="0" t="s">
        <v>7</v>
      </c>
      <c r="F120" s="0" t="n">
        <v>8</v>
      </c>
      <c r="L120" s="0" t="n">
        <v>0</v>
      </c>
    </row>
    <row r="121" customFormat="false" ht="15" hidden="false" customHeight="false" outlineLevel="0" collapsed="false">
      <c r="A121" s="0" t="s">
        <v>37</v>
      </c>
      <c r="D121" s="0" t="s">
        <v>136</v>
      </c>
      <c r="E121" s="0" t="s">
        <v>7</v>
      </c>
      <c r="F121" s="19" t="n">
        <f aca="false">F120</f>
        <v>8</v>
      </c>
      <c r="L121" s="0" t="n">
        <v>0</v>
      </c>
    </row>
    <row r="122" customFormat="false" ht="15" hidden="false" customHeight="false" outlineLevel="0" collapsed="false">
      <c r="A122" s="0" t="s">
        <v>38</v>
      </c>
      <c r="D122" s="0" t="s">
        <v>136</v>
      </c>
      <c r="E122" s="0" t="s">
        <v>7</v>
      </c>
      <c r="F122" s="0" t="n">
        <v>1</v>
      </c>
      <c r="L122" s="0" t="n">
        <v>0</v>
      </c>
    </row>
    <row r="123" customFormat="false" ht="15" hidden="false" customHeight="false" outlineLevel="0" collapsed="false">
      <c r="A123" s="0" t="s">
        <v>39</v>
      </c>
      <c r="D123" s="0" t="s">
        <v>136</v>
      </c>
      <c r="E123" s="0" t="s">
        <v>7</v>
      </c>
      <c r="F123" s="19" t="n">
        <f aca="false">F122</f>
        <v>1</v>
      </c>
      <c r="L123" s="0" t="n">
        <v>0</v>
      </c>
    </row>
    <row r="124" customFormat="false" ht="15" hidden="false" customHeight="false" outlineLevel="0" collapsed="false">
      <c r="A124" s="0" t="s">
        <v>40</v>
      </c>
      <c r="D124" s="0" t="s">
        <v>136</v>
      </c>
      <c r="E124" s="0" t="s">
        <v>7</v>
      </c>
      <c r="F124" s="7" t="n">
        <v>22</v>
      </c>
      <c r="L124" s="0" t="n">
        <f aca="false">F124-10</f>
        <v>12</v>
      </c>
    </row>
    <row r="125" customFormat="false" ht="15" hidden="false" customHeight="false" outlineLevel="0" collapsed="false">
      <c r="A125" s="0" t="s">
        <v>41</v>
      </c>
      <c r="D125" s="0" t="s">
        <v>136</v>
      </c>
      <c r="E125" s="0" t="s">
        <v>7</v>
      </c>
      <c r="F125" s="19" t="n">
        <f aca="false">F124</f>
        <v>22</v>
      </c>
      <c r="L125" s="0" t="n">
        <f aca="false">F125-10</f>
        <v>12</v>
      </c>
    </row>
    <row r="126" customFormat="false" ht="15" hidden="false" customHeight="false" outlineLevel="0" collapsed="false">
      <c r="A126" s="4" t="s">
        <v>42</v>
      </c>
      <c r="B126" s="4"/>
      <c r="C126" s="4"/>
      <c r="D126" s="4" t="s">
        <v>136</v>
      </c>
      <c r="E126" s="4" t="s">
        <v>7</v>
      </c>
      <c r="F126" s="4" t="n">
        <v>100</v>
      </c>
      <c r="G126" s="4"/>
      <c r="H126" s="4"/>
      <c r="I126" s="4"/>
      <c r="J126" s="4"/>
      <c r="K126" s="4"/>
      <c r="L126" s="4" t="n">
        <v>60</v>
      </c>
    </row>
    <row r="127" customFormat="false" ht="15" hidden="false" customHeight="false" outlineLevel="0" collapsed="false">
      <c r="A127" s="5" t="s">
        <v>43</v>
      </c>
      <c r="B127" s="5"/>
      <c r="C127" s="5"/>
      <c r="D127" s="5"/>
      <c r="E127" s="5"/>
      <c r="F127" s="18"/>
      <c r="G127" s="5"/>
      <c r="H127" s="5"/>
      <c r="I127" s="5"/>
      <c r="J127" s="5"/>
      <c r="K127" s="5"/>
      <c r="L127" s="5"/>
    </row>
    <row r="128" customFormat="false" ht="15" hidden="false" customHeight="false" outlineLevel="0" collapsed="false">
      <c r="A128" s="8" t="s">
        <v>44</v>
      </c>
      <c r="B128" s="8"/>
      <c r="C128" s="8"/>
      <c r="D128" s="0" t="s">
        <v>136</v>
      </c>
      <c r="E128" s="0" t="s">
        <v>7</v>
      </c>
      <c r="F128" s="8" t="n">
        <v>16</v>
      </c>
      <c r="G128" s="8"/>
      <c r="H128" s="8"/>
      <c r="I128" s="8"/>
      <c r="J128" s="8"/>
      <c r="K128" s="8"/>
      <c r="L128" s="0" t="n">
        <v>0</v>
      </c>
    </row>
    <row r="129" customFormat="false" ht="15" hidden="false" customHeight="false" outlineLevel="0" collapsed="false">
      <c r="A129" s="8" t="s">
        <v>45</v>
      </c>
      <c r="B129" s="8"/>
      <c r="C129" s="8"/>
      <c r="D129" s="0" t="s">
        <v>136</v>
      </c>
      <c r="E129" s="0" t="s">
        <v>7</v>
      </c>
      <c r="F129" s="8" t="n">
        <v>16</v>
      </c>
      <c r="G129" s="8"/>
      <c r="H129" s="8"/>
      <c r="I129" s="8"/>
      <c r="J129" s="8"/>
      <c r="K129" s="8"/>
      <c r="L129" s="0" t="n">
        <v>0</v>
      </c>
    </row>
    <row r="130" customFormat="false" ht="15" hidden="false" customHeight="false" outlineLevel="0" collapsed="false">
      <c r="A130" s="8" t="s">
        <v>46</v>
      </c>
      <c r="B130" s="8"/>
      <c r="C130" s="8"/>
      <c r="D130" s="0" t="s">
        <v>136</v>
      </c>
      <c r="E130" s="0" t="s">
        <v>7</v>
      </c>
      <c r="F130" s="8" t="n">
        <v>16</v>
      </c>
      <c r="G130" s="8"/>
      <c r="H130" s="8"/>
      <c r="I130" s="8"/>
      <c r="J130" s="8"/>
      <c r="K130" s="8"/>
      <c r="L130" s="0" t="n">
        <v>0</v>
      </c>
    </row>
    <row r="131" customFormat="false" ht="15" hidden="false" customHeight="false" outlineLevel="0" collapsed="false">
      <c r="A131" s="8" t="s">
        <v>47</v>
      </c>
      <c r="B131" s="8"/>
      <c r="C131" s="8"/>
      <c r="D131" s="0" t="s">
        <v>136</v>
      </c>
      <c r="E131" s="0" t="s">
        <v>7</v>
      </c>
      <c r="F131" s="8" t="n">
        <v>16</v>
      </c>
      <c r="G131" s="8"/>
      <c r="H131" s="8"/>
      <c r="I131" s="8"/>
      <c r="J131" s="8"/>
      <c r="K131" s="8"/>
      <c r="L131" s="0" t="n">
        <v>0</v>
      </c>
    </row>
    <row r="132" customFormat="false" ht="15" hidden="false" customHeight="false" outlineLevel="0" collapsed="false">
      <c r="A132" s="5" t="s">
        <v>137</v>
      </c>
      <c r="B132" s="5"/>
      <c r="C132" s="5"/>
      <c r="D132" s="5"/>
      <c r="E132" s="5"/>
      <c r="F132" s="18"/>
      <c r="G132" s="5"/>
      <c r="H132" s="5"/>
      <c r="I132" s="5"/>
      <c r="J132" s="5"/>
      <c r="K132" s="5"/>
      <c r="L132" s="5"/>
    </row>
    <row r="133" customFormat="false" ht="15" hidden="false" customHeight="false" outlineLevel="0" collapsed="false">
      <c r="A133" s="8" t="s">
        <v>61</v>
      </c>
      <c r="B133" s="8"/>
      <c r="C133" s="8"/>
      <c r="D133" s="0" t="s">
        <v>136</v>
      </c>
      <c r="E133" s="0" t="s">
        <v>7</v>
      </c>
      <c r="F133" s="8" t="n">
        <v>85</v>
      </c>
      <c r="G133" s="8"/>
      <c r="H133" s="8"/>
      <c r="I133" s="8"/>
      <c r="J133" s="8"/>
      <c r="K133" s="8"/>
      <c r="L133" s="0" t="n">
        <f aca="false">F133-40</f>
        <v>45</v>
      </c>
    </row>
    <row r="134" customFormat="false" ht="15" hidden="false" customHeight="false" outlineLevel="0" collapsed="false">
      <c r="A134" s="8" t="s">
        <v>62</v>
      </c>
      <c r="B134" s="8"/>
      <c r="C134" s="8"/>
      <c r="D134" s="0" t="s">
        <v>136</v>
      </c>
      <c r="E134" s="0" t="s">
        <v>7</v>
      </c>
      <c r="F134" s="8" t="n">
        <v>85</v>
      </c>
      <c r="G134" s="8"/>
      <c r="H134" s="8"/>
      <c r="I134" s="8"/>
      <c r="J134" s="8"/>
      <c r="K134" s="8"/>
      <c r="L134" s="0" t="n">
        <f aca="false">F134-40</f>
        <v>45</v>
      </c>
    </row>
    <row r="135" customFormat="false" ht="15" hidden="false" customHeight="false" outlineLevel="0" collapsed="false">
      <c r="A135" s="8" t="s">
        <v>63</v>
      </c>
      <c r="B135" s="8"/>
      <c r="C135" s="8"/>
      <c r="D135" s="0" t="s">
        <v>136</v>
      </c>
      <c r="E135" s="0" t="s">
        <v>7</v>
      </c>
      <c r="F135" s="8" t="n">
        <v>85</v>
      </c>
      <c r="G135" s="8"/>
      <c r="H135" s="8"/>
      <c r="I135" s="8"/>
      <c r="J135" s="8"/>
      <c r="K135" s="8"/>
      <c r="L135" s="0" t="n">
        <f aca="false">F135-40</f>
        <v>45</v>
      </c>
    </row>
    <row r="136" customFormat="false" ht="15" hidden="false" customHeight="false" outlineLevel="0" collapsed="false">
      <c r="A136" s="8" t="s">
        <v>64</v>
      </c>
      <c r="B136" s="8"/>
      <c r="C136" s="8"/>
      <c r="D136" s="0" t="s">
        <v>136</v>
      </c>
      <c r="E136" s="0" t="s">
        <v>7</v>
      </c>
      <c r="F136" s="8" t="n">
        <v>95</v>
      </c>
      <c r="G136" s="8"/>
      <c r="H136" s="8"/>
      <c r="I136" s="8"/>
      <c r="J136" s="8"/>
      <c r="K136" s="8"/>
      <c r="L136" s="0" t="n">
        <f aca="false">F136-40</f>
        <v>55</v>
      </c>
    </row>
    <row r="137" customFormat="false" ht="15" hidden="false" customHeight="false" outlineLevel="0" collapsed="false">
      <c r="A137" s="8" t="s">
        <v>65</v>
      </c>
      <c r="B137" s="8"/>
      <c r="C137" s="8"/>
      <c r="D137" s="0" t="s">
        <v>136</v>
      </c>
      <c r="E137" s="0" t="s">
        <v>7</v>
      </c>
      <c r="F137" s="7" t="n">
        <v>97</v>
      </c>
      <c r="G137" s="8"/>
      <c r="H137" s="8"/>
      <c r="I137" s="8"/>
      <c r="J137" s="8"/>
      <c r="K137" s="8"/>
      <c r="L137" s="0" t="n">
        <f aca="false">F137-40</f>
        <v>57</v>
      </c>
    </row>
    <row r="138" customFormat="false" ht="15" hidden="false" customHeight="false" outlineLevel="0" collapsed="false">
      <c r="A138" s="8" t="s">
        <v>66</v>
      </c>
      <c r="B138" s="8"/>
      <c r="C138" s="8"/>
      <c r="D138" s="0" t="s">
        <v>136</v>
      </c>
      <c r="E138" s="0" t="s">
        <v>7</v>
      </c>
      <c r="F138" s="8" t="n">
        <v>29</v>
      </c>
      <c r="G138" s="8"/>
      <c r="H138" s="8"/>
      <c r="I138" s="8"/>
      <c r="J138" s="8"/>
      <c r="K138" s="8"/>
      <c r="L138" s="0" t="n">
        <v>0</v>
      </c>
    </row>
    <row r="139" customFormat="false" ht="15" hidden="false" customHeight="false" outlineLevel="0" collapsed="false">
      <c r="A139" s="8" t="s">
        <v>67</v>
      </c>
      <c r="B139" s="8"/>
      <c r="C139" s="8"/>
      <c r="D139" s="0" t="s">
        <v>136</v>
      </c>
      <c r="E139" s="0" t="s">
        <v>7</v>
      </c>
      <c r="F139" s="7" t="n">
        <v>50</v>
      </c>
      <c r="G139" s="8"/>
      <c r="H139" s="8"/>
      <c r="I139" s="8"/>
      <c r="J139" s="8"/>
      <c r="K139" s="8"/>
      <c r="L139" s="0" t="n">
        <f aca="false">F139-40</f>
        <v>10</v>
      </c>
    </row>
    <row r="140" customFormat="false" ht="15" hidden="false" customHeight="false" outlineLevel="0" collapsed="false">
      <c r="A140" s="8" t="s">
        <v>69</v>
      </c>
      <c r="B140" s="8"/>
      <c r="C140" s="8"/>
      <c r="D140" s="0" t="s">
        <v>136</v>
      </c>
      <c r="E140" s="0" t="s">
        <v>7</v>
      </c>
      <c r="F140" s="7" t="n">
        <v>90</v>
      </c>
      <c r="G140" s="8"/>
      <c r="H140" s="8"/>
      <c r="I140" s="8"/>
      <c r="J140" s="8"/>
      <c r="K140" s="8"/>
      <c r="L140" s="0" t="n">
        <f aca="false">F140-40</f>
        <v>50</v>
      </c>
    </row>
    <row r="141" customFormat="false" ht="15" hidden="false" customHeight="false" outlineLevel="0" collapsed="false">
      <c r="A141" s="5" t="s">
        <v>138</v>
      </c>
      <c r="B141" s="5"/>
      <c r="C141" s="5"/>
      <c r="D141" s="5"/>
      <c r="E141" s="5"/>
      <c r="F141" s="18"/>
      <c r="G141" s="5"/>
      <c r="H141" s="5"/>
      <c r="I141" s="5"/>
      <c r="J141" s="5"/>
      <c r="K141" s="5"/>
      <c r="L141" s="5"/>
    </row>
    <row r="142" customFormat="false" ht="15" hidden="false" customHeight="false" outlineLevel="0" collapsed="false">
      <c r="A142" s="8" t="s">
        <v>49</v>
      </c>
      <c r="B142" s="8"/>
      <c r="C142" s="8"/>
      <c r="D142" s="0" t="s">
        <v>136</v>
      </c>
      <c r="E142" s="0" t="s">
        <v>7</v>
      </c>
      <c r="F142" s="0" t="n">
        <v>7</v>
      </c>
      <c r="G142" s="8"/>
      <c r="H142" s="8"/>
      <c r="I142" s="8"/>
      <c r="J142" s="8"/>
      <c r="K142" s="8"/>
      <c r="L142" s="0" t="n">
        <v>0</v>
      </c>
    </row>
    <row r="143" customFormat="false" ht="15" hidden="false" customHeight="false" outlineLevel="0" collapsed="false">
      <c r="A143" s="8" t="s">
        <v>51</v>
      </c>
      <c r="B143" s="8"/>
      <c r="C143" s="8"/>
      <c r="D143" s="0" t="s">
        <v>136</v>
      </c>
      <c r="E143" s="0" t="s">
        <v>7</v>
      </c>
      <c r="F143" s="8" t="n">
        <v>35</v>
      </c>
      <c r="G143" s="8"/>
      <c r="H143" s="8"/>
      <c r="I143" s="8"/>
      <c r="J143" s="8"/>
      <c r="K143" s="8"/>
      <c r="L143" s="0" t="n">
        <v>5</v>
      </c>
    </row>
    <row r="144" customFormat="false" ht="15" hidden="false" customHeight="false" outlineLevel="0" collapsed="false">
      <c r="A144" s="8" t="s">
        <v>52</v>
      </c>
      <c r="B144" s="8"/>
      <c r="C144" s="8"/>
      <c r="D144" s="0" t="s">
        <v>136</v>
      </c>
      <c r="E144" s="0" t="s">
        <v>7</v>
      </c>
      <c r="F144" s="8" t="n">
        <v>63</v>
      </c>
      <c r="G144" s="8"/>
      <c r="H144" s="8"/>
      <c r="I144" s="8"/>
      <c r="J144" s="8"/>
      <c r="K144" s="8"/>
      <c r="L144" s="0" t="n">
        <v>33</v>
      </c>
    </row>
    <row r="145" customFormat="false" ht="15" hidden="false" customHeight="false" outlineLevel="0" collapsed="false">
      <c r="A145" s="8" t="s">
        <v>53</v>
      </c>
      <c r="B145" s="8"/>
      <c r="C145" s="8"/>
      <c r="D145" s="0" t="s">
        <v>136</v>
      </c>
      <c r="E145" s="0" t="s">
        <v>7</v>
      </c>
      <c r="F145" s="8" t="n">
        <v>54</v>
      </c>
      <c r="G145" s="8"/>
      <c r="H145" s="8"/>
      <c r="I145" s="8"/>
      <c r="J145" s="8"/>
      <c r="K145" s="8"/>
      <c r="L145" s="0" t="n">
        <v>24</v>
      </c>
    </row>
    <row r="146" customFormat="false" ht="15" hidden="false" customHeight="false" outlineLevel="0" collapsed="false">
      <c r="A146" s="8" t="s">
        <v>54</v>
      </c>
      <c r="B146" s="8"/>
      <c r="C146" s="8"/>
      <c r="D146" s="0" t="s">
        <v>136</v>
      </c>
      <c r="E146" s="0" t="s">
        <v>7</v>
      </c>
      <c r="F146" s="7" t="n">
        <v>75</v>
      </c>
      <c r="G146" s="8"/>
      <c r="H146" s="8"/>
      <c r="I146" s="8"/>
      <c r="J146" s="8"/>
      <c r="K146" s="8"/>
      <c r="L146" s="0" t="n">
        <v>70</v>
      </c>
    </row>
    <row r="147" customFormat="false" ht="15" hidden="false" customHeight="false" outlineLevel="0" collapsed="false">
      <c r="A147" s="8" t="s">
        <v>55</v>
      </c>
      <c r="B147" s="8"/>
      <c r="C147" s="8"/>
      <c r="D147" s="0" t="s">
        <v>136</v>
      </c>
      <c r="E147" s="0" t="s">
        <v>7</v>
      </c>
      <c r="F147" s="8" t="n">
        <v>10</v>
      </c>
      <c r="G147" s="8"/>
      <c r="H147" s="8"/>
      <c r="I147" s="8"/>
      <c r="J147" s="8"/>
      <c r="K147" s="8"/>
      <c r="L147" s="0" t="n">
        <f aca="false">F147-10</f>
        <v>0</v>
      </c>
    </row>
    <row r="148" customFormat="false" ht="15" hidden="false" customHeight="false" outlineLevel="0" collapsed="false">
      <c r="A148" s="8" t="s">
        <v>56</v>
      </c>
      <c r="B148" s="8"/>
      <c r="C148" s="8"/>
      <c r="D148" s="0" t="s">
        <v>136</v>
      </c>
      <c r="E148" s="0" t="s">
        <v>7</v>
      </c>
      <c r="F148" s="8" t="n">
        <v>90</v>
      </c>
      <c r="G148" s="8"/>
      <c r="H148" s="8"/>
      <c r="I148" s="8"/>
      <c r="J148" s="8"/>
      <c r="K148" s="8"/>
      <c r="L148" s="0" t="n">
        <f aca="false">F148-20</f>
        <v>70</v>
      </c>
    </row>
    <row r="149" customFormat="false" ht="15" hidden="false" customHeight="false" outlineLevel="0" collapsed="false">
      <c r="A149" s="8" t="s">
        <v>57</v>
      </c>
      <c r="B149" s="8"/>
      <c r="C149" s="8"/>
      <c r="D149" s="0" t="s">
        <v>136</v>
      </c>
      <c r="E149" s="0" t="s">
        <v>7</v>
      </c>
      <c r="F149" s="8" t="n">
        <v>46</v>
      </c>
      <c r="G149" s="8"/>
      <c r="H149" s="8"/>
      <c r="I149" s="8"/>
      <c r="J149" s="8"/>
      <c r="K149" s="8"/>
      <c r="L149" s="0" t="n">
        <v>26</v>
      </c>
    </row>
    <row r="150" customFormat="false" ht="15" hidden="false" customHeight="false" outlineLevel="0" collapsed="false">
      <c r="A150" s="8" t="s">
        <v>58</v>
      </c>
      <c r="B150" s="8"/>
      <c r="C150" s="8"/>
      <c r="D150" s="0" t="s">
        <v>136</v>
      </c>
      <c r="E150" s="0" t="s">
        <v>7</v>
      </c>
      <c r="F150" s="8" t="n">
        <v>100</v>
      </c>
      <c r="G150" s="8"/>
      <c r="H150" s="8"/>
      <c r="I150" s="8"/>
      <c r="J150" s="8"/>
      <c r="K150" s="8"/>
      <c r="L150" s="0" t="n">
        <v>70</v>
      </c>
    </row>
    <row r="151" customFormat="false" ht="15" hidden="false" customHeight="false" outlineLevel="0" collapsed="false">
      <c r="A151" s="8" t="s">
        <v>59</v>
      </c>
      <c r="B151" s="8"/>
      <c r="C151" s="8"/>
      <c r="D151" s="0" t="s">
        <v>136</v>
      </c>
      <c r="E151" s="0" t="s">
        <v>7</v>
      </c>
      <c r="F151" s="7" t="n">
        <v>90</v>
      </c>
      <c r="G151" s="8"/>
      <c r="H151" s="8"/>
      <c r="I151" s="8"/>
      <c r="J151" s="8"/>
      <c r="K151" s="8"/>
      <c r="L151" s="0" t="n">
        <f aca="false">F151-40</f>
        <v>50</v>
      </c>
    </row>
    <row r="152" customFormat="false" ht="15" hidden="false" customHeight="false" outlineLevel="0" collapsed="false">
      <c r="A152" s="5" t="s">
        <v>71</v>
      </c>
      <c r="B152" s="5"/>
      <c r="C152" s="5"/>
      <c r="D152" s="5"/>
      <c r="E152" s="5"/>
      <c r="F152" s="18"/>
      <c r="G152" s="5"/>
      <c r="H152" s="5"/>
      <c r="I152" s="5"/>
      <c r="J152" s="5"/>
      <c r="K152" s="5"/>
      <c r="L152" s="5"/>
    </row>
    <row r="153" customFormat="false" ht="15" hidden="false" customHeight="false" outlineLevel="0" collapsed="false">
      <c r="A153" s="7" t="s">
        <v>72</v>
      </c>
      <c r="B153" s="7"/>
      <c r="C153" s="7"/>
      <c r="D153" s="0" t="s">
        <v>136</v>
      </c>
      <c r="E153" s="0" t="s">
        <v>7</v>
      </c>
      <c r="F153" s="20" t="n">
        <v>3.65947368421053</v>
      </c>
      <c r="G153" s="7"/>
      <c r="H153" s="7"/>
      <c r="I153" s="7"/>
      <c r="J153" s="7"/>
      <c r="K153" s="7"/>
      <c r="L153" s="0" t="n">
        <v>0</v>
      </c>
    </row>
    <row r="154" customFormat="false" ht="15" hidden="false" customHeight="false" outlineLevel="0" collapsed="false">
      <c r="A154" s="7" t="s">
        <v>73</v>
      </c>
      <c r="B154" s="7"/>
      <c r="C154" s="7"/>
      <c r="D154" s="0" t="s">
        <v>136</v>
      </c>
      <c r="E154" s="0" t="s">
        <v>7</v>
      </c>
      <c r="F154" s="20" t="n">
        <v>2.43875776397516</v>
      </c>
      <c r="G154" s="7"/>
      <c r="H154" s="7"/>
      <c r="I154" s="7"/>
      <c r="J154" s="7"/>
      <c r="K154" s="7"/>
      <c r="L154" s="0" t="n">
        <v>0</v>
      </c>
    </row>
    <row r="155" customFormat="false" ht="15" hidden="false" customHeight="false" outlineLevel="0" collapsed="false">
      <c r="A155" s="7" t="s">
        <v>74</v>
      </c>
      <c r="B155" s="7"/>
      <c r="C155" s="7"/>
      <c r="D155" s="0" t="s">
        <v>136</v>
      </c>
      <c r="E155" s="0" t="s">
        <v>7</v>
      </c>
      <c r="F155" s="20" t="n">
        <v>6.31765323992995</v>
      </c>
      <c r="G155" s="7"/>
      <c r="H155" s="7"/>
      <c r="I155" s="7"/>
      <c r="J155" s="7"/>
      <c r="K155" s="7"/>
      <c r="L155" s="0" t="n">
        <v>0</v>
      </c>
    </row>
    <row r="156" customFormat="false" ht="15" hidden="false" customHeight="false" outlineLevel="0" collapsed="false">
      <c r="A156" s="7" t="s">
        <v>75</v>
      </c>
      <c r="B156" s="7"/>
      <c r="C156" s="7"/>
      <c r="D156" s="0" t="s">
        <v>136</v>
      </c>
      <c r="E156" s="0" t="s">
        <v>7</v>
      </c>
      <c r="F156" s="0" t="n">
        <v>49.08</v>
      </c>
      <c r="G156" s="7"/>
      <c r="H156" s="7"/>
      <c r="I156" s="7"/>
      <c r="J156" s="7"/>
      <c r="K156" s="7"/>
      <c r="L156" s="0" t="n">
        <f aca="false">F156-40</f>
        <v>9.08</v>
      </c>
    </row>
    <row r="157" customFormat="false" ht="15" hidden="false" customHeight="false" outlineLevel="0" collapsed="false">
      <c r="A157" s="7" t="s">
        <v>76</v>
      </c>
      <c r="B157" s="7"/>
      <c r="C157" s="7"/>
      <c r="D157" s="0" t="s">
        <v>136</v>
      </c>
      <c r="E157" s="0" t="s">
        <v>7</v>
      </c>
      <c r="F157" s="0" t="n">
        <v>0</v>
      </c>
      <c r="G157" s="7"/>
      <c r="H157" s="7"/>
      <c r="I157" s="7"/>
      <c r="J157" s="7"/>
      <c r="K157" s="7"/>
      <c r="L157" s="0" t="n">
        <v>0</v>
      </c>
    </row>
    <row r="158" customFormat="false" ht="15" hidden="false" customHeight="false" outlineLevel="0" collapsed="false">
      <c r="A158" s="7" t="s">
        <v>77</v>
      </c>
      <c r="B158" s="7"/>
      <c r="C158" s="7"/>
      <c r="D158" s="0" t="s">
        <v>136</v>
      </c>
      <c r="E158" s="0" t="s">
        <v>7</v>
      </c>
      <c r="F158" s="0" t="n">
        <v>16.36</v>
      </c>
      <c r="G158" s="7"/>
      <c r="H158" s="7"/>
      <c r="I158" s="7"/>
      <c r="J158" s="7"/>
      <c r="K158" s="7"/>
      <c r="L158" s="0" t="n">
        <v>0</v>
      </c>
    </row>
    <row r="159" customFormat="false" ht="15" hidden="false" customHeight="false" outlineLevel="0" collapsed="false">
      <c r="A159" s="7" t="s">
        <v>78</v>
      </c>
      <c r="B159" s="7"/>
      <c r="C159" s="7"/>
      <c r="D159" s="0" t="s">
        <v>136</v>
      </c>
      <c r="E159" s="0" t="s">
        <v>7</v>
      </c>
      <c r="F159" s="0" t="n">
        <v>16.36</v>
      </c>
      <c r="G159" s="7"/>
      <c r="H159" s="7"/>
      <c r="I159" s="7"/>
      <c r="J159" s="7"/>
      <c r="K159" s="7"/>
      <c r="L159" s="0" t="n">
        <v>0</v>
      </c>
    </row>
    <row r="160" customFormat="false" ht="15" hidden="false" customHeight="false" outlineLevel="0" collapsed="false">
      <c r="A160" s="7" t="s">
        <v>79</v>
      </c>
      <c r="B160" s="7"/>
      <c r="C160" s="7"/>
      <c r="D160" s="0" t="s">
        <v>136</v>
      </c>
      <c r="E160" s="0" t="s">
        <v>7</v>
      </c>
      <c r="F160" s="0" t="n">
        <v>16.36</v>
      </c>
      <c r="G160" s="7"/>
      <c r="H160" s="7"/>
      <c r="I160" s="7"/>
      <c r="J160" s="7"/>
      <c r="K160" s="7"/>
      <c r="L160" s="0" t="n">
        <v>0</v>
      </c>
    </row>
    <row r="161" customFormat="false" ht="15" hidden="false" customHeight="false" outlineLevel="0" collapsed="false">
      <c r="A161" s="7" t="s">
        <v>80</v>
      </c>
      <c r="B161" s="7"/>
      <c r="C161" s="7"/>
      <c r="D161" s="0" t="s">
        <v>136</v>
      </c>
      <c r="E161" s="0" t="s">
        <v>7</v>
      </c>
      <c r="F161" s="0" t="n">
        <v>35.174</v>
      </c>
      <c r="G161" s="7"/>
      <c r="H161" s="7"/>
      <c r="I161" s="7"/>
      <c r="J161" s="7"/>
      <c r="K161" s="7"/>
      <c r="L161" s="0" t="n">
        <v>0</v>
      </c>
    </row>
    <row r="162" customFormat="false" ht="15" hidden="false" customHeight="false" outlineLevel="0" collapsed="false">
      <c r="A162" s="5" t="s">
        <v>81</v>
      </c>
      <c r="B162" s="5"/>
      <c r="C162" s="5"/>
      <c r="D162" s="5"/>
      <c r="E162" s="5"/>
      <c r="F162" s="18"/>
      <c r="G162" s="5"/>
      <c r="H162" s="5"/>
      <c r="I162" s="5"/>
      <c r="J162" s="5"/>
      <c r="K162" s="5"/>
      <c r="L162" s="5"/>
    </row>
    <row r="163" customFormat="false" ht="15" hidden="false" customHeight="false" outlineLevel="0" collapsed="false">
      <c r="A163" s="0" t="s">
        <v>82</v>
      </c>
      <c r="D163" s="0" t="s">
        <v>136</v>
      </c>
      <c r="E163" s="0" t="s">
        <v>7</v>
      </c>
      <c r="F163" s="21" t="n">
        <v>36.91</v>
      </c>
      <c r="L163" s="0" t="n">
        <v>0</v>
      </c>
    </row>
    <row r="164" customFormat="false" ht="15" hidden="false" customHeight="false" outlineLevel="0" collapsed="false">
      <c r="A164" s="0" t="s">
        <v>83</v>
      </c>
      <c r="D164" s="0" t="s">
        <v>136</v>
      </c>
      <c r="E164" s="0" t="s">
        <v>7</v>
      </c>
      <c r="F164" s="21" t="n">
        <v>43.11</v>
      </c>
      <c r="L164" s="22" t="n">
        <f aca="false">F164-40</f>
        <v>3.11</v>
      </c>
    </row>
    <row r="165" customFormat="false" ht="15" hidden="false" customHeight="false" outlineLevel="0" collapsed="false">
      <c r="A165" s="0" t="s">
        <v>84</v>
      </c>
      <c r="D165" s="0" t="s">
        <v>136</v>
      </c>
      <c r="E165" s="0" t="s">
        <v>7</v>
      </c>
      <c r="F165" s="21" t="n">
        <v>63.94</v>
      </c>
      <c r="L165" s="22" t="n">
        <f aca="false">F165-40</f>
        <v>23.94</v>
      </c>
    </row>
    <row r="166" customFormat="false" ht="15" hidden="false" customHeight="false" outlineLevel="0" collapsed="false">
      <c r="A166" s="0" t="s">
        <v>85</v>
      </c>
      <c r="D166" s="0" t="s">
        <v>136</v>
      </c>
      <c r="E166" s="0" t="s">
        <v>7</v>
      </c>
      <c r="F166" s="21" t="n">
        <v>36.49</v>
      </c>
      <c r="L166" s="0" t="n">
        <v>0</v>
      </c>
    </row>
    <row r="167" customFormat="false" ht="15" hidden="false" customHeight="false" outlineLevel="0" collapsed="false">
      <c r="A167" s="5" t="s">
        <v>86</v>
      </c>
      <c r="B167" s="5"/>
      <c r="C167" s="5"/>
      <c r="D167" s="5"/>
      <c r="E167" s="5"/>
      <c r="F167" s="18"/>
      <c r="G167" s="5"/>
      <c r="H167" s="5"/>
      <c r="I167" s="5"/>
      <c r="J167" s="5"/>
      <c r="K167" s="5"/>
      <c r="L167" s="5"/>
    </row>
    <row r="168" customFormat="false" ht="15" hidden="false" customHeight="false" outlineLevel="0" collapsed="false">
      <c r="A168" s="0" t="s">
        <v>86</v>
      </c>
      <c r="D168" s="0" t="s">
        <v>136</v>
      </c>
      <c r="E168" s="0" t="s">
        <v>7</v>
      </c>
      <c r="F168" s="8" t="n">
        <v>12</v>
      </c>
      <c r="L168" s="0" t="n">
        <v>0</v>
      </c>
    </row>
    <row r="169" customFormat="false" ht="15" hidden="false" customHeight="false" outlineLevel="0" collapsed="false">
      <c r="A169" s="5" t="s">
        <v>89</v>
      </c>
      <c r="B169" s="5"/>
      <c r="C169" s="5"/>
      <c r="D169" s="5"/>
      <c r="E169" s="5"/>
      <c r="F169" s="18"/>
      <c r="G169" s="5"/>
      <c r="H169" s="5"/>
      <c r="I169" s="5"/>
      <c r="J169" s="5"/>
      <c r="K169" s="5"/>
      <c r="L169" s="5"/>
    </row>
    <row r="170" customFormat="false" ht="15" hidden="false" customHeight="false" outlineLevel="0" collapsed="false">
      <c r="A170" s="0" t="s">
        <v>90</v>
      </c>
      <c r="D170" s="0" t="s">
        <v>136</v>
      </c>
      <c r="E170" s="0" t="s">
        <v>7</v>
      </c>
      <c r="F170" s="0" t="n">
        <v>5</v>
      </c>
      <c r="L170" s="0" t="n">
        <v>0</v>
      </c>
    </row>
    <row r="171" customFormat="false" ht="15" hidden="false" customHeight="false" outlineLevel="0" collapsed="false">
      <c r="A171" s="10" t="s">
        <v>91</v>
      </c>
      <c r="B171" s="10"/>
      <c r="C171" s="10"/>
      <c r="D171" s="0" t="s">
        <v>136</v>
      </c>
      <c r="E171" s="0" t="s">
        <v>7</v>
      </c>
      <c r="F171" s="0" t="n">
        <v>0.4</v>
      </c>
      <c r="G171" s="10"/>
      <c r="H171" s="10"/>
      <c r="I171" s="10"/>
      <c r="J171" s="10"/>
      <c r="K171" s="10"/>
      <c r="L171" s="0" t="n">
        <v>0</v>
      </c>
    </row>
    <row r="172" customFormat="false" ht="15" hidden="false" customHeight="false" outlineLevel="0" collapsed="false">
      <c r="A172" s="10" t="s">
        <v>92</v>
      </c>
      <c r="B172" s="10"/>
      <c r="C172" s="10"/>
      <c r="D172" s="0" t="s">
        <v>136</v>
      </c>
      <c r="E172" s="0" t="s">
        <v>7</v>
      </c>
      <c r="F172" s="7" t="n">
        <v>95</v>
      </c>
      <c r="G172" s="10"/>
      <c r="H172" s="10"/>
      <c r="I172" s="10"/>
      <c r="J172" s="10"/>
      <c r="K172" s="10"/>
      <c r="L172" s="0" t="n">
        <v>60</v>
      </c>
    </row>
    <row r="173" customFormat="false" ht="15" hidden="false" customHeight="false" outlineLevel="0" collapsed="false">
      <c r="A173" s="10" t="s">
        <v>94</v>
      </c>
      <c r="B173" s="10"/>
      <c r="C173" s="10"/>
      <c r="D173" s="0" t="s">
        <v>136</v>
      </c>
      <c r="E173" s="0" t="s">
        <v>7</v>
      </c>
      <c r="F173" s="0" t="n">
        <v>100</v>
      </c>
      <c r="G173" s="10"/>
      <c r="H173" s="10"/>
      <c r="I173" s="10"/>
      <c r="J173" s="10"/>
      <c r="K173" s="10"/>
      <c r="L173" s="0" t="n">
        <v>100</v>
      </c>
    </row>
    <row r="174" customFormat="false" ht="15" hidden="false" customHeight="false" outlineLevel="0" collapsed="false">
      <c r="A174" s="10" t="s">
        <v>95</v>
      </c>
      <c r="B174" s="10"/>
      <c r="C174" s="10"/>
      <c r="D174" s="0" t="s">
        <v>136</v>
      </c>
      <c r="E174" s="0" t="s">
        <v>7</v>
      </c>
      <c r="F174" s="0" t="n">
        <v>100</v>
      </c>
      <c r="G174" s="10"/>
      <c r="H174" s="10"/>
      <c r="I174" s="10"/>
      <c r="J174" s="10"/>
      <c r="K174" s="10"/>
      <c r="L174" s="0" t="n">
        <v>60</v>
      </c>
    </row>
    <row r="175" customFormat="false" ht="15" hidden="false" customHeight="false" outlineLevel="0" collapsed="false">
      <c r="A175" s="4" t="s">
        <v>96</v>
      </c>
      <c r="B175" s="4"/>
      <c r="C175" s="4"/>
      <c r="D175" s="4" t="s">
        <v>136</v>
      </c>
      <c r="E175" s="4" t="s">
        <v>7</v>
      </c>
      <c r="F175" s="4" t="n">
        <v>100</v>
      </c>
      <c r="G175" s="4"/>
      <c r="H175" s="4"/>
      <c r="I175" s="4"/>
      <c r="J175" s="4"/>
      <c r="K175" s="4"/>
      <c r="L175" s="4" t="n">
        <v>60</v>
      </c>
    </row>
    <row r="176" customFormat="false" ht="15" hidden="false" customHeight="false" outlineLevel="0" collapsed="false">
      <c r="A176" s="4" t="s">
        <v>97</v>
      </c>
      <c r="B176" s="4"/>
      <c r="C176" s="4"/>
      <c r="D176" s="4" t="s">
        <v>136</v>
      </c>
      <c r="E176" s="4" t="s">
        <v>7</v>
      </c>
      <c r="F176" s="4" t="n">
        <v>100</v>
      </c>
      <c r="G176" s="4"/>
      <c r="H176" s="4"/>
      <c r="I176" s="4"/>
      <c r="J176" s="4"/>
      <c r="K176" s="4"/>
      <c r="L176" s="4" t="n">
        <v>60</v>
      </c>
    </row>
    <row r="177" customFormat="false" ht="15" hidden="false" customHeight="false" outlineLevel="0" collapsed="false">
      <c r="A177" s="5" t="s">
        <v>103</v>
      </c>
      <c r="B177" s="5"/>
      <c r="C177" s="5"/>
      <c r="D177" s="5"/>
      <c r="E177" s="5"/>
      <c r="F177" s="18"/>
      <c r="G177" s="5"/>
      <c r="H177" s="5"/>
      <c r="I177" s="5"/>
      <c r="J177" s="5"/>
      <c r="K177" s="5"/>
      <c r="L177" s="5"/>
    </row>
    <row r="178" customFormat="false" ht="15" hidden="false" customHeight="false" outlineLevel="0" collapsed="false">
      <c r="A178" s="0" t="s">
        <v>104</v>
      </c>
      <c r="D178" s="0" t="s">
        <v>136</v>
      </c>
      <c r="E178" s="0" t="s">
        <v>7</v>
      </c>
      <c r="F178" s="21" t="n">
        <v>52</v>
      </c>
      <c r="L178" s="0" t="n">
        <v>12</v>
      </c>
    </row>
    <row r="179" customFormat="false" ht="15" hidden="false" customHeight="false" outlineLevel="0" collapsed="false">
      <c r="A179" s="5" t="s">
        <v>109</v>
      </c>
      <c r="B179" s="5"/>
      <c r="C179" s="5"/>
      <c r="D179" s="5"/>
      <c r="E179" s="5"/>
      <c r="F179" s="18"/>
      <c r="G179" s="5"/>
      <c r="H179" s="5"/>
      <c r="I179" s="5"/>
      <c r="J179" s="5"/>
      <c r="K179" s="5"/>
      <c r="L179" s="5"/>
    </row>
    <row r="180" customFormat="false" ht="15" hidden="false" customHeight="false" outlineLevel="0" collapsed="false">
      <c r="A180" s="0" t="s">
        <v>110</v>
      </c>
      <c r="D180" s="0" t="s">
        <v>136</v>
      </c>
      <c r="E180" s="0" t="s">
        <v>7</v>
      </c>
      <c r="F180" s="7" t="n">
        <v>24</v>
      </c>
      <c r="L180" s="0" t="n">
        <v>4</v>
      </c>
    </row>
    <row r="181" customFormat="false" ht="15" hidden="false" customHeight="false" outlineLevel="0" collapsed="false">
      <c r="A181" s="0" t="s">
        <v>111</v>
      </c>
      <c r="D181" s="0" t="s">
        <v>136</v>
      </c>
      <c r="E181" s="0" t="s">
        <v>7</v>
      </c>
      <c r="F181" s="19" t="n">
        <f aca="false">F180</f>
        <v>24</v>
      </c>
      <c r="L181" s="0" t="n">
        <v>4</v>
      </c>
    </row>
    <row r="182" customFormat="false" ht="15" hidden="false" customHeight="false" outlineLevel="0" collapsed="false">
      <c r="A182" s="0" t="s">
        <v>112</v>
      </c>
      <c r="D182" s="0" t="s">
        <v>136</v>
      </c>
      <c r="E182" s="0" t="s">
        <v>7</v>
      </c>
      <c r="F182" s="0" t="n">
        <v>61</v>
      </c>
      <c r="L182" s="0" t="n">
        <v>21</v>
      </c>
    </row>
    <row r="183" customFormat="false" ht="15" hidden="false" customHeight="false" outlineLevel="0" collapsed="false">
      <c r="A183" s="5" t="s">
        <v>113</v>
      </c>
      <c r="B183" s="5"/>
      <c r="C183" s="5"/>
      <c r="D183" s="5"/>
      <c r="E183" s="5"/>
      <c r="F183" s="18"/>
      <c r="G183" s="5"/>
      <c r="H183" s="5"/>
      <c r="I183" s="5"/>
      <c r="J183" s="5"/>
      <c r="K183" s="5"/>
      <c r="L183" s="5"/>
    </row>
    <row r="184" customFormat="false" ht="15" hidden="false" customHeight="false" outlineLevel="0" collapsed="false">
      <c r="A184" s="0" t="s">
        <v>114</v>
      </c>
      <c r="D184" s="0" t="s">
        <v>136</v>
      </c>
      <c r="E184" s="0" t="s">
        <v>7</v>
      </c>
      <c r="F184" s="0" t="n">
        <v>100</v>
      </c>
      <c r="L184" s="0" t="n">
        <v>90</v>
      </c>
    </row>
    <row r="185" customFormat="false" ht="15" hidden="false" customHeight="false" outlineLevel="0" collapsed="false">
      <c r="A185" s="0" t="s">
        <v>115</v>
      </c>
      <c r="D185" s="0" t="s">
        <v>136</v>
      </c>
      <c r="E185" s="0" t="s">
        <v>7</v>
      </c>
      <c r="F185" s="0" t="n">
        <v>4</v>
      </c>
      <c r="L185" s="0" t="n">
        <v>0</v>
      </c>
    </row>
    <row r="186" customFormat="false" ht="15" hidden="false" customHeight="false" outlineLevel="0" collapsed="false">
      <c r="A186" s="0" t="s">
        <v>116</v>
      </c>
      <c r="D186" s="0" t="s">
        <v>136</v>
      </c>
      <c r="E186" s="0" t="s">
        <v>7</v>
      </c>
      <c r="F186" s="0" t="n">
        <v>85</v>
      </c>
      <c r="L186" s="0" t="n">
        <v>65</v>
      </c>
    </row>
    <row r="187" customFormat="false" ht="15" hidden="false" customHeight="false" outlineLevel="0" collapsed="false">
      <c r="A187" s="0" t="s">
        <v>117</v>
      </c>
      <c r="D187" s="0" t="s">
        <v>136</v>
      </c>
      <c r="E187" s="0" t="s">
        <v>7</v>
      </c>
      <c r="F187" s="0" t="n">
        <v>22</v>
      </c>
      <c r="L187" s="0" t="n">
        <v>2</v>
      </c>
    </row>
    <row r="188" customFormat="false" ht="15" hidden="false" customHeight="false" outlineLevel="0" collapsed="false">
      <c r="A188" s="5" t="s">
        <v>121</v>
      </c>
      <c r="B188" s="5"/>
      <c r="C188" s="5"/>
      <c r="D188" s="5"/>
      <c r="E188" s="5"/>
      <c r="F188" s="18"/>
      <c r="G188" s="5"/>
      <c r="H188" s="5"/>
      <c r="I188" s="5"/>
      <c r="J188" s="5"/>
      <c r="K188" s="5"/>
      <c r="L188" s="5"/>
    </row>
    <row r="189" customFormat="false" ht="15" hidden="false" customHeight="false" outlineLevel="0" collapsed="false">
      <c r="A189" s="4" t="s">
        <v>122</v>
      </c>
      <c r="B189" s="4"/>
      <c r="C189" s="4"/>
      <c r="D189" s="4" t="s">
        <v>136</v>
      </c>
      <c r="E189" s="4" t="s">
        <v>7</v>
      </c>
      <c r="F189" s="4" t="n">
        <v>5</v>
      </c>
      <c r="L189" s="4" t="n">
        <v>0</v>
      </c>
    </row>
    <row r="190" customFormat="false" ht="15" hidden="false" customHeight="false" outlineLevel="0" collapsed="false">
      <c r="A190" s="4" t="s">
        <v>123</v>
      </c>
      <c r="B190" s="4"/>
      <c r="C190" s="4"/>
      <c r="D190" s="4" t="s">
        <v>136</v>
      </c>
      <c r="E190" s="4" t="s">
        <v>7</v>
      </c>
      <c r="F190" s="4" t="n">
        <v>100</v>
      </c>
      <c r="L190" s="4" t="n">
        <v>100</v>
      </c>
    </row>
    <row r="191" customFormat="false" ht="15" hidden="false" customHeight="false" outlineLevel="0" collapsed="false">
      <c r="A191" s="4" t="s">
        <v>124</v>
      </c>
      <c r="B191" s="4"/>
      <c r="C191" s="4"/>
      <c r="D191" s="4" t="s">
        <v>136</v>
      </c>
      <c r="E191" s="4" t="s">
        <v>7</v>
      </c>
      <c r="F191" s="4" t="n">
        <v>22</v>
      </c>
      <c r="L191" s="4" t="n">
        <v>12</v>
      </c>
    </row>
    <row r="192" customFormat="false" ht="15" hidden="false" customHeight="false" outlineLevel="0" collapsed="false">
      <c r="A192" s="4" t="s">
        <v>125</v>
      </c>
      <c r="B192" s="4"/>
      <c r="C192" s="4"/>
      <c r="D192" s="4" t="s">
        <v>136</v>
      </c>
      <c r="E192" s="4" t="s">
        <v>7</v>
      </c>
      <c r="F192" s="4" t="n">
        <v>1</v>
      </c>
      <c r="L192" s="4" t="n">
        <v>0</v>
      </c>
    </row>
    <row r="193" customFormat="false" ht="15" hidden="false" customHeight="false" outlineLevel="0" collapsed="false">
      <c r="A193" s="4" t="s">
        <v>126</v>
      </c>
      <c r="B193" s="4"/>
      <c r="C193" s="4"/>
      <c r="D193" s="4" t="s">
        <v>136</v>
      </c>
      <c r="E193" s="4" t="s">
        <v>7</v>
      </c>
      <c r="F193" s="4" t="n">
        <v>24</v>
      </c>
      <c r="L193" s="4" t="n">
        <v>14</v>
      </c>
    </row>
    <row r="194" customFormat="false" ht="15" hidden="false" customHeight="false" outlineLevel="0" collapsed="false">
      <c r="A194" s="4" t="s">
        <v>127</v>
      </c>
      <c r="B194" s="4"/>
      <c r="C194" s="4"/>
      <c r="D194" s="4" t="s">
        <v>136</v>
      </c>
      <c r="E194" s="4" t="s">
        <v>7</v>
      </c>
      <c r="F194" s="4" t="n">
        <v>24</v>
      </c>
      <c r="L194" s="4" t="n">
        <v>14</v>
      </c>
    </row>
    <row r="195" customFormat="false" ht="15" hidden="false" customHeight="false" outlineLevel="0" collapsed="false">
      <c r="A195" s="4" t="s">
        <v>128</v>
      </c>
      <c r="B195" s="4"/>
      <c r="C195" s="4"/>
      <c r="D195" s="4" t="s">
        <v>136</v>
      </c>
      <c r="E195" s="4" t="s">
        <v>7</v>
      </c>
      <c r="F195" s="4" t="n">
        <v>24</v>
      </c>
      <c r="L195" s="4" t="n">
        <v>12</v>
      </c>
    </row>
    <row r="196" customFormat="false" ht="15" hidden="false" customHeight="false" outlineLevel="0" collapsed="false">
      <c r="A196" s="4" t="s">
        <v>129</v>
      </c>
      <c r="B196" s="4"/>
      <c r="C196" s="4"/>
      <c r="D196" s="4" t="s">
        <v>136</v>
      </c>
      <c r="E196" s="4" t="s">
        <v>7</v>
      </c>
      <c r="F196" s="4" t="n">
        <v>0.4</v>
      </c>
      <c r="L196" s="4" t="n">
        <v>0</v>
      </c>
    </row>
    <row r="197" customFormat="false" ht="15" hidden="false" customHeight="false" outlineLevel="0" collapsed="false">
      <c r="A197" s="4" t="s">
        <v>130</v>
      </c>
      <c r="B197" s="4"/>
      <c r="C197" s="4"/>
      <c r="D197" s="4" t="s">
        <v>136</v>
      </c>
      <c r="E197" s="4" t="s">
        <v>7</v>
      </c>
      <c r="F197" s="4" t="n">
        <v>0.4</v>
      </c>
      <c r="L197" s="4" t="n">
        <v>0</v>
      </c>
    </row>
    <row r="198" customFormat="false" ht="15" hidden="false" customHeight="false" outlineLevel="0" collapsed="false">
      <c r="A198" s="4" t="s">
        <v>131</v>
      </c>
      <c r="B198" s="4"/>
      <c r="C198" s="4"/>
      <c r="D198" s="4" t="s">
        <v>136</v>
      </c>
      <c r="E198" s="4" t="s">
        <v>7</v>
      </c>
      <c r="F198" s="4" t="n">
        <v>24</v>
      </c>
      <c r="L198" s="4" t="n">
        <v>14</v>
      </c>
    </row>
    <row r="199" customFormat="false" ht="15" hidden="false" customHeight="false" outlineLevel="0" collapsed="false">
      <c r="A199" s="4" t="s">
        <v>132</v>
      </c>
      <c r="B199" s="4"/>
      <c r="C199" s="4"/>
      <c r="D199" s="4" t="s">
        <v>136</v>
      </c>
      <c r="E199" s="4" t="s">
        <v>7</v>
      </c>
      <c r="F199" s="4" t="n">
        <v>0</v>
      </c>
      <c r="L199" s="4" t="n">
        <v>14</v>
      </c>
    </row>
    <row r="200" customFormat="false" ht="15" hidden="false" customHeight="false" outlineLevel="0" collapsed="false">
      <c r="A200" s="4" t="s">
        <v>133</v>
      </c>
      <c r="B200" s="4"/>
      <c r="C200" s="4"/>
      <c r="D200" s="4" t="s">
        <v>136</v>
      </c>
      <c r="E200" s="4" t="s">
        <v>7</v>
      </c>
      <c r="F200" s="4" t="n">
        <v>24</v>
      </c>
      <c r="L200" s="4" t="n">
        <v>14</v>
      </c>
    </row>
    <row r="201" customFormat="false" ht="15" hidden="false" customHeight="false" outlineLevel="0" collapsed="false">
      <c r="A201" s="4" t="s">
        <v>134</v>
      </c>
      <c r="B201" s="4"/>
      <c r="C201" s="4"/>
      <c r="D201" s="4" t="s">
        <v>136</v>
      </c>
      <c r="E201" s="4" t="s">
        <v>7</v>
      </c>
      <c r="F201" s="4" t="n">
        <v>24</v>
      </c>
      <c r="L201" s="4" t="n">
        <v>14</v>
      </c>
    </row>
    <row r="203" customFormat="false" ht="15" hidden="false" customHeight="false" outlineLevel="0" collapsed="false">
      <c r="A203" s="5" t="s">
        <v>29</v>
      </c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0" t="n">
        <v>1</v>
      </c>
    </row>
    <row r="204" customFormat="false" ht="15" hidden="false" customHeight="false" outlineLevel="0" collapsed="false">
      <c r="A204" s="0" t="s">
        <v>30</v>
      </c>
      <c r="B204" s="0" t="s">
        <v>139</v>
      </c>
      <c r="C204" s="0" t="s">
        <v>140</v>
      </c>
      <c r="D204" s="4" t="s">
        <v>141</v>
      </c>
      <c r="E204" s="4" t="s">
        <v>7</v>
      </c>
      <c r="F204" s="0" t="n">
        <v>5.3</v>
      </c>
      <c r="G204" s="23"/>
      <c r="H204" s="23"/>
      <c r="I204" s="23"/>
      <c r="J204" s="23"/>
      <c r="K204" s="23"/>
      <c r="L204" s="24" t="n">
        <f aca="false">F204*$M$203</f>
        <v>5.3</v>
      </c>
    </row>
    <row r="205" customFormat="false" ht="15" hidden="false" customHeight="false" outlineLevel="0" collapsed="false">
      <c r="A205" s="0" t="s">
        <v>31</v>
      </c>
      <c r="B205" s="0" t="s">
        <v>139</v>
      </c>
      <c r="C205" s="0" t="s">
        <v>140</v>
      </c>
      <c r="D205" s="0" t="s">
        <v>141</v>
      </c>
      <c r="E205" s="4" t="s">
        <v>7</v>
      </c>
      <c r="F205" s="0" t="n">
        <v>5.3</v>
      </c>
      <c r="G205" s="16"/>
      <c r="H205" s="16"/>
      <c r="I205" s="16"/>
      <c r="J205" s="16"/>
      <c r="K205" s="16"/>
      <c r="L205" s="24" t="n">
        <f aca="false">F205*$M$203</f>
        <v>5.3</v>
      </c>
    </row>
    <row r="206" customFormat="false" ht="15" hidden="false" customHeight="false" outlineLevel="0" collapsed="false">
      <c r="A206" s="0" t="s">
        <v>33</v>
      </c>
      <c r="B206" s="0" t="s">
        <v>139</v>
      </c>
      <c r="C206" s="0" t="s">
        <v>140</v>
      </c>
      <c r="D206" s="0" t="s">
        <v>141</v>
      </c>
      <c r="E206" s="4" t="s">
        <v>7</v>
      </c>
      <c r="F206" s="0" t="n">
        <v>4.9</v>
      </c>
      <c r="G206" s="16"/>
      <c r="H206" s="16"/>
      <c r="I206" s="16"/>
      <c r="J206" s="16"/>
      <c r="K206" s="16"/>
      <c r="L206" s="24" t="n">
        <f aca="false">F206*$M$203</f>
        <v>4.9</v>
      </c>
    </row>
    <row r="207" customFormat="false" ht="15" hidden="false" customHeight="false" outlineLevel="0" collapsed="false">
      <c r="A207" s="0" t="s">
        <v>34</v>
      </c>
      <c r="B207" s="0" t="s">
        <v>139</v>
      </c>
      <c r="C207" s="0" t="s">
        <v>140</v>
      </c>
      <c r="D207" s="0" t="s">
        <v>141</v>
      </c>
      <c r="E207" s="4" t="s">
        <v>7</v>
      </c>
      <c r="F207" s="0" t="n">
        <v>4.9</v>
      </c>
      <c r="G207" s="17"/>
      <c r="H207" s="17"/>
      <c r="I207" s="17"/>
      <c r="J207" s="17"/>
      <c r="K207" s="17"/>
      <c r="L207" s="24" t="n">
        <f aca="false">F207*$M$203</f>
        <v>4.9</v>
      </c>
    </row>
    <row r="208" customFormat="false" ht="15" hidden="false" customHeight="false" outlineLevel="0" collapsed="false">
      <c r="A208" s="0" t="s">
        <v>36</v>
      </c>
      <c r="B208" s="0" t="s">
        <v>139</v>
      </c>
      <c r="C208" s="0" t="s">
        <v>140</v>
      </c>
      <c r="D208" s="0" t="s">
        <v>141</v>
      </c>
      <c r="E208" s="4" t="s">
        <v>7</v>
      </c>
      <c r="F208" s="0" t="n">
        <v>12.7</v>
      </c>
      <c r="G208" s="17"/>
      <c r="H208" s="17"/>
      <c r="I208" s="17"/>
      <c r="J208" s="17"/>
      <c r="K208" s="17"/>
      <c r="L208" s="24" t="n">
        <f aca="false">F208*$M$203</f>
        <v>12.7</v>
      </c>
    </row>
    <row r="209" customFormat="false" ht="15" hidden="false" customHeight="false" outlineLevel="0" collapsed="false">
      <c r="A209" s="0" t="s">
        <v>37</v>
      </c>
      <c r="B209" s="0" t="s">
        <v>139</v>
      </c>
      <c r="C209" s="0" t="s">
        <v>140</v>
      </c>
      <c r="D209" s="0" t="s">
        <v>141</v>
      </c>
      <c r="E209" s="4" t="s">
        <v>7</v>
      </c>
      <c r="F209" s="0" t="n">
        <v>12.7</v>
      </c>
      <c r="G209" s="17"/>
      <c r="H209" s="17"/>
      <c r="I209" s="17"/>
      <c r="J209" s="17"/>
      <c r="K209" s="17"/>
      <c r="L209" s="24" t="n">
        <f aca="false">F209*$M$203</f>
        <v>12.7</v>
      </c>
    </row>
    <row r="210" customFormat="false" ht="15" hidden="false" customHeight="false" outlineLevel="0" collapsed="false">
      <c r="A210" s="0" t="s">
        <v>38</v>
      </c>
      <c r="B210" s="0" t="s">
        <v>139</v>
      </c>
      <c r="C210" s="0" t="s">
        <v>140</v>
      </c>
      <c r="D210" s="0" t="s">
        <v>141</v>
      </c>
      <c r="E210" s="4" t="s">
        <v>7</v>
      </c>
      <c r="F210" s="0" t="n">
        <v>24</v>
      </c>
      <c r="G210" s="17"/>
      <c r="H210" s="17"/>
      <c r="I210" s="17"/>
      <c r="J210" s="17"/>
      <c r="K210" s="17"/>
      <c r="L210" s="24" t="n">
        <f aca="false">F210*$M$203</f>
        <v>24</v>
      </c>
    </row>
    <row r="211" customFormat="false" ht="15" hidden="false" customHeight="false" outlineLevel="0" collapsed="false">
      <c r="A211" s="0" t="s">
        <v>39</v>
      </c>
      <c r="B211" s="0" t="s">
        <v>139</v>
      </c>
      <c r="C211" s="0" t="s">
        <v>140</v>
      </c>
      <c r="D211" s="0" t="s">
        <v>141</v>
      </c>
      <c r="E211" s="4" t="s">
        <v>7</v>
      </c>
      <c r="F211" s="0" t="n">
        <v>24</v>
      </c>
      <c r="G211" s="17"/>
      <c r="H211" s="17"/>
      <c r="I211" s="17"/>
      <c r="J211" s="17"/>
      <c r="K211" s="17"/>
      <c r="L211" s="24" t="n">
        <f aca="false">F211*$M$203</f>
        <v>24</v>
      </c>
    </row>
    <row r="212" customFormat="false" ht="15" hidden="false" customHeight="false" outlineLevel="0" collapsed="false">
      <c r="A212" s="0" t="s">
        <v>40</v>
      </c>
      <c r="B212" s="0" t="s">
        <v>139</v>
      </c>
      <c r="C212" s="0" t="s">
        <v>140</v>
      </c>
      <c r="D212" s="0" t="s">
        <v>141</v>
      </c>
      <c r="E212" s="4" t="s">
        <v>7</v>
      </c>
      <c r="F212" s="0" t="n">
        <v>10</v>
      </c>
      <c r="G212" s="17"/>
      <c r="H212" s="17"/>
      <c r="I212" s="17"/>
      <c r="J212" s="17"/>
      <c r="K212" s="17"/>
      <c r="L212" s="24" t="n">
        <f aca="false">F212*$M$203</f>
        <v>10</v>
      </c>
    </row>
    <row r="213" customFormat="false" ht="15" hidden="false" customHeight="false" outlineLevel="0" collapsed="false">
      <c r="A213" s="0" t="s">
        <v>41</v>
      </c>
      <c r="B213" s="0" t="s">
        <v>139</v>
      </c>
      <c r="C213" s="0" t="s">
        <v>140</v>
      </c>
      <c r="D213" s="0" t="s">
        <v>141</v>
      </c>
      <c r="E213" s="4" t="s">
        <v>7</v>
      </c>
      <c r="F213" s="0" t="n">
        <v>10</v>
      </c>
      <c r="G213" s="17"/>
      <c r="H213" s="17"/>
      <c r="I213" s="17"/>
      <c r="J213" s="17"/>
      <c r="K213" s="17"/>
      <c r="L213" s="24" t="n">
        <f aca="false">F213*$M$203</f>
        <v>10</v>
      </c>
    </row>
    <row r="214" customFormat="false" ht="15" hidden="false" customHeight="false" outlineLevel="0" collapsed="false">
      <c r="A214" s="4" t="s">
        <v>42</v>
      </c>
      <c r="B214" s="4" t="s">
        <v>139</v>
      </c>
      <c r="C214" s="4" t="s">
        <v>140</v>
      </c>
      <c r="D214" s="4" t="s">
        <v>141</v>
      </c>
      <c r="E214" s="4" t="s">
        <v>7</v>
      </c>
      <c r="F214" s="4" t="n">
        <v>0</v>
      </c>
      <c r="G214" s="17"/>
      <c r="H214" s="17"/>
      <c r="I214" s="17"/>
      <c r="J214" s="17"/>
      <c r="K214" s="17"/>
      <c r="L214" s="24" t="n">
        <f aca="false">F214*$M$203</f>
        <v>0</v>
      </c>
    </row>
    <row r="215" customFormat="false" ht="15" hidden="false" customHeight="false" outlineLevel="0" collapsed="false">
      <c r="A215" s="5" t="s">
        <v>43</v>
      </c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</row>
    <row r="216" customFormat="false" ht="15" hidden="false" customHeight="false" outlineLevel="0" collapsed="false">
      <c r="A216" s="8" t="s">
        <v>44</v>
      </c>
      <c r="B216" s="0" t="s">
        <v>139</v>
      </c>
      <c r="C216" s="0" t="s">
        <v>140</v>
      </c>
      <c r="D216" s="0" t="s">
        <v>141</v>
      </c>
      <c r="E216" s="4" t="s">
        <v>7</v>
      </c>
      <c r="F216" s="0" t="n">
        <v>12</v>
      </c>
      <c r="G216" s="17"/>
      <c r="H216" s="17"/>
      <c r="I216" s="17"/>
      <c r="J216" s="17"/>
      <c r="K216" s="17"/>
      <c r="L216" s="24" t="n">
        <f aca="false">F216*$M$203</f>
        <v>12</v>
      </c>
    </row>
    <row r="217" customFormat="false" ht="15" hidden="false" customHeight="false" outlineLevel="0" collapsed="false">
      <c r="A217" s="8" t="s">
        <v>45</v>
      </c>
      <c r="B217" s="0" t="s">
        <v>139</v>
      </c>
      <c r="C217" s="0" t="s">
        <v>140</v>
      </c>
      <c r="D217" s="0" t="s">
        <v>141</v>
      </c>
      <c r="E217" s="4" t="s">
        <v>7</v>
      </c>
      <c r="F217" s="0" t="n">
        <v>12</v>
      </c>
      <c r="G217" s="25"/>
      <c r="H217" s="25"/>
      <c r="I217" s="25"/>
      <c r="J217" s="25"/>
      <c r="K217" s="25"/>
      <c r="L217" s="24" t="n">
        <f aca="false">F217*$M$203</f>
        <v>12</v>
      </c>
      <c r="M217" s="25"/>
    </row>
    <row r="218" customFormat="false" ht="15" hidden="false" customHeight="false" outlineLevel="0" collapsed="false">
      <c r="A218" s="8" t="s">
        <v>46</v>
      </c>
      <c r="B218" s="0" t="s">
        <v>139</v>
      </c>
      <c r="C218" s="0" t="s">
        <v>140</v>
      </c>
      <c r="D218" s="0" t="s">
        <v>141</v>
      </c>
      <c r="E218" s="4" t="s">
        <v>7</v>
      </c>
      <c r="F218" s="0" t="n">
        <v>0</v>
      </c>
      <c r="G218" s="17"/>
      <c r="H218" s="17"/>
      <c r="I218" s="17"/>
      <c r="J218" s="17"/>
      <c r="K218" s="17"/>
      <c r="L218" s="24" t="n">
        <f aca="false">F218*$M$203</f>
        <v>0</v>
      </c>
    </row>
    <row r="219" customFormat="false" ht="15" hidden="false" customHeight="false" outlineLevel="0" collapsed="false">
      <c r="A219" s="8" t="s">
        <v>47</v>
      </c>
      <c r="B219" s="0" t="s">
        <v>139</v>
      </c>
      <c r="C219" s="0" t="s">
        <v>140</v>
      </c>
      <c r="D219" s="0" t="s">
        <v>141</v>
      </c>
      <c r="E219" s="4" t="s">
        <v>7</v>
      </c>
      <c r="F219" s="0" t="n">
        <v>0</v>
      </c>
      <c r="G219" s="17"/>
      <c r="H219" s="17"/>
      <c r="I219" s="17"/>
      <c r="J219" s="17"/>
      <c r="K219" s="17"/>
      <c r="L219" s="24" t="n">
        <f aca="false">F219*$M$203</f>
        <v>0</v>
      </c>
    </row>
    <row r="220" customFormat="false" ht="15" hidden="false" customHeight="false" outlineLevel="0" collapsed="false">
      <c r="A220" s="5" t="s">
        <v>138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</row>
    <row r="221" customFormat="false" ht="15" hidden="false" customHeight="false" outlineLevel="0" collapsed="false">
      <c r="A221" s="8" t="s">
        <v>49</v>
      </c>
      <c r="B221" s="0" t="s">
        <v>139</v>
      </c>
      <c r="C221" s="0" t="s">
        <v>140</v>
      </c>
      <c r="D221" s="0" t="s">
        <v>141</v>
      </c>
      <c r="E221" s="4" t="s">
        <v>7</v>
      </c>
      <c r="F221" s="0" t="n">
        <v>25</v>
      </c>
      <c r="G221" s="17"/>
      <c r="H221" s="17"/>
      <c r="I221" s="17"/>
      <c r="J221" s="17"/>
      <c r="K221" s="17"/>
      <c r="L221" s="24" t="n">
        <f aca="false">F221*$M$203</f>
        <v>25</v>
      </c>
    </row>
    <row r="222" customFormat="false" ht="15" hidden="false" customHeight="false" outlineLevel="0" collapsed="false">
      <c r="A222" s="4" t="s">
        <v>50</v>
      </c>
      <c r="B222" s="4" t="s">
        <v>139</v>
      </c>
      <c r="C222" s="4" t="s">
        <v>140</v>
      </c>
      <c r="D222" s="4" t="s">
        <v>141</v>
      </c>
      <c r="E222" s="4" t="s">
        <v>7</v>
      </c>
      <c r="F222" s="4" t="n">
        <v>25</v>
      </c>
      <c r="G222" s="25"/>
      <c r="H222" s="25"/>
      <c r="I222" s="25"/>
      <c r="J222" s="25"/>
      <c r="K222" s="25"/>
      <c r="L222" s="24" t="n">
        <f aca="false">F222*$M$203</f>
        <v>25</v>
      </c>
    </row>
    <row r="223" customFormat="false" ht="15" hidden="false" customHeight="false" outlineLevel="0" collapsed="false">
      <c r="A223" s="8" t="s">
        <v>51</v>
      </c>
      <c r="B223" s="0" t="s">
        <v>139</v>
      </c>
      <c r="C223" s="0" t="s">
        <v>140</v>
      </c>
      <c r="D223" s="0" t="s">
        <v>141</v>
      </c>
      <c r="E223" s="4" t="s">
        <v>7</v>
      </c>
      <c r="F223" s="0" t="n">
        <v>13</v>
      </c>
      <c r="G223" s="17"/>
      <c r="H223" s="17"/>
      <c r="I223" s="17"/>
      <c r="J223" s="17"/>
      <c r="K223" s="17"/>
      <c r="L223" s="24" t="n">
        <f aca="false">F223*$M$203</f>
        <v>13</v>
      </c>
    </row>
    <row r="224" customFormat="false" ht="15" hidden="false" customHeight="false" outlineLevel="0" collapsed="false">
      <c r="A224" s="8" t="s">
        <v>53</v>
      </c>
      <c r="B224" s="0" t="s">
        <v>139</v>
      </c>
      <c r="C224" s="0" t="s">
        <v>140</v>
      </c>
      <c r="D224" s="0" t="s">
        <v>141</v>
      </c>
      <c r="E224" s="4" t="s">
        <v>7</v>
      </c>
      <c r="F224" s="0" t="n">
        <v>19</v>
      </c>
      <c r="G224" s="17"/>
      <c r="H224" s="17"/>
      <c r="I224" s="17"/>
      <c r="J224" s="17"/>
      <c r="K224" s="17"/>
      <c r="L224" s="24" t="n">
        <f aca="false">F224*$M$203</f>
        <v>19</v>
      </c>
    </row>
    <row r="225" customFormat="false" ht="15" hidden="false" customHeight="false" outlineLevel="0" collapsed="false">
      <c r="A225" s="8" t="s">
        <v>56</v>
      </c>
      <c r="B225" s="0" t="s">
        <v>139</v>
      </c>
      <c r="C225" s="0" t="s">
        <v>140</v>
      </c>
      <c r="D225" s="0" t="s">
        <v>141</v>
      </c>
      <c r="E225" s="4" t="s">
        <v>7</v>
      </c>
      <c r="F225" s="0" t="n">
        <v>9</v>
      </c>
      <c r="G225" s="17"/>
      <c r="H225" s="17"/>
      <c r="I225" s="17"/>
      <c r="J225" s="17"/>
      <c r="K225" s="17"/>
      <c r="L225" s="24" t="n">
        <f aca="false">F225*$M$203</f>
        <v>9</v>
      </c>
    </row>
    <row r="226" customFormat="false" ht="15" hidden="false" customHeight="false" outlineLevel="0" collapsed="false">
      <c r="A226" s="8" t="s">
        <v>57</v>
      </c>
      <c r="B226" s="0" t="s">
        <v>139</v>
      </c>
      <c r="C226" s="0" t="s">
        <v>140</v>
      </c>
      <c r="D226" s="0" t="s">
        <v>141</v>
      </c>
      <c r="E226" s="4" t="s">
        <v>7</v>
      </c>
      <c r="F226" s="0" t="n">
        <v>11</v>
      </c>
      <c r="G226" s="17"/>
      <c r="H226" s="17"/>
      <c r="I226" s="17"/>
      <c r="J226" s="17"/>
      <c r="K226" s="17"/>
      <c r="L226" s="24" t="n">
        <f aca="false">F226*$M$203</f>
        <v>11</v>
      </c>
    </row>
    <row r="227" customFormat="false" ht="15" hidden="false" customHeight="false" outlineLevel="0" collapsed="false">
      <c r="A227" s="8" t="s">
        <v>59</v>
      </c>
      <c r="B227" s="0" t="s">
        <v>139</v>
      </c>
      <c r="C227" s="0" t="s">
        <v>140</v>
      </c>
      <c r="D227" s="0" t="s">
        <v>141</v>
      </c>
      <c r="E227" s="4" t="s">
        <v>7</v>
      </c>
      <c r="F227" s="0" t="n">
        <v>13</v>
      </c>
      <c r="G227" s="17"/>
      <c r="H227" s="17"/>
      <c r="I227" s="17"/>
      <c r="J227" s="17"/>
      <c r="K227" s="17"/>
      <c r="L227" s="24" t="n">
        <f aca="false">F227*$M$203</f>
        <v>13</v>
      </c>
    </row>
    <row r="228" customFormat="false" ht="15" hidden="false" customHeight="false" outlineLevel="0" collapsed="false">
      <c r="A228" s="5" t="s">
        <v>137</v>
      </c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</row>
    <row r="229" customFormat="false" ht="15" hidden="false" customHeight="false" outlineLevel="0" collapsed="false">
      <c r="A229" s="8" t="s">
        <v>61</v>
      </c>
      <c r="C229" s="0" t="s">
        <v>140</v>
      </c>
      <c r="D229" s="0" t="s">
        <v>141</v>
      </c>
      <c r="E229" s="4" t="s">
        <v>7</v>
      </c>
      <c r="F229" s="0" t="n">
        <v>7.9</v>
      </c>
      <c r="G229" s="17"/>
      <c r="H229" s="17"/>
      <c r="I229" s="17"/>
      <c r="J229" s="17"/>
      <c r="K229" s="17"/>
      <c r="L229" s="24" t="n">
        <f aca="false">F229*$M$203</f>
        <v>7.9</v>
      </c>
    </row>
    <row r="230" customFormat="false" ht="15" hidden="false" customHeight="false" outlineLevel="0" collapsed="false">
      <c r="A230" s="8" t="s">
        <v>62</v>
      </c>
      <c r="C230" s="0" t="s">
        <v>140</v>
      </c>
      <c r="D230" s="0" t="s">
        <v>141</v>
      </c>
      <c r="E230" s="4" t="s">
        <v>7</v>
      </c>
      <c r="F230" s="0" t="n">
        <v>7.9</v>
      </c>
      <c r="G230" s="25"/>
      <c r="H230" s="25"/>
      <c r="I230" s="25"/>
      <c r="J230" s="25"/>
      <c r="K230" s="25"/>
      <c r="L230" s="24" t="n">
        <f aca="false">F230*$M$203</f>
        <v>7.9</v>
      </c>
    </row>
    <row r="231" customFormat="false" ht="15" hidden="false" customHeight="false" outlineLevel="0" collapsed="false">
      <c r="A231" s="8" t="s">
        <v>63</v>
      </c>
      <c r="C231" s="0" t="s">
        <v>140</v>
      </c>
      <c r="D231" s="0" t="s">
        <v>141</v>
      </c>
      <c r="E231" s="4" t="s">
        <v>7</v>
      </c>
      <c r="F231" s="0" t="n">
        <v>7.9</v>
      </c>
      <c r="G231" s="17"/>
      <c r="H231" s="17"/>
      <c r="I231" s="17"/>
      <c r="J231" s="17"/>
      <c r="K231" s="17"/>
      <c r="L231" s="24" t="n">
        <f aca="false">F231*$M$203</f>
        <v>7.9</v>
      </c>
    </row>
    <row r="232" customFormat="false" ht="15" hidden="false" customHeight="false" outlineLevel="0" collapsed="false">
      <c r="A232" s="8" t="s">
        <v>64</v>
      </c>
      <c r="C232" s="0" t="s">
        <v>140</v>
      </c>
      <c r="D232" s="0" t="s">
        <v>141</v>
      </c>
      <c r="E232" s="4" t="s">
        <v>7</v>
      </c>
      <c r="F232" s="0" t="n">
        <v>7.9</v>
      </c>
      <c r="G232" s="17"/>
      <c r="H232" s="17"/>
      <c r="I232" s="17"/>
      <c r="J232" s="17"/>
      <c r="K232" s="17"/>
      <c r="L232" s="24" t="n">
        <f aca="false">F232*$M$203</f>
        <v>7.9</v>
      </c>
    </row>
    <row r="233" customFormat="false" ht="15" hidden="false" customHeight="false" outlineLevel="0" collapsed="false">
      <c r="A233" s="5" t="s">
        <v>71</v>
      </c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</row>
    <row r="234" customFormat="false" ht="15" hidden="false" customHeight="false" outlineLevel="0" collapsed="false">
      <c r="A234" s="7"/>
      <c r="B234" s="0" t="s">
        <v>139</v>
      </c>
      <c r="C234" s="0" t="s">
        <v>140</v>
      </c>
      <c r="D234" s="0" t="s">
        <v>141</v>
      </c>
      <c r="E234" s="4" t="s">
        <v>7</v>
      </c>
      <c r="F234" s="0" t="n">
        <v>15.75</v>
      </c>
      <c r="G234" s="17"/>
      <c r="H234" s="17"/>
      <c r="I234" s="17"/>
      <c r="J234" s="17"/>
      <c r="K234" s="17"/>
      <c r="L234" s="24" t="n">
        <f aca="false">F234*$M$203</f>
        <v>15.75</v>
      </c>
    </row>
    <row r="235" customFormat="false" ht="15" hidden="false" customHeight="false" outlineLevel="0" collapsed="false">
      <c r="A235" s="5" t="s">
        <v>81</v>
      </c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</row>
    <row r="236" customFormat="false" ht="15" hidden="false" customHeight="false" outlineLevel="0" collapsed="false">
      <c r="A236" s="0" t="s">
        <v>82</v>
      </c>
      <c r="B236" s="0" t="s">
        <v>139</v>
      </c>
      <c r="C236" s="0" t="s">
        <v>140</v>
      </c>
      <c r="D236" s="0" t="s">
        <v>141</v>
      </c>
      <c r="E236" s="4" t="s">
        <v>7</v>
      </c>
      <c r="F236" s="0" t="n">
        <v>2.3</v>
      </c>
      <c r="G236" s="17"/>
      <c r="H236" s="17"/>
      <c r="I236" s="17"/>
      <c r="J236" s="17"/>
      <c r="K236" s="17"/>
      <c r="L236" s="24" t="n">
        <f aca="false">F236*$M$203</f>
        <v>2.3</v>
      </c>
    </row>
    <row r="237" customFormat="false" ht="15" hidden="false" customHeight="false" outlineLevel="0" collapsed="false">
      <c r="A237" s="0" t="s">
        <v>83</v>
      </c>
      <c r="B237" s="0" t="s">
        <v>139</v>
      </c>
      <c r="C237" s="0" t="s">
        <v>140</v>
      </c>
      <c r="D237" s="0" t="s">
        <v>141</v>
      </c>
      <c r="E237" s="4" t="s">
        <v>7</v>
      </c>
      <c r="F237" s="0" t="n">
        <v>18.1</v>
      </c>
      <c r="G237" s="25"/>
      <c r="H237" s="25"/>
      <c r="I237" s="25"/>
      <c r="J237" s="25"/>
      <c r="K237" s="25"/>
      <c r="L237" s="24" t="n">
        <f aca="false">F237*$M$203</f>
        <v>18.1</v>
      </c>
    </row>
    <row r="238" customFormat="false" ht="15" hidden="false" customHeight="false" outlineLevel="0" collapsed="false">
      <c r="A238" s="0" t="s">
        <v>84</v>
      </c>
      <c r="B238" s="0" t="s">
        <v>139</v>
      </c>
      <c r="C238" s="0" t="s">
        <v>140</v>
      </c>
      <c r="D238" s="0" t="s">
        <v>141</v>
      </c>
      <c r="E238" s="4" t="s">
        <v>7</v>
      </c>
      <c r="F238" s="0" t="n">
        <v>20</v>
      </c>
      <c r="G238" s="17"/>
      <c r="H238" s="17"/>
      <c r="I238" s="17"/>
      <c r="J238" s="17"/>
      <c r="K238" s="17"/>
      <c r="L238" s="24" t="n">
        <f aca="false">F238*$M$203</f>
        <v>20</v>
      </c>
    </row>
    <row r="239" customFormat="false" ht="15" hidden="false" customHeight="false" outlineLevel="0" collapsed="false">
      <c r="A239" s="0" t="s">
        <v>85</v>
      </c>
      <c r="B239" s="0" t="s">
        <v>139</v>
      </c>
      <c r="C239" s="0" t="s">
        <v>140</v>
      </c>
      <c r="D239" s="0" t="s">
        <v>141</v>
      </c>
      <c r="E239" s="4" t="s">
        <v>7</v>
      </c>
      <c r="F239" s="0" t="n">
        <v>0.95</v>
      </c>
      <c r="G239" s="17"/>
      <c r="H239" s="17"/>
      <c r="I239" s="17"/>
      <c r="J239" s="17"/>
      <c r="K239" s="17"/>
      <c r="L239" s="24" t="n">
        <f aca="false">F239*$M$203</f>
        <v>0.95</v>
      </c>
    </row>
    <row r="240" customFormat="false" ht="15" hidden="false" customHeight="false" outlineLevel="0" collapsed="false">
      <c r="A240" s="5" t="s">
        <v>86</v>
      </c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</row>
    <row r="241" customFormat="false" ht="15" hidden="false" customHeight="false" outlineLevel="0" collapsed="false">
      <c r="A241" s="0" t="s">
        <v>86</v>
      </c>
      <c r="B241" s="0" t="s">
        <v>139</v>
      </c>
      <c r="C241" s="0" t="s">
        <v>140</v>
      </c>
      <c r="D241" s="0" t="s">
        <v>141</v>
      </c>
      <c r="E241" s="4" t="s">
        <v>7</v>
      </c>
      <c r="F241" s="0" t="n">
        <v>16.5</v>
      </c>
      <c r="G241" s="17"/>
      <c r="H241" s="17"/>
      <c r="I241" s="17"/>
      <c r="J241" s="17"/>
      <c r="K241" s="17"/>
      <c r="L241" s="24" t="n">
        <f aca="false">F241*$M$203</f>
        <v>16.5</v>
      </c>
    </row>
    <row r="242" customFormat="false" ht="15" hidden="false" customHeight="false" outlineLevel="0" collapsed="false">
      <c r="A242" s="4" t="s">
        <v>87</v>
      </c>
      <c r="B242" s="4" t="s">
        <v>139</v>
      </c>
      <c r="C242" s="4" t="s">
        <v>140</v>
      </c>
      <c r="D242" s="4" t="s">
        <v>141</v>
      </c>
      <c r="E242" s="4" t="s">
        <v>7</v>
      </c>
      <c r="F242" s="4" t="n">
        <v>16.5</v>
      </c>
      <c r="G242" s="25"/>
      <c r="H242" s="25"/>
      <c r="I242" s="25"/>
      <c r="J242" s="25"/>
      <c r="K242" s="25"/>
      <c r="L242" s="24" t="n">
        <f aca="false">F242*$M$203</f>
        <v>16.5</v>
      </c>
    </row>
    <row r="243" customFormat="false" ht="15" hidden="false" customHeight="false" outlineLevel="0" collapsed="false">
      <c r="A243" s="5" t="s">
        <v>89</v>
      </c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</row>
    <row r="244" customFormat="false" ht="15" hidden="false" customHeight="false" outlineLevel="0" collapsed="false">
      <c r="C244" s="0" t="s">
        <v>140</v>
      </c>
      <c r="D244" s="0" t="s">
        <v>141</v>
      </c>
      <c r="E244" s="4" t="s">
        <v>7</v>
      </c>
      <c r="F244" s="0" t="n">
        <v>34.2</v>
      </c>
      <c r="G244" s="17"/>
      <c r="H244" s="17"/>
      <c r="I244" s="17"/>
      <c r="J244" s="17"/>
      <c r="K244" s="17"/>
      <c r="L244" s="24" t="n">
        <f aca="false">F244*$M$203</f>
        <v>34.2</v>
      </c>
    </row>
    <row r="245" customFormat="false" ht="15" hidden="false" customHeight="false" outlineLevel="0" collapsed="false">
      <c r="A245" s="5" t="s">
        <v>98</v>
      </c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</row>
    <row r="246" customFormat="false" ht="15" hidden="false" customHeight="false" outlineLevel="0" collapsed="false">
      <c r="A246" s="4" t="s">
        <v>99</v>
      </c>
      <c r="B246" s="4" t="s">
        <v>139</v>
      </c>
      <c r="C246" s="4" t="s">
        <v>140</v>
      </c>
      <c r="D246" s="4" t="s">
        <v>141</v>
      </c>
      <c r="E246" s="4" t="s">
        <v>7</v>
      </c>
      <c r="F246" s="4" t="n">
        <v>0</v>
      </c>
      <c r="G246" s="17"/>
      <c r="H246" s="17"/>
      <c r="I246" s="17"/>
      <c r="J246" s="17"/>
      <c r="K246" s="17"/>
      <c r="L246" s="24" t="n">
        <f aca="false">F246*$M$203</f>
        <v>0</v>
      </c>
    </row>
    <row r="247" customFormat="false" ht="15" hidden="false" customHeight="false" outlineLevel="0" collapsed="false">
      <c r="A247" s="4" t="s">
        <v>100</v>
      </c>
      <c r="B247" s="4" t="s">
        <v>139</v>
      </c>
      <c r="C247" s="4" t="s">
        <v>140</v>
      </c>
      <c r="D247" s="4" t="s">
        <v>141</v>
      </c>
      <c r="E247" s="4" t="s">
        <v>7</v>
      </c>
      <c r="F247" s="4" t="n">
        <v>0</v>
      </c>
      <c r="G247" s="25"/>
      <c r="H247" s="25"/>
      <c r="I247" s="25"/>
      <c r="J247" s="25"/>
      <c r="K247" s="25"/>
      <c r="L247" s="24" t="n">
        <f aca="false">F247*$M$203</f>
        <v>0</v>
      </c>
    </row>
    <row r="248" customFormat="false" ht="15" hidden="false" customHeight="false" outlineLevel="0" collapsed="false">
      <c r="A248" s="26" t="s">
        <v>101</v>
      </c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</row>
    <row r="249" customFormat="false" ht="15" hidden="false" customHeight="false" outlineLevel="0" collapsed="false">
      <c r="A249" s="4" t="s">
        <v>102</v>
      </c>
      <c r="B249" s="4" t="s">
        <v>139</v>
      </c>
      <c r="C249" s="4" t="s">
        <v>140</v>
      </c>
      <c r="D249" s="4" t="s">
        <v>141</v>
      </c>
      <c r="E249" s="4" t="s">
        <v>7</v>
      </c>
      <c r="F249" s="4" t="n">
        <v>0</v>
      </c>
      <c r="G249" s="17"/>
      <c r="H249" s="17"/>
      <c r="I249" s="17"/>
      <c r="J249" s="17"/>
      <c r="K249" s="17"/>
      <c r="L249" s="24" t="n">
        <f aca="false">F249*$M$203</f>
        <v>0</v>
      </c>
    </row>
    <row r="250" customFormat="false" ht="15" hidden="false" customHeight="false" outlineLevel="0" collapsed="false">
      <c r="A250" s="5" t="s">
        <v>103</v>
      </c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</row>
    <row r="251" customFormat="false" ht="15" hidden="false" customHeight="false" outlineLevel="0" collapsed="false">
      <c r="A251" s="0" t="s">
        <v>104</v>
      </c>
      <c r="B251" s="0" t="s">
        <v>139</v>
      </c>
      <c r="C251" s="0" t="s">
        <v>140</v>
      </c>
      <c r="D251" s="0" t="s">
        <v>141</v>
      </c>
      <c r="E251" s="4" t="s">
        <v>7</v>
      </c>
      <c r="F251" s="0" t="n">
        <v>1</v>
      </c>
      <c r="G251" s="17"/>
      <c r="H251" s="17"/>
      <c r="I251" s="17"/>
      <c r="J251" s="17"/>
      <c r="K251" s="17"/>
      <c r="L251" s="24" t="n">
        <f aca="false">F251*$M$203</f>
        <v>1</v>
      </c>
    </row>
    <row r="252" customFormat="false" ht="15" hidden="false" customHeight="false" outlineLevel="0" collapsed="false">
      <c r="A252" s="16" t="s">
        <v>105</v>
      </c>
      <c r="B252" s="16" t="s">
        <v>139</v>
      </c>
      <c r="C252" s="16" t="s">
        <v>140</v>
      </c>
      <c r="D252" s="16" t="s">
        <v>141</v>
      </c>
      <c r="E252" s="16" t="s">
        <v>7</v>
      </c>
      <c r="F252" s="16" t="n">
        <v>1</v>
      </c>
      <c r="G252" s="25"/>
      <c r="H252" s="25"/>
      <c r="I252" s="25"/>
      <c r="J252" s="25"/>
      <c r="K252" s="25"/>
      <c r="L252" s="24" t="n">
        <f aca="false">F252*$M$203</f>
        <v>1</v>
      </c>
    </row>
    <row r="253" customFormat="false" ht="15" hidden="false" customHeight="false" outlineLevel="0" collapsed="false">
      <c r="A253" s="5" t="s">
        <v>113</v>
      </c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</row>
    <row r="254" customFormat="false" ht="15" hidden="false" customHeight="false" outlineLevel="0" collapsed="false">
      <c r="A254" s="0" t="s">
        <v>114</v>
      </c>
      <c r="C254" s="0" t="s">
        <v>140</v>
      </c>
      <c r="D254" s="0" t="s">
        <v>141</v>
      </c>
      <c r="E254" s="16" t="s">
        <v>7</v>
      </c>
      <c r="F254" s="0" t="n">
        <v>24.7</v>
      </c>
      <c r="G254" s="17"/>
      <c r="H254" s="17"/>
      <c r="I254" s="17"/>
      <c r="J254" s="17"/>
      <c r="K254" s="17"/>
      <c r="L254" s="24" t="n">
        <f aca="false">F254*$M$203</f>
        <v>24.7</v>
      </c>
    </row>
    <row r="255" customFormat="false" ht="15" hidden="false" customHeight="false" outlineLevel="0" collapsed="false">
      <c r="A255" s="0" t="s">
        <v>115</v>
      </c>
      <c r="C255" s="0" t="s">
        <v>140</v>
      </c>
      <c r="D255" s="0" t="s">
        <v>141</v>
      </c>
      <c r="E255" s="16" t="s">
        <v>7</v>
      </c>
      <c r="F255" s="0" t="n">
        <v>8</v>
      </c>
      <c r="G255" s="25"/>
      <c r="H255" s="25"/>
      <c r="I255" s="25"/>
      <c r="J255" s="25"/>
      <c r="K255" s="25"/>
      <c r="L255" s="24" t="n">
        <f aca="false">F255*$M$203</f>
        <v>8</v>
      </c>
    </row>
    <row r="256" customFormat="false" ht="15" hidden="false" customHeight="false" outlineLevel="0" collapsed="false">
      <c r="A256" s="0" t="s">
        <v>116</v>
      </c>
      <c r="C256" s="0" t="s">
        <v>140</v>
      </c>
      <c r="D256" s="0" t="s">
        <v>141</v>
      </c>
      <c r="E256" s="16" t="s">
        <v>7</v>
      </c>
      <c r="F256" s="0" t="n">
        <v>7.9</v>
      </c>
      <c r="G256" s="17"/>
      <c r="H256" s="17"/>
      <c r="I256" s="17"/>
      <c r="J256" s="17"/>
      <c r="K256" s="17"/>
      <c r="L256" s="24" t="n">
        <f aca="false">F256*$M$203</f>
        <v>7.9</v>
      </c>
    </row>
    <row r="257" customFormat="false" ht="15" hidden="false" customHeight="false" outlineLevel="0" collapsed="false">
      <c r="A257" s="0" t="s">
        <v>117</v>
      </c>
      <c r="C257" s="0" t="s">
        <v>140</v>
      </c>
      <c r="D257" s="0" t="s">
        <v>141</v>
      </c>
      <c r="E257" s="16" t="s">
        <v>7</v>
      </c>
      <c r="F257" s="0" t="n">
        <v>4.7</v>
      </c>
      <c r="G257" s="17"/>
      <c r="H257" s="17"/>
      <c r="I257" s="17"/>
      <c r="J257" s="17"/>
      <c r="K257" s="17"/>
      <c r="L257" s="24" t="n">
        <f aca="false">F257*$M$203</f>
        <v>4.7</v>
      </c>
    </row>
    <row r="258" customFormat="false" ht="15" hidden="false" customHeight="false" outlineLevel="0" collapsed="false">
      <c r="A258" s="5" t="s">
        <v>121</v>
      </c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</row>
    <row r="259" customFormat="false" ht="15" hidden="false" customHeight="false" outlineLevel="0" collapsed="false">
      <c r="A259" s="16" t="s">
        <v>122</v>
      </c>
      <c r="B259" s="28"/>
      <c r="C259" s="16" t="s">
        <v>140</v>
      </c>
      <c r="D259" s="28" t="s">
        <v>141</v>
      </c>
      <c r="E259" s="28" t="s">
        <v>7</v>
      </c>
      <c r="F259" s="28" t="n">
        <v>34.2</v>
      </c>
      <c r="G259" s="17"/>
      <c r="H259" s="17"/>
      <c r="I259" s="17"/>
      <c r="J259" s="17"/>
      <c r="K259" s="17"/>
      <c r="L259" s="24" t="n">
        <f aca="false">F259*$M$203</f>
        <v>34.2</v>
      </c>
    </row>
    <row r="260" customFormat="false" ht="15" hidden="false" customHeight="false" outlineLevel="0" collapsed="false">
      <c r="A260" s="16" t="s">
        <v>124</v>
      </c>
      <c r="B260" s="16"/>
      <c r="C260" s="16" t="s">
        <v>140</v>
      </c>
      <c r="D260" s="16" t="s">
        <v>141</v>
      </c>
      <c r="E260" s="28" t="s">
        <v>7</v>
      </c>
      <c r="F260" s="16" t="n">
        <v>5.3</v>
      </c>
      <c r="G260" s="25"/>
      <c r="H260" s="25"/>
      <c r="I260" s="25"/>
      <c r="J260" s="25"/>
      <c r="K260" s="25"/>
      <c r="L260" s="24" t="n">
        <f aca="false">F260*$M$203</f>
        <v>5.3</v>
      </c>
      <c r="M260" s="25"/>
    </row>
    <row r="261" customFormat="false" ht="15" hidden="false" customHeight="false" outlineLevel="0" collapsed="false">
      <c r="A261" s="4" t="s">
        <v>125</v>
      </c>
      <c r="B261" s="4"/>
      <c r="C261" s="4" t="s">
        <v>140</v>
      </c>
      <c r="D261" s="4" t="s">
        <v>141</v>
      </c>
      <c r="E261" s="28" t="s">
        <v>7</v>
      </c>
      <c r="F261" s="4" t="n">
        <v>24</v>
      </c>
      <c r="G261" s="17"/>
      <c r="H261" s="17"/>
      <c r="I261" s="17"/>
      <c r="J261" s="17"/>
      <c r="K261" s="17"/>
      <c r="L261" s="24" t="n">
        <f aca="false">F261*$M$203</f>
        <v>24</v>
      </c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7"/>
      <c r="H262" s="17"/>
      <c r="I262" s="17"/>
      <c r="J262" s="17"/>
      <c r="K262" s="17"/>
      <c r="L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7"/>
      <c r="H263" s="17"/>
      <c r="I263" s="17"/>
      <c r="J263" s="17"/>
      <c r="K263" s="17"/>
      <c r="L263" s="16"/>
    </row>
    <row r="264" customFormat="false" ht="15" hidden="false" customHeight="fals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</row>
    <row r="265" customFormat="false" ht="15" hidden="false" customHeight="fals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</row>
    <row r="266" customFormat="false" ht="15" hidden="false" customHeight="fals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</row>
    <row r="267" customFormat="false" ht="15" hidden="false" customHeight="fals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</row>
    <row r="268" customFormat="false" ht="15" hidden="false" customHeight="fals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</row>
    <row r="269" customFormat="false" ht="15" hidden="false" customHeight="fals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</row>
    <row r="270" customFormat="false" ht="15" hidden="false" customHeight="fals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</row>
    <row r="271" customFormat="false" ht="15" hidden="false" customHeight="fals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</row>
    <row r="272" customFormat="false" ht="15" hidden="false" customHeight="fals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</row>
    <row r="273" customFormat="false" ht="15" hidden="false" customHeight="fals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</row>
    <row r="274" customFormat="false" ht="15" hidden="false" customHeight="fals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</row>
    <row r="275" customFormat="false" ht="15" hidden="false" customHeight="fals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</row>
    <row r="276" customFormat="false" ht="15" hidden="false" customHeight="fals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</row>
    <row r="277" customFormat="false" ht="15" hidden="false" customHeight="fals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</row>
    <row r="278" customFormat="false" ht="15" hidden="false" customHeight="fals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</row>
    <row r="279" customFormat="false" ht="15" hidden="false" customHeight="fals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</row>
    <row r="280" customFormat="false" ht="15" hidden="false" customHeight="fals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</row>
    <row r="281" customFormat="false" ht="15" hidden="false" customHeight="fals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.86"/>
  </cols>
  <sheetData>
    <row r="1" customFormat="false" ht="15" hidden="false" customHeight="false" outlineLevel="0" collapsed="false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B2" s="0" t="s">
        <v>142</v>
      </c>
      <c r="C2" s="0" t="s">
        <v>18</v>
      </c>
      <c r="D2" s="0" t="n">
        <v>1</v>
      </c>
      <c r="E2" s="0" t="n">
        <v>1</v>
      </c>
    </row>
    <row r="3" customFormat="false" ht="15" hidden="false" customHeight="false" outlineLevel="0" collapsed="false">
      <c r="A3" s="0" t="s">
        <v>19</v>
      </c>
      <c r="B3" s="0" t="s">
        <v>142</v>
      </c>
      <c r="C3" s="0" t="s">
        <v>18</v>
      </c>
      <c r="D3" s="0" t="n">
        <v>1</v>
      </c>
    </row>
    <row r="4" customFormat="false" ht="15" hidden="false" customHeight="false" outlineLevel="0" collapsed="false">
      <c r="A4" s="0" t="s">
        <v>143</v>
      </c>
      <c r="B4" s="0" t="s">
        <v>142</v>
      </c>
      <c r="C4" s="0" t="s">
        <v>18</v>
      </c>
      <c r="D4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4" activeCellId="0" sqref="N4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.29"/>
    <col collapsed="false" customWidth="true" hidden="false" outlineLevel="0" max="4" min="3" style="0" width="8.71"/>
    <col collapsed="false" customWidth="true" hidden="false" outlineLevel="0" max="5" min="5" style="0" width="30.57"/>
    <col collapsed="false" customWidth="true" hidden="false" outlineLevel="0" max="6" min="6" style="0" width="6"/>
    <col collapsed="false" customWidth="true" hidden="false" outlineLevel="0" max="13" min="7" style="0" width="7"/>
  </cols>
  <sheetData>
    <row r="1" customFormat="false" ht="15" hidden="false" customHeight="false" outlineLevel="0" collapsed="false">
      <c r="A1" s="1" t="s">
        <v>144</v>
      </c>
      <c r="B1" s="1" t="s">
        <v>24</v>
      </c>
      <c r="C1" s="1" t="s">
        <v>145</v>
      </c>
      <c r="D1" s="1" t="s">
        <v>146</v>
      </c>
      <c r="E1" s="1" t="s">
        <v>1</v>
      </c>
      <c r="F1" s="1" t="s">
        <v>2</v>
      </c>
      <c r="G1" s="1" t="s">
        <v>3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4</v>
      </c>
    </row>
    <row r="2" customFormat="false" ht="15" hidden="false" customHeight="false" outlineLevel="0" collapsed="false">
      <c r="A2" s="0" t="s">
        <v>147</v>
      </c>
      <c r="E2" s="0" t="s">
        <v>148</v>
      </c>
      <c r="F2" s="0" t="s">
        <v>18</v>
      </c>
      <c r="G2" s="0" t="n">
        <v>1</v>
      </c>
      <c r="H2" s="6"/>
      <c r="I2" s="6"/>
      <c r="J2" s="6"/>
      <c r="K2" s="6"/>
      <c r="L2" s="6"/>
      <c r="M2" s="6" t="n">
        <v>1.19</v>
      </c>
    </row>
    <row r="4" customFormat="false" ht="15" hidden="false" customHeight="false" outlineLevel="0" collapsed="false">
      <c r="A4" s="0" t="s">
        <v>147</v>
      </c>
      <c r="B4" s="0" t="s">
        <v>149</v>
      </c>
      <c r="E4" s="0" t="s">
        <v>150</v>
      </c>
      <c r="F4" s="0" t="s">
        <v>7</v>
      </c>
      <c r="G4" s="29" t="n">
        <v>14.7981459330144</v>
      </c>
      <c r="M4" s="0" t="n">
        <v>100</v>
      </c>
    </row>
    <row r="5" customFormat="false" ht="15" hidden="false" customHeight="false" outlineLevel="0" collapsed="false">
      <c r="A5" s="0" t="s">
        <v>147</v>
      </c>
      <c r="B5" s="0" t="s">
        <v>140</v>
      </c>
      <c r="E5" s="0" t="s">
        <v>150</v>
      </c>
      <c r="F5" s="0" t="s">
        <v>7</v>
      </c>
      <c r="G5" s="29" t="n">
        <v>65.5346462747779</v>
      </c>
      <c r="M5" s="0" t="n">
        <v>100</v>
      </c>
    </row>
    <row r="6" customFormat="false" ht="15" hidden="false" customHeight="false" outlineLevel="0" collapsed="false">
      <c r="A6" s="0" t="s">
        <v>151</v>
      </c>
      <c r="B6" s="0" t="s">
        <v>149</v>
      </c>
      <c r="E6" s="0" t="s">
        <v>150</v>
      </c>
      <c r="F6" s="0" t="s">
        <v>7</v>
      </c>
      <c r="G6" s="29" t="n">
        <v>9.2748685002843</v>
      </c>
      <c r="M6" s="0" t="n">
        <v>100</v>
      </c>
    </row>
    <row r="7" customFormat="false" ht="15" hidden="false" customHeight="false" outlineLevel="0" collapsed="false">
      <c r="A7" s="0" t="s">
        <v>151</v>
      </c>
      <c r="B7" s="0" t="s">
        <v>140</v>
      </c>
      <c r="E7" s="0" t="s">
        <v>150</v>
      </c>
      <c r="F7" s="0" t="s">
        <v>7</v>
      </c>
      <c r="G7" s="29" t="n">
        <v>35.9401154386016</v>
      </c>
      <c r="M7" s="0" t="n"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.72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10" min="4" style="0" width="7"/>
  </cols>
  <sheetData>
    <row r="1" customFormat="false" ht="15" hidden="false" customHeight="false" outlineLevel="0" collapsed="false">
      <c r="A1" s="1" t="s">
        <v>145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4</v>
      </c>
    </row>
    <row r="2" customFormat="false" ht="15" hidden="false" customHeight="false" outlineLevel="0" collapsed="false">
      <c r="A2" s="0" t="s">
        <v>152</v>
      </c>
      <c r="B2" s="0" t="s">
        <v>153</v>
      </c>
      <c r="C2" s="0" t="s">
        <v>18</v>
      </c>
      <c r="D2" s="0" t="n">
        <v>1</v>
      </c>
      <c r="F2" s="0" t="n">
        <v>1</v>
      </c>
      <c r="H2" s="6" t="n">
        <v>1</v>
      </c>
      <c r="I2" s="6"/>
      <c r="J2" s="6" t="n">
        <v>1</v>
      </c>
    </row>
    <row r="3" customFormat="false" ht="15" hidden="false" customHeight="false" outlineLevel="0" collapsed="false">
      <c r="A3" s="0" t="s">
        <v>154</v>
      </c>
      <c r="B3" s="0" t="s">
        <v>153</v>
      </c>
      <c r="C3" s="0" t="s">
        <v>18</v>
      </c>
      <c r="D3" s="0" t="n">
        <v>1</v>
      </c>
      <c r="F3" s="0" t="n">
        <v>1</v>
      </c>
      <c r="H3" s="6" t="n">
        <v>1</v>
      </c>
      <c r="I3" s="6"/>
      <c r="J3" s="6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.29"/>
    <col collapsed="false" customWidth="true" hidden="false" outlineLevel="0" max="2" min="2" style="0" width="8"/>
    <col collapsed="false" customWidth="true" hidden="false" outlineLevel="0" max="3" min="3" style="0" width="8.71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7" min="6" style="0" width="7"/>
  </cols>
  <sheetData>
    <row r="1" customFormat="false" ht="15" hidden="false" customHeight="false" outlineLevel="0" collapsed="false">
      <c r="A1" s="1" t="s">
        <v>155</v>
      </c>
      <c r="B1" s="1" t="s">
        <v>144</v>
      </c>
      <c r="C1" s="1" t="s">
        <v>145</v>
      </c>
      <c r="D1" s="1" t="s">
        <v>1</v>
      </c>
      <c r="E1" s="1" t="s">
        <v>2</v>
      </c>
      <c r="F1" s="1" t="s">
        <v>3</v>
      </c>
      <c r="G1" s="1" t="s">
        <v>4</v>
      </c>
    </row>
    <row r="2" customFormat="false" ht="15" hidden="false" customHeight="false" outlineLevel="0" collapsed="false">
      <c r="A2" s="0" t="s">
        <v>156</v>
      </c>
      <c r="B2" s="0" t="s">
        <v>147</v>
      </c>
      <c r="C2" s="0" t="s">
        <v>157</v>
      </c>
      <c r="D2" s="0" t="s">
        <v>158</v>
      </c>
      <c r="E2" s="0" t="s">
        <v>18</v>
      </c>
      <c r="F2" s="29" t="n">
        <v>1</v>
      </c>
      <c r="G2" s="29" t="n">
        <v>1</v>
      </c>
    </row>
    <row r="3" customFormat="false" ht="15" hidden="false" customHeight="false" outlineLevel="0" collapsed="false">
      <c r="A3" s="0" t="s">
        <v>156</v>
      </c>
      <c r="C3" s="0" t="s">
        <v>159</v>
      </c>
      <c r="D3" s="0" t="s">
        <v>158</v>
      </c>
      <c r="E3" s="0" t="s">
        <v>18</v>
      </c>
      <c r="F3" s="29" t="n">
        <v>1</v>
      </c>
      <c r="G3" s="29" t="n">
        <v>1</v>
      </c>
    </row>
    <row r="4" customFormat="false" ht="15" hidden="false" customHeight="false" outlineLevel="0" collapsed="false">
      <c r="F4" s="29"/>
      <c r="G4" s="2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0" activeCellId="0" sqref="M10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30" t="s">
        <v>144</v>
      </c>
      <c r="B1" s="30" t="s">
        <v>24</v>
      </c>
      <c r="C1" s="30" t="s">
        <v>160</v>
      </c>
      <c r="D1" s="30" t="s">
        <v>145</v>
      </c>
      <c r="E1" s="30" t="s">
        <v>146</v>
      </c>
      <c r="F1" s="30" t="s">
        <v>1</v>
      </c>
      <c r="G1" s="30" t="s">
        <v>2</v>
      </c>
      <c r="H1" s="1" t="s">
        <v>3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4</v>
      </c>
    </row>
    <row r="2" customFormat="false" ht="15" hidden="false" customHeight="false" outlineLevel="0" collapsed="false">
      <c r="C2" s="31" t="s">
        <v>161</v>
      </c>
      <c r="F2" s="31" t="s">
        <v>162</v>
      </c>
      <c r="G2" s="0" t="s">
        <v>18</v>
      </c>
      <c r="H2" s="0" t="n">
        <v>1</v>
      </c>
      <c r="N2" s="0" t="n">
        <v>1</v>
      </c>
      <c r="Q2" s="0" t="n">
        <v>2</v>
      </c>
    </row>
    <row r="3" customFormat="false" ht="15" hidden="false" customHeight="false" outlineLevel="0" collapsed="false">
      <c r="C3" s="31" t="s">
        <v>163</v>
      </c>
      <c r="F3" s="31" t="s">
        <v>162</v>
      </c>
      <c r="G3" s="0" t="s">
        <v>18</v>
      </c>
      <c r="H3" s="0" t="n">
        <v>1</v>
      </c>
      <c r="N3" s="0" t="n">
        <v>1</v>
      </c>
      <c r="Q3" s="0" t="n">
        <v>0.5</v>
      </c>
    </row>
    <row r="4" customFormat="false" ht="15" hidden="false" customHeight="false" outlineLevel="0" collapsed="false">
      <c r="C4" s="31" t="s">
        <v>164</v>
      </c>
      <c r="F4" s="31" t="s">
        <v>162</v>
      </c>
      <c r="G4" s="0" t="s">
        <v>18</v>
      </c>
      <c r="H4" s="0" t="n">
        <v>1</v>
      </c>
      <c r="N4" s="0" t="n">
        <v>1</v>
      </c>
      <c r="Q4" s="0" t="n">
        <v>2</v>
      </c>
    </row>
    <row r="5" customFormat="false" ht="15" hidden="false" customHeight="false" outlineLevel="0" collapsed="false">
      <c r="C5" s="31" t="s">
        <v>165</v>
      </c>
      <c r="F5" s="31" t="s">
        <v>162</v>
      </c>
      <c r="G5" s="0" t="s">
        <v>18</v>
      </c>
      <c r="H5" s="0" t="n">
        <v>1</v>
      </c>
      <c r="N5" s="0" t="n">
        <v>1</v>
      </c>
      <c r="Q5" s="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5.86"/>
    <col collapsed="false" customWidth="true" hidden="false" outlineLevel="0" max="3" min="3" style="0" width="20.14"/>
    <col collapsed="false" customWidth="true" hidden="false" outlineLevel="0" max="4" min="4" style="0" width="6"/>
    <col collapsed="false" customWidth="true" hidden="false" outlineLevel="0" max="6" min="5" style="0" width="7"/>
  </cols>
  <sheetData>
    <row r="1" customFormat="false" ht="15" hidden="false" customHeight="false" outlineLevel="0" collapsed="false">
      <c r="A1" s="1" t="s">
        <v>166</v>
      </c>
      <c r="B1" s="1" t="s">
        <v>167</v>
      </c>
      <c r="C1" s="1" t="s">
        <v>1</v>
      </c>
      <c r="D1" s="1" t="s">
        <v>2</v>
      </c>
      <c r="E1" s="1" t="s">
        <v>3</v>
      </c>
      <c r="F1" s="1" t="s">
        <v>4</v>
      </c>
      <c r="I1" s="1"/>
    </row>
    <row r="2" customFormat="false" ht="15" hidden="false" customHeight="false" outlineLevel="0" collapsed="false">
      <c r="A2" s="0" t="s">
        <v>168</v>
      </c>
      <c r="B2" s="32" t="s">
        <v>169</v>
      </c>
      <c r="C2" s="12" t="s">
        <v>170</v>
      </c>
      <c r="D2" s="0" t="s">
        <v>7</v>
      </c>
      <c r="E2" s="33" t="n">
        <f aca="false">(241822577+237201100)/(241822577+237201100+5856000+8368914)*100</f>
        <v>97.1160761004586</v>
      </c>
      <c r="F2" s="29" t="n">
        <v>0</v>
      </c>
    </row>
    <row r="3" customFormat="false" ht="15" hidden="false" customHeight="false" outlineLevel="0" collapsed="false">
      <c r="A3" s="0" t="s">
        <v>168</v>
      </c>
      <c r="B3" s="32" t="s">
        <v>171</v>
      </c>
      <c r="C3" s="12" t="s">
        <v>170</v>
      </c>
      <c r="D3" s="0" t="s">
        <v>7</v>
      </c>
      <c r="E3" s="33" t="n">
        <f aca="false">100-E2</f>
        <v>2.88392389954136</v>
      </c>
      <c r="F3" s="29" t="n">
        <v>50</v>
      </c>
    </row>
    <row r="4" customFormat="false" ht="15" hidden="false" customHeight="false" outlineLevel="0" collapsed="false">
      <c r="A4" s="0" t="s">
        <v>168</v>
      </c>
      <c r="B4" s="32" t="s">
        <v>172</v>
      </c>
      <c r="C4" s="12" t="s">
        <v>170</v>
      </c>
      <c r="D4" s="0" t="s">
        <v>7</v>
      </c>
      <c r="E4" s="33" t="n">
        <v>0</v>
      </c>
      <c r="F4" s="29" t="n">
        <v>0</v>
      </c>
    </row>
    <row r="5" customFormat="false" ht="15" hidden="false" customHeight="false" outlineLevel="0" collapsed="false">
      <c r="A5" s="0" t="s">
        <v>168</v>
      </c>
      <c r="B5" s="12" t="s">
        <v>173</v>
      </c>
      <c r="C5" s="12" t="s">
        <v>170</v>
      </c>
      <c r="D5" s="0" t="s">
        <v>7</v>
      </c>
      <c r="E5" s="33" t="n">
        <v>0</v>
      </c>
      <c r="F5" s="29" t="n">
        <v>50</v>
      </c>
    </row>
    <row r="6" customFormat="false" ht="15" hidden="false" customHeight="false" outlineLevel="0" collapsed="false">
      <c r="E6" s="22"/>
      <c r="F6" s="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30" activeCellId="0" sqref="O30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B2" s="34" t="s">
        <v>174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</row>
    <row r="3" customFormat="false" ht="15.75" hidden="false" customHeight="false" outlineLevel="0" collapsed="false"/>
    <row r="4" customFormat="false" ht="15" hidden="false" customHeight="false" outlineLevel="0" collapsed="false">
      <c r="B4" s="36" t="s">
        <v>175</v>
      </c>
      <c r="C4" s="37"/>
      <c r="D4" s="37"/>
      <c r="E4" s="37"/>
      <c r="F4" s="37"/>
      <c r="G4" s="37"/>
      <c r="H4" s="38"/>
      <c r="J4" s="36" t="s">
        <v>176</v>
      </c>
      <c r="K4" s="37"/>
      <c r="L4" s="37"/>
      <c r="M4" s="37"/>
      <c r="N4" s="37"/>
      <c r="O4" s="37"/>
      <c r="P4" s="38"/>
    </row>
    <row r="5" customFormat="false" ht="15" hidden="false" customHeight="false" outlineLevel="0" collapsed="false">
      <c r="B5" s="39"/>
      <c r="C5" s="32"/>
      <c r="D5" s="32"/>
      <c r="E5" s="32"/>
      <c r="F5" s="32"/>
      <c r="G5" s="32"/>
      <c r="H5" s="40"/>
      <c r="J5" s="39"/>
      <c r="K5" s="32"/>
      <c r="L5" s="32"/>
      <c r="M5" s="32"/>
      <c r="N5" s="32"/>
      <c r="O5" s="32"/>
      <c r="P5" s="40"/>
    </row>
    <row r="6" customFormat="false" ht="15" hidden="false" customHeight="false" outlineLevel="0" collapsed="false">
      <c r="B6" s="39"/>
      <c r="C6" s="32" t="s">
        <v>177</v>
      </c>
      <c r="D6" s="32"/>
      <c r="E6" s="32"/>
      <c r="F6" s="32"/>
      <c r="G6" s="32"/>
      <c r="H6" s="40"/>
      <c r="J6" s="39"/>
      <c r="K6" s="32" t="s">
        <v>178</v>
      </c>
      <c r="L6" s="32"/>
      <c r="M6" s="32"/>
      <c r="N6" s="32"/>
      <c r="O6" s="32"/>
      <c r="P6" s="40"/>
    </row>
    <row r="7" customFormat="false" ht="15" hidden="false" customHeight="false" outlineLevel="0" collapsed="false">
      <c r="B7" s="39" t="n">
        <v>2012</v>
      </c>
      <c r="C7" s="32" t="n">
        <v>26.2</v>
      </c>
      <c r="D7" s="32"/>
      <c r="E7" s="32"/>
      <c r="F7" s="32"/>
      <c r="G7" s="32"/>
      <c r="H7" s="40"/>
      <c r="J7" s="39" t="n">
        <v>2012</v>
      </c>
      <c r="K7" s="32" t="n">
        <v>1.7</v>
      </c>
      <c r="L7" s="32"/>
      <c r="M7" s="32"/>
      <c r="N7" s="32"/>
      <c r="O7" s="32"/>
      <c r="P7" s="40"/>
    </row>
    <row r="8" customFormat="false" ht="15" hidden="false" customHeight="false" outlineLevel="0" collapsed="false">
      <c r="B8" s="39" t="n">
        <v>2013</v>
      </c>
      <c r="C8" s="32" t="n">
        <v>26.1</v>
      </c>
      <c r="D8" s="41"/>
      <c r="E8" s="32"/>
      <c r="F8" s="32"/>
      <c r="G8" s="32"/>
      <c r="H8" s="40"/>
      <c r="J8" s="39" t="n">
        <v>2013</v>
      </c>
      <c r="K8" s="32" t="n">
        <v>1.6</v>
      </c>
      <c r="L8" s="32"/>
      <c r="M8" s="32"/>
      <c r="N8" s="32"/>
      <c r="O8" s="32"/>
      <c r="P8" s="40"/>
    </row>
    <row r="9" customFormat="false" ht="15" hidden="false" customHeight="false" outlineLevel="0" collapsed="false">
      <c r="B9" s="39" t="n">
        <v>2014</v>
      </c>
      <c r="C9" s="32" t="n">
        <v>26.7</v>
      </c>
      <c r="D9" s="41"/>
      <c r="E9" s="32"/>
      <c r="F9" s="32"/>
      <c r="G9" s="32"/>
      <c r="H9" s="40"/>
      <c r="J9" s="39" t="n">
        <v>2014</v>
      </c>
      <c r="K9" s="32" t="n">
        <v>1.6</v>
      </c>
      <c r="L9" s="32"/>
      <c r="M9" s="32"/>
      <c r="N9" s="32"/>
      <c r="O9" s="32"/>
      <c r="P9" s="40"/>
    </row>
    <row r="10" customFormat="false" ht="15" hidden="false" customHeight="false" outlineLevel="0" collapsed="false">
      <c r="B10" s="39" t="n">
        <v>2015</v>
      </c>
      <c r="C10" s="32" t="n">
        <v>26.6</v>
      </c>
      <c r="D10" s="41"/>
      <c r="E10" s="32"/>
      <c r="F10" s="32"/>
      <c r="G10" s="32"/>
      <c r="H10" s="40"/>
      <c r="J10" s="39" t="n">
        <v>2015</v>
      </c>
      <c r="K10" s="32" t="n">
        <v>1.5</v>
      </c>
      <c r="L10" s="32"/>
      <c r="M10" s="32"/>
      <c r="N10" s="32"/>
      <c r="O10" s="32"/>
      <c r="P10" s="40"/>
    </row>
    <row r="11" customFormat="false" ht="15" hidden="false" customHeight="false" outlineLevel="0" collapsed="false">
      <c r="B11" s="39" t="n">
        <v>2016</v>
      </c>
      <c r="C11" s="32" t="n">
        <v>27</v>
      </c>
      <c r="D11" s="41"/>
      <c r="E11" s="32"/>
      <c r="F11" s="32"/>
      <c r="G11" s="32"/>
      <c r="H11" s="40"/>
      <c r="J11" s="39" t="n">
        <v>2016</v>
      </c>
      <c r="K11" s="32" t="n">
        <v>1.7</v>
      </c>
      <c r="L11" s="32"/>
      <c r="M11" s="32"/>
      <c r="N11" s="32"/>
      <c r="O11" s="32"/>
      <c r="P11" s="40"/>
    </row>
    <row r="12" customFormat="false" ht="15" hidden="false" customHeight="false" outlineLevel="0" collapsed="false">
      <c r="B12" s="39" t="n">
        <v>2017</v>
      </c>
      <c r="C12" s="32" t="n">
        <v>25.7</v>
      </c>
      <c r="D12" s="41"/>
      <c r="E12" s="32"/>
      <c r="F12" s="32"/>
      <c r="G12" s="32"/>
      <c r="H12" s="40"/>
      <c r="J12" s="39" t="n">
        <v>2017</v>
      </c>
      <c r="K12" s="32" t="n">
        <v>1.6</v>
      </c>
      <c r="L12" s="32"/>
      <c r="M12" s="32"/>
      <c r="N12" s="32"/>
      <c r="O12" s="32"/>
      <c r="P12" s="40"/>
    </row>
    <row r="13" customFormat="false" ht="15" hidden="false" customHeight="false" outlineLevel="0" collapsed="false">
      <c r="B13" s="39" t="n">
        <v>2018</v>
      </c>
      <c r="C13" s="32" t="n">
        <v>25.4</v>
      </c>
      <c r="D13" s="41"/>
      <c r="E13" s="32"/>
      <c r="F13" s="32"/>
      <c r="G13" s="32"/>
      <c r="H13" s="40"/>
      <c r="J13" s="39" t="n">
        <v>2018</v>
      </c>
      <c r="K13" s="32" t="n">
        <v>1.8</v>
      </c>
      <c r="L13" s="32"/>
      <c r="M13" s="32"/>
      <c r="N13" s="32"/>
      <c r="O13" s="32"/>
      <c r="P13" s="40"/>
    </row>
    <row r="14" customFormat="false" ht="15" hidden="false" customHeight="false" outlineLevel="0" collapsed="false">
      <c r="B14" s="39" t="n">
        <v>2019</v>
      </c>
      <c r="C14" s="32" t="n">
        <v>25.8</v>
      </c>
      <c r="D14" s="41"/>
      <c r="E14" s="32"/>
      <c r="F14" s="32"/>
      <c r="G14" s="32"/>
      <c r="H14" s="40"/>
      <c r="J14" s="39" t="n">
        <v>2019</v>
      </c>
      <c r="K14" s="32" t="n">
        <v>1.7</v>
      </c>
      <c r="L14" s="32"/>
      <c r="M14" s="32"/>
      <c r="N14" s="32"/>
      <c r="O14" s="32"/>
      <c r="P14" s="40"/>
    </row>
    <row r="15" customFormat="false" ht="15" hidden="false" customHeight="false" outlineLevel="0" collapsed="false">
      <c r="B15" s="39" t="n">
        <v>2020</v>
      </c>
      <c r="C15" s="32" t="n">
        <v>25.3</v>
      </c>
      <c r="D15" s="41"/>
      <c r="E15" s="32"/>
      <c r="F15" s="32"/>
      <c r="G15" s="32"/>
      <c r="H15" s="40"/>
      <c r="J15" s="39" t="n">
        <v>2020</v>
      </c>
      <c r="K15" s="32" t="n">
        <v>1.7</v>
      </c>
      <c r="L15" s="32"/>
      <c r="M15" s="32"/>
      <c r="N15" s="32"/>
      <c r="O15" s="32"/>
      <c r="P15" s="40"/>
    </row>
    <row r="16" customFormat="false" ht="15" hidden="false" customHeight="false" outlineLevel="0" collapsed="false">
      <c r="B16" s="39" t="n">
        <v>2021</v>
      </c>
      <c r="C16" s="32" t="n">
        <v>24.8</v>
      </c>
      <c r="D16" s="41"/>
      <c r="E16" s="32"/>
      <c r="F16" s="32"/>
      <c r="G16" s="32"/>
      <c r="H16" s="40"/>
      <c r="J16" s="39" t="n">
        <v>2021</v>
      </c>
      <c r="K16" s="32" t="n">
        <v>1.7</v>
      </c>
      <c r="L16" s="32"/>
      <c r="M16" s="32"/>
      <c r="N16" s="32"/>
      <c r="O16" s="32"/>
      <c r="P16" s="40"/>
    </row>
    <row r="17" customFormat="false" ht="15" hidden="false" customHeight="false" outlineLevel="0" collapsed="false">
      <c r="B17" s="39" t="n">
        <v>2022</v>
      </c>
      <c r="C17" s="32" t="n">
        <v>24.6</v>
      </c>
      <c r="D17" s="41"/>
      <c r="E17" s="42" t="n">
        <f aca="false">(C17-C7)/C7</f>
        <v>-0.0610687022900763</v>
      </c>
      <c r="F17" s="43" t="s">
        <v>179</v>
      </c>
      <c r="G17" s="44"/>
      <c r="H17" s="40"/>
      <c r="J17" s="39" t="n">
        <v>2022</v>
      </c>
      <c r="K17" s="32" t="n">
        <v>1.7</v>
      </c>
      <c r="L17" s="32"/>
      <c r="M17" s="32"/>
      <c r="N17" s="32"/>
      <c r="O17" s="32"/>
      <c r="P17" s="40"/>
    </row>
    <row r="18" customFormat="false" ht="15.75" hidden="false" customHeight="false" outlineLevel="0" collapsed="false">
      <c r="B18" s="45"/>
      <c r="C18" s="46"/>
      <c r="D18" s="46"/>
      <c r="E18" s="46"/>
      <c r="F18" s="46"/>
      <c r="G18" s="46"/>
      <c r="H18" s="47"/>
      <c r="J18" s="45"/>
      <c r="K18" s="46"/>
      <c r="L18" s="46"/>
      <c r="M18" s="46"/>
      <c r="N18" s="46"/>
      <c r="O18" s="46"/>
      <c r="P18" s="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LibreOffice/7.6.5.2$Linux_X86_64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sv-SE</dc:language>
  <cp:lastModifiedBy>Niclas Ericsson</cp:lastModifiedBy>
  <dcterms:modified xsi:type="dcterms:W3CDTF">2024-03-05T15:22:48Z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