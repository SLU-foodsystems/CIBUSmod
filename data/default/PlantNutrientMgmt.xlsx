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800" i="1" l="1"/>
  <c r="R799" i="1"/>
  <c r="R824" i="1"/>
  <c r="R807" i="1"/>
  <c r="R808" i="1" s="1"/>
  <c r="R810" i="1"/>
  <c r="R809" i="1"/>
  <c r="R813" i="1"/>
  <c r="R811" i="1"/>
  <c r="R805" i="1" s="1"/>
  <c r="R707" i="1" l="1"/>
  <c r="R706" i="1"/>
  <c r="R705" i="1"/>
  <c r="R704" i="1"/>
  <c r="R703" i="1"/>
  <c r="R483" i="1"/>
  <c r="R482" i="1"/>
  <c r="R481" i="1"/>
  <c r="R480" i="1"/>
  <c r="R479" i="1"/>
  <c r="R199" i="1"/>
  <c r="R198" i="1"/>
  <c r="R197" i="1"/>
  <c r="R196" i="1"/>
  <c r="R195" i="1"/>
  <c r="R609" i="1"/>
  <c r="R610" i="1"/>
  <c r="R611" i="1"/>
  <c r="R612" i="1"/>
  <c r="R613" i="1"/>
  <c r="R614" i="1"/>
  <c r="R615" i="1"/>
  <c r="R608" i="1"/>
  <c r="R186" i="1"/>
  <c r="R185" i="1"/>
  <c r="R340" i="1"/>
  <c r="R374" i="1"/>
  <c r="R375" i="1"/>
  <c r="R376" i="1"/>
  <c r="R377" i="1"/>
  <c r="R378" i="1"/>
  <c r="R373" i="1"/>
  <c r="R699" i="1" l="1"/>
  <c r="R475" i="1"/>
  <c r="R474" i="1"/>
  <c r="R698" i="1"/>
  <c r="R683" i="1" l="1"/>
  <c r="R682" i="1"/>
  <c r="R675" i="1"/>
  <c r="R677" i="1" s="1"/>
  <c r="R674" i="1"/>
  <c r="R676" i="1" s="1"/>
  <c r="R669" i="1"/>
  <c r="R668" i="1"/>
  <c r="R654" i="1"/>
  <c r="R653" i="1"/>
  <c r="R652" i="1"/>
  <c r="R651" i="1"/>
  <c r="R650" i="1"/>
  <c r="R649" i="1"/>
  <c r="R643" i="1"/>
  <c r="R642" i="1"/>
  <c r="R641" i="1"/>
  <c r="R640" i="1"/>
  <c r="R639" i="1"/>
  <c r="R638" i="1"/>
  <c r="R637" i="1"/>
  <c r="R636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425" i="1" l="1"/>
  <c r="R426" i="1"/>
  <c r="R424" i="1"/>
  <c r="R301" i="1"/>
  <c r="R302" i="1"/>
  <c r="R303" i="1"/>
  <c r="R304" i="1"/>
  <c r="R305" i="1"/>
  <c r="R306" i="1"/>
  <c r="R307" i="1"/>
  <c r="R300" i="1"/>
  <c r="R111" i="1"/>
  <c r="R110" i="1"/>
  <c r="T109" i="1"/>
  <c r="R109" i="1"/>
  <c r="R341" i="1" l="1"/>
  <c r="R342" i="1"/>
  <c r="R343" i="1"/>
  <c r="R344" i="1"/>
  <c r="R345" i="1"/>
  <c r="R346" i="1"/>
  <c r="R347" i="1"/>
  <c r="R332" i="1"/>
  <c r="R333" i="1"/>
  <c r="R334" i="1"/>
  <c r="R335" i="1"/>
  <c r="R336" i="1"/>
  <c r="R337" i="1"/>
  <c r="R338" i="1"/>
  <c r="R339" i="1"/>
  <c r="R284" i="1"/>
  <c r="T162" i="1"/>
  <c r="R164" i="1"/>
  <c r="R163" i="1"/>
  <c r="R162" i="1"/>
  <c r="R159" i="1"/>
  <c r="T159" i="1"/>
  <c r="R160" i="1"/>
  <c r="R161" i="1"/>
  <c r="R451" i="1" l="1"/>
  <c r="R453" i="1" s="1"/>
  <c r="R450" i="1"/>
  <c r="R452" i="1" s="1"/>
  <c r="R445" i="1"/>
  <c r="R444" i="1"/>
  <c r="R459" i="1" l="1"/>
  <c r="R458" i="1"/>
  <c r="R428" i="1"/>
  <c r="R429" i="1"/>
  <c r="R427" i="1"/>
  <c r="R408" i="1"/>
  <c r="R409" i="1"/>
  <c r="R410" i="1"/>
  <c r="R411" i="1"/>
  <c r="R412" i="1"/>
  <c r="R413" i="1"/>
  <c r="R414" i="1"/>
  <c r="R415" i="1"/>
  <c r="R416" i="1"/>
  <c r="R417" i="1"/>
  <c r="R418" i="1"/>
  <c r="R407" i="1"/>
  <c r="R325" i="1"/>
  <c r="R326" i="1"/>
  <c r="R327" i="1"/>
  <c r="R328" i="1"/>
  <c r="R329" i="1"/>
  <c r="R330" i="1"/>
  <c r="R331" i="1"/>
  <c r="R317" i="1"/>
  <c r="R318" i="1"/>
  <c r="R319" i="1"/>
  <c r="R320" i="1"/>
  <c r="R321" i="1"/>
  <c r="R322" i="1"/>
  <c r="R323" i="1"/>
  <c r="R324" i="1"/>
  <c r="R316" i="1"/>
  <c r="R315" i="1"/>
  <c r="R314" i="1"/>
  <c r="R313" i="1"/>
  <c r="R312" i="1"/>
  <c r="R311" i="1"/>
  <c r="R310" i="1"/>
  <c r="R309" i="1"/>
  <c r="R308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67" i="1"/>
  <c r="R268" i="1"/>
  <c r="R269" i="1"/>
  <c r="R270" i="1"/>
  <c r="R271" i="1"/>
  <c r="R272" i="1"/>
  <c r="R273" i="1"/>
  <c r="R259" i="1"/>
  <c r="R260" i="1"/>
  <c r="R261" i="1"/>
  <c r="R262" i="1"/>
  <c r="R263" i="1"/>
  <c r="R264" i="1"/>
  <c r="R265" i="1"/>
  <c r="R266" i="1"/>
  <c r="R258" i="1"/>
  <c r="R251" i="1"/>
  <c r="R252" i="1"/>
  <c r="R253" i="1"/>
  <c r="R254" i="1"/>
  <c r="R255" i="1"/>
  <c r="R256" i="1"/>
  <c r="R257" i="1"/>
  <c r="R250" i="1"/>
  <c r="R754" i="1" l="1"/>
  <c r="R752" i="1" l="1"/>
  <c r="R753" i="1"/>
  <c r="R751" i="1"/>
  <c r="R718" i="1"/>
  <c r="R717" i="1"/>
  <c r="R716" i="1"/>
  <c r="R184" i="1" l="1"/>
  <c r="R183" i="1"/>
  <c r="R172" i="1"/>
  <c r="R171" i="1"/>
  <c r="R192" i="1"/>
  <c r="R180" i="1" l="1"/>
  <c r="T145" i="1"/>
  <c r="T85" i="1" l="1"/>
  <c r="T88" i="1" s="1"/>
  <c r="T91" i="1" s="1"/>
  <c r="R87" i="1"/>
  <c r="R90" i="1" s="1"/>
  <c r="R93" i="1" s="1"/>
  <c r="R86" i="1"/>
  <c r="R89" i="1" s="1"/>
  <c r="R92" i="1" s="1"/>
  <c r="R85" i="1"/>
  <c r="R88" i="1" s="1"/>
  <c r="R91" i="1" s="1"/>
  <c r="T100" i="1" l="1"/>
  <c r="R102" i="1"/>
  <c r="R101" i="1"/>
  <c r="R100" i="1"/>
  <c r="T79" i="1"/>
  <c r="R81" i="1"/>
  <c r="R80" i="1"/>
  <c r="R79" i="1"/>
  <c r="R78" i="1"/>
  <c r="R77" i="1"/>
  <c r="T76" i="1"/>
  <c r="R76" i="1"/>
  <c r="T53" i="1"/>
  <c r="R55" i="1"/>
  <c r="R54" i="1"/>
  <c r="R53" i="1"/>
  <c r="T61" i="1"/>
  <c r="T122" i="1" s="1"/>
  <c r="R63" i="1"/>
  <c r="R127" i="1" s="1"/>
  <c r="R62" i="1"/>
  <c r="R123" i="1" s="1"/>
  <c r="R61" i="1"/>
  <c r="R114" i="1" s="1"/>
  <c r="T120" i="1"/>
  <c r="T112" i="1"/>
  <c r="T41" i="1"/>
  <c r="R42" i="1"/>
  <c r="R43" i="1"/>
  <c r="R44" i="1"/>
  <c r="R41" i="1"/>
  <c r="T114" i="1" l="1"/>
  <c r="R118" i="1"/>
  <c r="R119" i="1"/>
  <c r="T125" i="1"/>
  <c r="R116" i="1"/>
  <c r="T117" i="1"/>
  <c r="R126" i="1"/>
  <c r="R124" i="1"/>
  <c r="R122" i="1"/>
  <c r="R115" i="1"/>
  <c r="R125" i="1"/>
  <c r="R117" i="1"/>
  <c r="R182" i="1"/>
  <c r="R181" i="1"/>
  <c r="R146" i="1"/>
  <c r="R147" i="1"/>
  <c r="R145" i="1"/>
  <c r="R113" i="1"/>
  <c r="R112" i="1"/>
  <c r="R121" i="1"/>
  <c r="R120" i="1"/>
</calcChain>
</file>

<file path=xl/sharedStrings.xml><?xml version="1.0" encoding="utf-8"?>
<sst xmlns="http://schemas.openxmlformats.org/spreadsheetml/2006/main" count="2554" uniqueCount="339">
  <si>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</si>
  <si>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</si>
  <si>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</si>
  <si>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</si>
  <si>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</si>
  <si>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</si>
  <si>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</si>
  <si>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</si>
  <si>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</si>
  <si>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</si>
  <si>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</si>
  <si>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</si>
  <si>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</si>
  <si>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</si>
  <si>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</si>
  <si>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</si>
  <si>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</si>
  <si>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</si>
  <si>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</si>
  <si>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</si>
  <si>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</si>
  <si>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</si>
  <si>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</si>
  <si>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</si>
  <si>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</si>
  <si>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</si>
  <si>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</si>
  <si>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</si>
  <si>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</si>
  <si>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</si>
  <si>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</si>
  <si>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</si>
  <si>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</si>
  <si>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</si>
  <si>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</si>
  <si>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</si>
  <si>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</si>
  <si>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</si>
  <si>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</si>
  <si>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</si>
  <si>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</si>
  <si>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</si>
  <si>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</si>
  <si>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</si>
  <si>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</si>
  <si>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</si>
  <si>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</si>
  <si>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</si>
  <si>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</si>
  <si>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</si>
  <si>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</si>
  <si>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</si>
  <si>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</si>
  <si>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</si>
  <si>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</si>
  <si>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</si>
  <si>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</si>
  <si>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</si>
  <si>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</si>
  <si>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</si>
  <si>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</si>
  <si>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</si>
  <si>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</si>
  <si>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</si>
  <si>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</si>
  <si>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</si>
  <si>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</si>
  <si>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</si>
  <si>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</si>
  <si>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</si>
  <si>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</si>
  <si>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</si>
  <si>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</si>
  <si>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</si>
  <si>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</si>
  <si>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</si>
  <si>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</si>
  <si>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</si>
  <si>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</si>
  <si>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</si>
  <si>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</si>
  <si>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</si>
  <si>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</si>
  <si>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</si>
  <si>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</si>
  <si>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</si>
  <si>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</si>
  <si>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</si>
  <si>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</si>
  <si>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</si>
  <si>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</si>
  <si>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</si>
  <si>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</si>
  <si>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</si>
  <si>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</si>
  <si>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</si>
  <si>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</si>
  <si>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</si>
  <si>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</si>
  <si>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</si>
  <si>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</si>
  <si>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</si>
  <si>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</si>
  <si>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</si>
  <si>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</si>
  <si>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</si>
  <si>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</si>
  <si>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</si>
  <si>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</si>
  <si>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</si>
  <si>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</si>
  <si>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</si>
  <si>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</si>
  <si>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</si>
  <si>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</si>
  <si>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</si>
  <si>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</si>
  <si>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</si>
  <si>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</si>
  <si>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</si>
  <si>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</si>
  <si>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</si>
  <si>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</si>
  <si>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</si>
  <si>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</si>
  <si>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</si>
  <si>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</si>
  <si>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</si>
  <si>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</si>
  <si>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</si>
  <si>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</si>
  <si>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</si>
  <si>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</si>
  <si>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</si>
  <si>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</si>
  <si>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</si>
  <si>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</si>
  <si>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</si>
  <si>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</si>
  <si>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</si>
  <si>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</si>
  <si>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</si>
  <si>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</si>
  <si>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</si>
  <si>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</si>
  <si>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</si>
  <si>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</si>
  <si>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</si>
  <si>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</si>
  <si>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</si>
  <si>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</si>
  <si>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</si>
  <si>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</si>
  <si>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</si>
  <si>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</si>
  <si>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</si>
  <si>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</si>
  <si>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</si>
  <si>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</si>
  <si>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</si>
  <si>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</si>
  <si>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</si>
  <si>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</si>
  <si>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</si>
  <si>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</si>
  <si>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</si>
  <si>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</si>
  <si>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</si>
  <si>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</si>
  <si>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</si>
  <si>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</si>
  <si>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</si>
  <si>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</si>
  <si>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</si>
  <si>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</si>
  <si>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</si>
  <si>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</si>
  <si>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</si>
  <si>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</si>
  <si>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</si>
  <si>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</si>
  <si>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</si>
  <si>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</si>
  <si>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</si>
  <si>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</si>
  <si>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</si>
  <si>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</si>
  <si>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</si>
  <si>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</si>
  <si>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</si>
  <si>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</si>
  <si>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</si>
  <si>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</si>
  <si>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</si>
  <si>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</si>
  <si>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</si>
  <si>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</si>
  <si>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</si>
  <si>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</si>
  <si>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</si>
  <si>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</si>
  <si>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</si>
  <si>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</si>
  <si>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</si>
  <si>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</si>
  <si>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</si>
  <si>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</si>
  <si>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</si>
  <si>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</si>
  <si>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</si>
  <si>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</si>
  <si>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</si>
  <si>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</si>
  <si>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</si>
  <si>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</si>
  <si>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</si>
  <si>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</si>
  <si>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</si>
  <si>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</si>
  <si>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</si>
  <si>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</si>
  <si>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</si>
  <si>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</si>
  <si>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</si>
  <si>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</si>
  <si>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</si>
  <si>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</si>
  <si>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</si>
  <si>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</si>
  <si>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</si>
  <si>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</si>
  <si>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</si>
  <si>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</si>
  <si>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</si>
  <si>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</si>
  <si>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</si>
  <si>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</si>
  <si>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</si>
  <si>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</si>
  <si>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</si>
  <si>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</si>
  <si>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</si>
  <si>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</si>
  <si>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</si>
  <si>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</si>
  <si>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</si>
  <si>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</si>
  <si>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</si>
  <si>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</si>
  <si>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</si>
  <si>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</si>
  <si>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</si>
  <si>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</si>
  <si>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</si>
  <si>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</si>
  <si>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</si>
  <si>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</si>
  <si>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</si>
  <si>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</si>
  <si>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</si>
  <si>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</si>
  <si>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</si>
  <si>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</si>
  <si>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</si>
  <si>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</si>
  <si>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</si>
  <si>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</si>
  <si>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</si>
  <si>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</si>
  <si>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</si>
  <si>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</si>
  <si>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</si>
  <si>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</si>
  <si>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</si>
  <si>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</si>
  <si>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</si>
  <si>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</si>
  <si>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</si>
  <si>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</si>
  <si>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</si>
  <si>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</si>
  <si>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</si>
  <si>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</si>
  <si>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</si>
  <si>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</si>
  <si>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</si>
  <si>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</si>
  <si>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</si>
  <si>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</si>
  <si>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</si>
  <si>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</si>
  <si>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</si>
  <si>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</si>
  <si>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</si>
  <si>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</si>
  <si>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</si>
  <si>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</si>
  <si>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</si>
  <si>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</si>
  <si>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</si>
  <si>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</si>
  <si>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</si>
  <si>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</si>
  <si>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</si>
  <si>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</si>
  <si>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</si>
  <si>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</si>
  <si>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</si>
  <si>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</si>
  <si>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</si>
  <si>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</si>
  <si>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</si>
  <si>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</si>
  <si>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</si>
  <si>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zero for all non-cropland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</si>
  <si>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</si>
  <si>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</si>
  <si>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</si>
  <si>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</si>
  <si>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</si>
  <si>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</si>
  <si>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</si>
  <si>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</si>
  <si>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</si>
  <si>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</si>
  <si>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</si>
  <si>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</si>
  <si>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</si>
  <si>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</si>
  <si>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</si>
  <si>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</si>
  <si>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</si>
  <si>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</si>
  <si>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</si>
  <si>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</si>
  <si>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</si>
  <si>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Dolmite</t>
  </si>
  <si>
    <t>liming_agent_CaO_value</t>
  </si>
  <si>
    <t>REKOMMENDATIONER FÖR GÖDSLING OCH KALKNING 2024, s. 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</si>
</sst>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5" fontId="1" fillId="0" borderId="0" xfId="0" applyNumberFormat="1" applyFont="1"/>
    <xf numFmtId="2" fontId="1" fillId="0" borderId="0" xfId="0" applyNumberFormat="1" applyFont="1"/>
    <xf numFmtId="166" fontId="1" fillId="0" borderId="0" xfId="0" applyNumberFormat="1" applyFont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24"/>
  <sheetViews>
    <sheetView tabSelected="1" topLeftCell="F1" zoomScale="80" zoomScaleNormal="80" workbookViewId="0">
      <pane ySplit="1" topLeftCell="A792" activePane="bottomLeft" state="frozen"/>
      <selection pane="bottomLeft" activeCell="J809" sqref="J809"/>
    </sheetView>
  </sheetViews>
  <sheetFormatPr defaultRowHeight="15" x14ac:dyDescent="0.25"/>
  <cols>
    <col min="1" max="2" width="21" customWidth="1"/>
    <col min="3" max="3" width="13.85546875" customWidth="1"/>
    <col min="4" max="4" width="21" customWidth="1"/>
    <col min="5" max="5" width="31.28515625" bestFit="1" customWidth="1"/>
    <col min="6" max="6" width="14.5703125" bestFit="1" customWidth="1"/>
    <col min="7" max="7" width="6" bestFit="1" customWidth="1"/>
    <col min="8" max="8" width="28.42578125" bestFit="1" customWidth="1"/>
    <col min="9" max="9" width="28.42578125" customWidth="1"/>
    <col min="10" max="15" width="11.140625" customWidth="1"/>
    <col min="16" max="16" width="12.140625" bestFit="1" customWidth="1"/>
    <col min="17" max="17" width="23.7109375" customWidth="1"/>
    <col min="18" max="18" width="11" customWidth="1"/>
    <col min="19" max="19" width="16.5703125" customWidth="1"/>
    <col min="20" max="20" width="35.42578125" customWidth="1"/>
    <col min="21" max="21" width="27.42578125" customWidth="1"/>
  </cols>
  <sheetData>
    <row r="1" spans="1:21" x14ac:dyDescent="0.25">
      <c r="A1" s="1" t="s">
        <v>0</v>
      </c>
      <c r="B1" s="1" t="s">
        <v>230</v>
      </c>
      <c r="C1" s="1" t="s">
        <v>321</v>
      </c>
      <c r="D1" s="1" t="s">
        <v>181</v>
      </c>
      <c r="E1" s="1" t="s">
        <v>175</v>
      </c>
      <c r="F1" s="1" t="s">
        <v>84</v>
      </c>
      <c r="G1" s="1" t="s">
        <v>8</v>
      </c>
      <c r="H1" s="1" t="s">
        <v>146</v>
      </c>
      <c r="I1" s="1" t="s">
        <v>263</v>
      </c>
      <c r="J1" s="1" t="s">
        <v>122</v>
      </c>
      <c r="K1" s="1" t="s">
        <v>123</v>
      </c>
      <c r="L1" s="1" t="s">
        <v>124</v>
      </c>
      <c r="M1" s="1" t="s">
        <v>125</v>
      </c>
      <c r="N1" s="1" t="s">
        <v>196</v>
      </c>
      <c r="O1" s="1" t="s">
        <v>280</v>
      </c>
      <c r="P1" s="1" t="s">
        <v>118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</row>
    <row r="3" spans="1:21" x14ac:dyDescent="0.25">
      <c r="A3" s="2" t="s">
        <v>112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spans="1:21" x14ac:dyDescent="0.25">
      <c r="F4" t="s">
        <v>104</v>
      </c>
      <c r="Q4" t="s">
        <v>109</v>
      </c>
      <c r="R4">
        <v>91</v>
      </c>
      <c r="S4" t="s">
        <v>103</v>
      </c>
      <c r="T4" t="s">
        <v>110</v>
      </c>
      <c r="U4" t="s">
        <v>111</v>
      </c>
    </row>
    <row r="5" spans="1:21" x14ac:dyDescent="0.25">
      <c r="Q5" t="s">
        <v>106</v>
      </c>
      <c r="R5">
        <v>22</v>
      </c>
      <c r="S5" t="s">
        <v>105</v>
      </c>
      <c r="T5" t="s">
        <v>108</v>
      </c>
      <c r="U5" t="s">
        <v>107</v>
      </c>
    </row>
    <row r="7" spans="1:21" x14ac:dyDescent="0.25">
      <c r="A7" s="2" t="s">
        <v>149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5">
      <c r="F8" t="s">
        <v>104</v>
      </c>
      <c r="Q8" s="6" t="s">
        <v>145</v>
      </c>
      <c r="R8" s="6">
        <v>0</v>
      </c>
      <c r="S8" s="6" t="s">
        <v>115</v>
      </c>
      <c r="T8" s="6" t="s">
        <v>150</v>
      </c>
    </row>
    <row r="9" spans="1:21" x14ac:dyDescent="0.25">
      <c r="F9" t="s">
        <v>148</v>
      </c>
      <c r="H9" t="s">
        <v>113</v>
      </c>
      <c r="Q9" t="s">
        <v>145</v>
      </c>
      <c r="R9">
        <v>59</v>
      </c>
      <c r="S9" t="s">
        <v>115</v>
      </c>
      <c r="T9" s="6" t="s">
        <v>117</v>
      </c>
      <c r="U9" t="s">
        <v>116</v>
      </c>
    </row>
    <row r="10" spans="1:21" x14ac:dyDescent="0.25">
      <c r="F10" t="s">
        <v>148</v>
      </c>
      <c r="H10" t="s">
        <v>114</v>
      </c>
      <c r="Q10" t="s">
        <v>145</v>
      </c>
      <c r="R10">
        <v>7</v>
      </c>
      <c r="S10" t="s">
        <v>115</v>
      </c>
      <c r="U10" t="s">
        <v>116</v>
      </c>
    </row>
    <row r="11" spans="1:21" x14ac:dyDescent="0.25">
      <c r="F11" t="s">
        <v>148</v>
      </c>
      <c r="H11" t="s">
        <v>215</v>
      </c>
      <c r="Q11" t="s">
        <v>145</v>
      </c>
      <c r="R11">
        <v>34</v>
      </c>
      <c r="S11" t="s">
        <v>115</v>
      </c>
      <c r="U11" t="s">
        <v>116</v>
      </c>
    </row>
    <row r="13" spans="1:21" x14ac:dyDescent="0.25">
      <c r="F13" t="s">
        <v>104</v>
      </c>
      <c r="Q13" s="6" t="s">
        <v>218</v>
      </c>
      <c r="R13" s="6">
        <v>0</v>
      </c>
      <c r="S13" s="6" t="s">
        <v>217</v>
      </c>
    </row>
    <row r="14" spans="1:21" x14ac:dyDescent="0.25">
      <c r="F14" t="s">
        <v>148</v>
      </c>
      <c r="H14" t="s">
        <v>216</v>
      </c>
      <c r="Q14" t="s">
        <v>218</v>
      </c>
      <c r="R14">
        <v>100</v>
      </c>
      <c r="S14" t="s">
        <v>217</v>
      </c>
      <c r="U14" t="s">
        <v>214</v>
      </c>
    </row>
    <row r="16" spans="1:21" x14ac:dyDescent="0.25">
      <c r="F16" t="s">
        <v>104</v>
      </c>
      <c r="Q16" s="6" t="s">
        <v>219</v>
      </c>
      <c r="R16" s="6">
        <v>0</v>
      </c>
      <c r="S16" s="6" t="s">
        <v>220</v>
      </c>
    </row>
    <row r="17" spans="1:21" x14ac:dyDescent="0.25">
      <c r="F17" t="s">
        <v>148</v>
      </c>
      <c r="H17" t="s">
        <v>221</v>
      </c>
      <c r="Q17" s="6" t="s">
        <v>219</v>
      </c>
      <c r="R17" s="6">
        <v>100</v>
      </c>
      <c r="S17" s="6" t="s">
        <v>220</v>
      </c>
    </row>
    <row r="18" spans="1:21" x14ac:dyDescent="0.25">
      <c r="Q18" s="6"/>
      <c r="R18" s="6"/>
      <c r="S18" s="6"/>
    </row>
    <row r="19" spans="1:21" x14ac:dyDescent="0.25">
      <c r="A19" s="2" t="s">
        <v>311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1" spans="1:21" x14ac:dyDescent="0.25">
      <c r="Q21" t="s">
        <v>310</v>
      </c>
      <c r="R21">
        <v>66</v>
      </c>
      <c r="S21" t="s">
        <v>103</v>
      </c>
      <c r="T21" t="s">
        <v>308</v>
      </c>
      <c r="U21" t="s">
        <v>309</v>
      </c>
    </row>
    <row r="23" spans="1:21" ht="21.75" customHeight="1" x14ac:dyDescent="0.25">
      <c r="A23" s="15" t="s">
        <v>294</v>
      </c>
      <c r="B23" s="15"/>
      <c r="C23" s="15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</row>
    <row r="24" spans="1:21" x14ac:dyDescent="0.25">
      <c r="A24" s="18" t="s">
        <v>300</v>
      </c>
      <c r="B24" s="18"/>
      <c r="C24" s="18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7"/>
      <c r="U24" s="17"/>
    </row>
    <row r="25" spans="1:21" x14ac:dyDescent="0.25">
      <c r="A25" s="18" t="s">
        <v>301</v>
      </c>
      <c r="B25" s="18"/>
      <c r="C25" s="18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7"/>
      <c r="U25" s="17"/>
    </row>
    <row r="26" spans="1:21" ht="17.25" customHeight="1" x14ac:dyDescent="0.25">
      <c r="A26" s="15" t="s">
        <v>296</v>
      </c>
      <c r="B26" s="15"/>
      <c r="C26" s="15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</row>
    <row r="27" spans="1:21" x14ac:dyDescent="0.25">
      <c r="A27" s="2" t="s">
        <v>295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3"/>
      <c r="U27" s="3"/>
    </row>
    <row r="28" spans="1:21" x14ac:dyDescent="0.25">
      <c r="A28" s="18" t="s">
        <v>192</v>
      </c>
      <c r="B28" s="18"/>
      <c r="C28" s="18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7"/>
      <c r="U28" s="17"/>
    </row>
    <row r="29" spans="1:21" x14ac:dyDescent="0.25">
      <c r="A29" s="18" t="s">
        <v>193</v>
      </c>
      <c r="B29" s="18"/>
      <c r="C29" s="18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7"/>
      <c r="U29" s="17"/>
    </row>
    <row r="30" spans="1:21" x14ac:dyDescent="0.25">
      <c r="Q30" s="5" t="s">
        <v>10</v>
      </c>
      <c r="R30" s="5">
        <v>0</v>
      </c>
      <c r="S30" s="5"/>
      <c r="T30" s="5" t="s">
        <v>13</v>
      </c>
    </row>
    <row r="31" spans="1:21" x14ac:dyDescent="0.25">
      <c r="Q31" s="5" t="s">
        <v>11</v>
      </c>
      <c r="R31" s="5">
        <v>0</v>
      </c>
      <c r="S31" s="5"/>
      <c r="T31" s="5" t="s">
        <v>13</v>
      </c>
    </row>
    <row r="32" spans="1:21" x14ac:dyDescent="0.25">
      <c r="Q32" s="5" t="s">
        <v>12</v>
      </c>
      <c r="R32" s="5">
        <v>0</v>
      </c>
      <c r="S32" s="5"/>
      <c r="T32" s="5" t="s">
        <v>13</v>
      </c>
    </row>
    <row r="33" spans="1:20" x14ac:dyDescent="0.25">
      <c r="A33" t="s">
        <v>7</v>
      </c>
      <c r="Q33" t="s">
        <v>10</v>
      </c>
      <c r="R33">
        <v>-0.80359999999999998</v>
      </c>
      <c r="T33" t="s">
        <v>95</v>
      </c>
    </row>
    <row r="34" spans="1:20" x14ac:dyDescent="0.25">
      <c r="A34" t="s">
        <v>7</v>
      </c>
      <c r="Q34" t="s">
        <v>11</v>
      </c>
      <c r="R34">
        <v>24.088999999999999</v>
      </c>
    </row>
    <row r="35" spans="1:20" x14ac:dyDescent="0.25">
      <c r="A35" t="s">
        <v>7</v>
      </c>
      <c r="Q35" t="s">
        <v>12</v>
      </c>
      <c r="R35">
        <v>50.213999999999999</v>
      </c>
    </row>
    <row r="36" spans="1:20" x14ac:dyDescent="0.25">
      <c r="A36" t="s">
        <v>7</v>
      </c>
      <c r="G36" t="s">
        <v>9</v>
      </c>
      <c r="Q36" t="s">
        <v>12</v>
      </c>
      <c r="R36">
        <v>55.213999999999999</v>
      </c>
    </row>
    <row r="37" spans="1:20" x14ac:dyDescent="0.25">
      <c r="A37" t="s">
        <v>7</v>
      </c>
      <c r="E37" t="s">
        <v>90</v>
      </c>
      <c r="Q37" t="s">
        <v>10</v>
      </c>
      <c r="R37">
        <v>-0.71430000000000005</v>
      </c>
      <c r="T37" t="s">
        <v>94</v>
      </c>
    </row>
    <row r="38" spans="1:20" x14ac:dyDescent="0.25">
      <c r="A38" t="s">
        <v>7</v>
      </c>
      <c r="E38" t="s">
        <v>90</v>
      </c>
      <c r="Q38" t="s">
        <v>11</v>
      </c>
      <c r="R38">
        <v>23.143000000000001</v>
      </c>
    </row>
    <row r="39" spans="1:20" x14ac:dyDescent="0.25">
      <c r="A39" t="s">
        <v>7</v>
      </c>
      <c r="E39" t="s">
        <v>90</v>
      </c>
      <c r="Q39" t="s">
        <v>12</v>
      </c>
      <c r="R39">
        <v>42.570999999999998</v>
      </c>
    </row>
    <row r="40" spans="1:20" x14ac:dyDescent="0.25">
      <c r="A40" t="s">
        <v>7</v>
      </c>
      <c r="E40" t="s">
        <v>90</v>
      </c>
      <c r="G40" t="s">
        <v>9</v>
      </c>
      <c r="Q40" t="s">
        <v>12</v>
      </c>
      <c r="R40">
        <v>47.570999999999998</v>
      </c>
    </row>
    <row r="41" spans="1:20" x14ac:dyDescent="0.25">
      <c r="A41" t="s">
        <v>7</v>
      </c>
      <c r="E41" t="s">
        <v>89</v>
      </c>
      <c r="Q41" t="s">
        <v>10</v>
      </c>
      <c r="R41" s="8">
        <f>R37</f>
        <v>-0.71430000000000005</v>
      </c>
      <c r="T41" s="8" t="str">
        <f>T37</f>
        <v>Höstvete foder/bröd, södra götaland</v>
      </c>
    </row>
    <row r="42" spans="1:20" x14ac:dyDescent="0.25">
      <c r="A42" t="s">
        <v>7</v>
      </c>
      <c r="E42" t="s">
        <v>89</v>
      </c>
      <c r="Q42" t="s">
        <v>11</v>
      </c>
      <c r="R42" s="8">
        <f t="shared" ref="R42:R44" si="0">R38</f>
        <v>23.143000000000001</v>
      </c>
    </row>
    <row r="43" spans="1:20" x14ac:dyDescent="0.25">
      <c r="A43" t="s">
        <v>7</v>
      </c>
      <c r="E43" t="s">
        <v>89</v>
      </c>
      <c r="Q43" t="s">
        <v>12</v>
      </c>
      <c r="R43" s="8">
        <f t="shared" si="0"/>
        <v>42.570999999999998</v>
      </c>
    </row>
    <row r="44" spans="1:20" x14ac:dyDescent="0.25">
      <c r="A44" t="s">
        <v>7</v>
      </c>
      <c r="E44" t="s">
        <v>89</v>
      </c>
      <c r="G44" t="s">
        <v>9</v>
      </c>
      <c r="Q44" t="s">
        <v>12</v>
      </c>
      <c r="R44" s="8">
        <f t="shared" si="0"/>
        <v>47.570999999999998</v>
      </c>
    </row>
    <row r="45" spans="1:20" x14ac:dyDescent="0.25">
      <c r="A45" t="s">
        <v>14</v>
      </c>
      <c r="Q45" t="s">
        <v>11</v>
      </c>
      <c r="R45">
        <v>20</v>
      </c>
    </row>
    <row r="46" spans="1:20" x14ac:dyDescent="0.25">
      <c r="A46" t="s">
        <v>14</v>
      </c>
      <c r="Q46" t="s">
        <v>12</v>
      </c>
      <c r="R46">
        <v>70</v>
      </c>
    </row>
    <row r="47" spans="1:20" x14ac:dyDescent="0.25">
      <c r="A47" t="s">
        <v>25</v>
      </c>
      <c r="Q47" t="s">
        <v>10</v>
      </c>
      <c r="R47">
        <v>-1.7857000000000001</v>
      </c>
      <c r="T47" t="s">
        <v>24</v>
      </c>
    </row>
    <row r="48" spans="1:20" x14ac:dyDescent="0.25">
      <c r="A48" t="s">
        <v>25</v>
      </c>
      <c r="Q48" t="s">
        <v>11</v>
      </c>
      <c r="R48">
        <v>30.786000000000001</v>
      </c>
    </row>
    <row r="49" spans="1:20" x14ac:dyDescent="0.25">
      <c r="A49" t="s">
        <v>25</v>
      </c>
      <c r="Q49" t="s">
        <v>12</v>
      </c>
      <c r="R49">
        <v>25</v>
      </c>
    </row>
    <row r="50" spans="1:20" x14ac:dyDescent="0.25">
      <c r="A50" t="s">
        <v>25</v>
      </c>
      <c r="E50" t="s">
        <v>90</v>
      </c>
      <c r="Q50" t="s">
        <v>10</v>
      </c>
      <c r="R50">
        <v>-1.25</v>
      </c>
      <c r="T50" t="s">
        <v>97</v>
      </c>
    </row>
    <row r="51" spans="1:20" x14ac:dyDescent="0.25">
      <c r="A51" t="s">
        <v>25</v>
      </c>
      <c r="E51" t="s">
        <v>90</v>
      </c>
      <c r="Q51" t="s">
        <v>11</v>
      </c>
      <c r="R51">
        <v>27.75</v>
      </c>
    </row>
    <row r="52" spans="1:20" x14ac:dyDescent="0.25">
      <c r="A52" t="s">
        <v>25</v>
      </c>
      <c r="E52" t="s">
        <v>90</v>
      </c>
      <c r="Q52" t="s">
        <v>12</v>
      </c>
      <c r="R52">
        <v>18.25</v>
      </c>
    </row>
    <row r="53" spans="1:20" x14ac:dyDescent="0.25">
      <c r="A53" t="s">
        <v>25</v>
      </c>
      <c r="E53" t="s">
        <v>89</v>
      </c>
      <c r="Q53" t="s">
        <v>10</v>
      </c>
      <c r="R53" s="8">
        <f>R50</f>
        <v>-1.25</v>
      </c>
      <c r="S53" s="8"/>
      <c r="T53" s="8" t="str">
        <f>T50</f>
        <v>Råg, södra götaland</v>
      </c>
    </row>
    <row r="54" spans="1:20" x14ac:dyDescent="0.25">
      <c r="A54" t="s">
        <v>25</v>
      </c>
      <c r="E54" t="s">
        <v>89</v>
      </c>
      <c r="Q54" t="s">
        <v>11</v>
      </c>
      <c r="R54" s="8">
        <f>R51</f>
        <v>27.75</v>
      </c>
      <c r="S54" s="8"/>
      <c r="T54" s="8"/>
    </row>
    <row r="55" spans="1:20" x14ac:dyDescent="0.25">
      <c r="A55" t="s">
        <v>25</v>
      </c>
      <c r="E55" t="s">
        <v>89</v>
      </c>
      <c r="Q55" t="s">
        <v>12</v>
      </c>
      <c r="R55" s="8">
        <f>R52</f>
        <v>18.25</v>
      </c>
      <c r="S55" s="8"/>
      <c r="T55" s="8"/>
    </row>
    <row r="56" spans="1:20" x14ac:dyDescent="0.25">
      <c r="A56" t="s">
        <v>21</v>
      </c>
      <c r="Q56" t="s">
        <v>11</v>
      </c>
      <c r="R56">
        <v>16.856999999999999</v>
      </c>
      <c r="T56" t="s">
        <v>20</v>
      </c>
    </row>
    <row r="57" spans="1:20" x14ac:dyDescent="0.25">
      <c r="A57" t="s">
        <v>21</v>
      </c>
      <c r="Q57" t="s">
        <v>12</v>
      </c>
      <c r="R57">
        <v>59.143000000000001</v>
      </c>
    </row>
    <row r="58" spans="1:20" x14ac:dyDescent="0.25">
      <c r="A58" t="s">
        <v>21</v>
      </c>
      <c r="E58" t="s">
        <v>90</v>
      </c>
      <c r="Q58" t="s">
        <v>10</v>
      </c>
      <c r="R58">
        <v>-0.71430000000000005</v>
      </c>
      <c r="T58" t="s">
        <v>96</v>
      </c>
    </row>
    <row r="59" spans="1:20" x14ac:dyDescent="0.25">
      <c r="A59" t="s">
        <v>21</v>
      </c>
      <c r="E59" t="s">
        <v>90</v>
      </c>
      <c r="Q59" t="s">
        <v>11</v>
      </c>
      <c r="R59">
        <v>23.143000000000001</v>
      </c>
    </row>
    <row r="60" spans="1:20" x14ac:dyDescent="0.25">
      <c r="A60" t="s">
        <v>21</v>
      </c>
      <c r="E60" t="s">
        <v>90</v>
      </c>
      <c r="Q60" t="s">
        <v>12</v>
      </c>
      <c r="R60">
        <v>37.570999999999998</v>
      </c>
    </row>
    <row r="61" spans="1:20" x14ac:dyDescent="0.25">
      <c r="A61" t="s">
        <v>21</v>
      </c>
      <c r="E61" t="s">
        <v>89</v>
      </c>
      <c r="Q61" t="s">
        <v>10</v>
      </c>
      <c r="R61" s="8">
        <f>R58</f>
        <v>-0.71430000000000005</v>
      </c>
      <c r="T61" s="8" t="str">
        <f>T58</f>
        <v>Rågvete/höstkorn, södra götaland</v>
      </c>
    </row>
    <row r="62" spans="1:20" x14ac:dyDescent="0.25">
      <c r="A62" t="s">
        <v>21</v>
      </c>
      <c r="E62" t="s">
        <v>89</v>
      </c>
      <c r="Q62" t="s">
        <v>11</v>
      </c>
      <c r="R62" s="8">
        <f>R59</f>
        <v>23.143000000000001</v>
      </c>
    </row>
    <row r="63" spans="1:20" x14ac:dyDescent="0.25">
      <c r="A63" t="s">
        <v>21</v>
      </c>
      <c r="E63" t="s">
        <v>89</v>
      </c>
      <c r="Q63" t="s">
        <v>12</v>
      </c>
      <c r="R63" s="8">
        <f>R60</f>
        <v>37.570999999999998</v>
      </c>
    </row>
    <row r="64" spans="1:20" x14ac:dyDescent="0.25">
      <c r="A64" t="s">
        <v>15</v>
      </c>
      <c r="Q64" t="s">
        <v>10</v>
      </c>
      <c r="R64">
        <v>-1.0713999999999999</v>
      </c>
      <c r="T64" t="s">
        <v>16</v>
      </c>
    </row>
    <row r="65" spans="1:20" x14ac:dyDescent="0.25">
      <c r="A65" t="s">
        <v>15</v>
      </c>
      <c r="Q65" t="s">
        <v>11</v>
      </c>
      <c r="R65">
        <v>23.928999999999998</v>
      </c>
    </row>
    <row r="66" spans="1:20" x14ac:dyDescent="0.25">
      <c r="A66" t="s">
        <v>15</v>
      </c>
      <c r="Q66" t="s">
        <v>12</v>
      </c>
      <c r="R66">
        <v>32</v>
      </c>
    </row>
    <row r="67" spans="1:20" x14ac:dyDescent="0.25">
      <c r="A67" t="s">
        <v>15</v>
      </c>
      <c r="G67" t="s">
        <v>9</v>
      </c>
      <c r="Q67" t="s">
        <v>10</v>
      </c>
      <c r="R67" s="7">
        <v>1E-13</v>
      </c>
      <c r="T67" t="s">
        <v>17</v>
      </c>
    </row>
    <row r="68" spans="1:20" x14ac:dyDescent="0.25">
      <c r="A68" t="s">
        <v>15</v>
      </c>
      <c r="G68" t="s">
        <v>9</v>
      </c>
      <c r="Q68" t="s">
        <v>11</v>
      </c>
      <c r="R68">
        <v>15</v>
      </c>
    </row>
    <row r="69" spans="1:20" x14ac:dyDescent="0.25">
      <c r="A69" t="s">
        <v>15</v>
      </c>
      <c r="G69" t="s">
        <v>9</v>
      </c>
      <c r="Q69" t="s">
        <v>12</v>
      </c>
      <c r="R69">
        <v>45</v>
      </c>
    </row>
    <row r="70" spans="1:20" x14ac:dyDescent="0.25">
      <c r="A70" t="s">
        <v>15</v>
      </c>
      <c r="E70" t="s">
        <v>90</v>
      </c>
      <c r="Q70" t="s">
        <v>10</v>
      </c>
      <c r="R70">
        <v>-1.25</v>
      </c>
      <c r="T70" t="s">
        <v>98</v>
      </c>
    </row>
    <row r="71" spans="1:20" x14ac:dyDescent="0.25">
      <c r="A71" t="s">
        <v>15</v>
      </c>
      <c r="E71" t="s">
        <v>90</v>
      </c>
      <c r="Q71" t="s">
        <v>11</v>
      </c>
      <c r="R71">
        <v>25.25</v>
      </c>
    </row>
    <row r="72" spans="1:20" x14ac:dyDescent="0.25">
      <c r="A72" t="s">
        <v>15</v>
      </c>
      <c r="E72" t="s">
        <v>90</v>
      </c>
      <c r="Q72" t="s">
        <v>12</v>
      </c>
      <c r="R72">
        <v>19.75</v>
      </c>
    </row>
    <row r="73" spans="1:20" x14ac:dyDescent="0.25">
      <c r="A73" t="s">
        <v>15</v>
      </c>
      <c r="E73" t="s">
        <v>90</v>
      </c>
      <c r="G73" t="s">
        <v>9</v>
      </c>
      <c r="Q73" t="s">
        <v>10</v>
      </c>
      <c r="R73" s="7">
        <v>-2E-12</v>
      </c>
      <c r="T73" t="s">
        <v>99</v>
      </c>
    </row>
    <row r="74" spans="1:20" x14ac:dyDescent="0.25">
      <c r="A74" t="s">
        <v>15</v>
      </c>
      <c r="E74" t="s">
        <v>90</v>
      </c>
      <c r="G74" t="s">
        <v>9</v>
      </c>
      <c r="Q74" t="s">
        <v>11</v>
      </c>
      <c r="R74">
        <v>15</v>
      </c>
    </row>
    <row r="75" spans="1:20" x14ac:dyDescent="0.25">
      <c r="A75" t="s">
        <v>15</v>
      </c>
      <c r="E75" t="s">
        <v>90</v>
      </c>
      <c r="G75" t="s">
        <v>9</v>
      </c>
      <c r="Q75" t="s">
        <v>12</v>
      </c>
      <c r="R75">
        <v>45</v>
      </c>
    </row>
    <row r="76" spans="1:20" x14ac:dyDescent="0.25">
      <c r="A76" t="s">
        <v>15</v>
      </c>
      <c r="E76" t="s">
        <v>89</v>
      </c>
      <c r="Q76" t="s">
        <v>10</v>
      </c>
      <c r="R76" s="8">
        <f t="shared" ref="R76:R81" si="1">R70</f>
        <v>-1.25</v>
      </c>
      <c r="T76" s="8" t="str">
        <f>T70</f>
        <v>Korn foder, södra götaland</v>
      </c>
    </row>
    <row r="77" spans="1:20" x14ac:dyDescent="0.25">
      <c r="A77" t="s">
        <v>15</v>
      </c>
      <c r="E77" t="s">
        <v>89</v>
      </c>
      <c r="Q77" t="s">
        <v>11</v>
      </c>
      <c r="R77" s="8">
        <f t="shared" si="1"/>
        <v>25.25</v>
      </c>
    </row>
    <row r="78" spans="1:20" x14ac:dyDescent="0.25">
      <c r="A78" t="s">
        <v>15</v>
      </c>
      <c r="E78" t="s">
        <v>89</v>
      </c>
      <c r="Q78" t="s">
        <v>12</v>
      </c>
      <c r="R78" s="8">
        <f t="shared" si="1"/>
        <v>19.75</v>
      </c>
    </row>
    <row r="79" spans="1:20" x14ac:dyDescent="0.25">
      <c r="A79" t="s">
        <v>15</v>
      </c>
      <c r="E79" t="s">
        <v>89</v>
      </c>
      <c r="G79" t="s">
        <v>9</v>
      </c>
      <c r="Q79" t="s">
        <v>10</v>
      </c>
      <c r="R79" s="8">
        <f t="shared" si="1"/>
        <v>-2E-12</v>
      </c>
      <c r="T79" s="8" t="str">
        <f>T73</f>
        <v>Korn, malt södra götaland</v>
      </c>
    </row>
    <row r="80" spans="1:20" x14ac:dyDescent="0.25">
      <c r="A80" t="s">
        <v>15</v>
      </c>
      <c r="E80" t="s">
        <v>89</v>
      </c>
      <c r="G80" t="s">
        <v>9</v>
      </c>
      <c r="Q80" t="s">
        <v>11</v>
      </c>
      <c r="R80" s="8">
        <f t="shared" si="1"/>
        <v>15</v>
      </c>
    </row>
    <row r="81" spans="1:20" x14ac:dyDescent="0.25">
      <c r="A81" t="s">
        <v>15</v>
      </c>
      <c r="E81" t="s">
        <v>89</v>
      </c>
      <c r="G81" t="s">
        <v>9</v>
      </c>
      <c r="Q81" t="s">
        <v>12</v>
      </c>
      <c r="R81" s="8">
        <f t="shared" si="1"/>
        <v>45</v>
      </c>
    </row>
    <row r="82" spans="1:20" x14ac:dyDescent="0.25">
      <c r="A82" t="s">
        <v>15</v>
      </c>
      <c r="E82" t="s">
        <v>91</v>
      </c>
      <c r="Q82" t="s">
        <v>10</v>
      </c>
      <c r="R82" s="4">
        <v>0</v>
      </c>
      <c r="T82" t="s">
        <v>101</v>
      </c>
    </row>
    <row r="83" spans="1:20" x14ac:dyDescent="0.25">
      <c r="A83" t="s">
        <v>15</v>
      </c>
      <c r="E83" t="s">
        <v>91</v>
      </c>
      <c r="Q83" t="s">
        <v>11</v>
      </c>
      <c r="R83" s="4">
        <v>20</v>
      </c>
    </row>
    <row r="84" spans="1:20" x14ac:dyDescent="0.25">
      <c r="A84" t="s">
        <v>15</v>
      </c>
      <c r="E84" t="s">
        <v>91</v>
      </c>
      <c r="Q84" t="s">
        <v>12</v>
      </c>
      <c r="R84" s="4">
        <v>35</v>
      </c>
    </row>
    <row r="85" spans="1:20" x14ac:dyDescent="0.25">
      <c r="A85" t="s">
        <v>15</v>
      </c>
      <c r="E85" t="s">
        <v>91</v>
      </c>
      <c r="G85" t="s">
        <v>9</v>
      </c>
      <c r="Q85" t="s">
        <v>10</v>
      </c>
      <c r="R85" s="8">
        <f t="shared" ref="R85:R93" si="2">R82</f>
        <v>0</v>
      </c>
      <c r="T85" s="8" t="str">
        <f>T82</f>
        <v>Korn, norrland</v>
      </c>
    </row>
    <row r="86" spans="1:20" x14ac:dyDescent="0.25">
      <c r="A86" t="s">
        <v>15</v>
      </c>
      <c r="E86" t="s">
        <v>91</v>
      </c>
      <c r="G86" t="s">
        <v>9</v>
      </c>
      <c r="Q86" t="s">
        <v>11</v>
      </c>
      <c r="R86" s="8">
        <f t="shared" si="2"/>
        <v>20</v>
      </c>
    </row>
    <row r="87" spans="1:20" x14ac:dyDescent="0.25">
      <c r="A87" t="s">
        <v>15</v>
      </c>
      <c r="E87" t="s">
        <v>91</v>
      </c>
      <c r="G87" t="s">
        <v>9</v>
      </c>
      <c r="Q87" t="s">
        <v>12</v>
      </c>
      <c r="R87" s="8">
        <f t="shared" si="2"/>
        <v>35</v>
      </c>
    </row>
    <row r="88" spans="1:20" x14ac:dyDescent="0.25">
      <c r="A88" t="s">
        <v>15</v>
      </c>
      <c r="E88" t="s">
        <v>92</v>
      </c>
      <c r="Q88" t="s">
        <v>10</v>
      </c>
      <c r="R88" s="8">
        <f t="shared" si="2"/>
        <v>0</v>
      </c>
      <c r="T88" s="8" t="str">
        <f>T85</f>
        <v>Korn, norrland</v>
      </c>
    </row>
    <row r="89" spans="1:20" x14ac:dyDescent="0.25">
      <c r="A89" t="s">
        <v>15</v>
      </c>
      <c r="E89" t="s">
        <v>92</v>
      </c>
      <c r="Q89" t="s">
        <v>11</v>
      </c>
      <c r="R89" s="8">
        <f t="shared" si="2"/>
        <v>20</v>
      </c>
    </row>
    <row r="90" spans="1:20" x14ac:dyDescent="0.25">
      <c r="A90" t="s">
        <v>15</v>
      </c>
      <c r="E90" t="s">
        <v>92</v>
      </c>
      <c r="Q90" t="s">
        <v>12</v>
      </c>
      <c r="R90" s="8">
        <f t="shared" si="2"/>
        <v>35</v>
      </c>
    </row>
    <row r="91" spans="1:20" x14ac:dyDescent="0.25">
      <c r="A91" t="s">
        <v>15</v>
      </c>
      <c r="E91" t="s">
        <v>92</v>
      </c>
      <c r="G91" t="s">
        <v>9</v>
      </c>
      <c r="Q91" t="s">
        <v>10</v>
      </c>
      <c r="R91" s="8">
        <f t="shared" si="2"/>
        <v>0</v>
      </c>
      <c r="T91" s="8" t="str">
        <f>T88</f>
        <v>Korn, norrland</v>
      </c>
    </row>
    <row r="92" spans="1:20" x14ac:dyDescent="0.25">
      <c r="A92" t="s">
        <v>15</v>
      </c>
      <c r="E92" t="s">
        <v>92</v>
      </c>
      <c r="G92" t="s">
        <v>9</v>
      </c>
      <c r="Q92" t="s">
        <v>11</v>
      </c>
      <c r="R92" s="8">
        <f t="shared" si="2"/>
        <v>20</v>
      </c>
    </row>
    <row r="93" spans="1:20" x14ac:dyDescent="0.25">
      <c r="A93" t="s">
        <v>15</v>
      </c>
      <c r="E93" t="s">
        <v>92</v>
      </c>
      <c r="G93" t="s">
        <v>9</v>
      </c>
      <c r="Q93" t="s">
        <v>12</v>
      </c>
      <c r="R93" s="8">
        <f t="shared" si="2"/>
        <v>35</v>
      </c>
    </row>
    <row r="94" spans="1:20" x14ac:dyDescent="0.25">
      <c r="A94" t="s">
        <v>19</v>
      </c>
      <c r="Q94" t="s">
        <v>10</v>
      </c>
      <c r="R94">
        <v>-1.0713999999999999</v>
      </c>
      <c r="T94" t="s">
        <v>18</v>
      </c>
    </row>
    <row r="95" spans="1:20" x14ac:dyDescent="0.25">
      <c r="A95" t="s">
        <v>19</v>
      </c>
      <c r="Q95" t="s">
        <v>11</v>
      </c>
      <c r="R95">
        <v>23.928999999999998</v>
      </c>
    </row>
    <row r="96" spans="1:20" x14ac:dyDescent="0.25">
      <c r="A96" t="s">
        <v>19</v>
      </c>
      <c r="Q96" t="s">
        <v>12</v>
      </c>
      <c r="R96">
        <v>22</v>
      </c>
    </row>
    <row r="97" spans="1:20" x14ac:dyDescent="0.25">
      <c r="A97" t="s">
        <v>19</v>
      </c>
      <c r="E97" t="s">
        <v>90</v>
      </c>
      <c r="Q97" t="s">
        <v>10</v>
      </c>
      <c r="R97">
        <v>-1.25</v>
      </c>
      <c r="T97" t="s">
        <v>100</v>
      </c>
    </row>
    <row r="98" spans="1:20" x14ac:dyDescent="0.25">
      <c r="A98" t="s">
        <v>19</v>
      </c>
      <c r="E98" t="s">
        <v>90</v>
      </c>
      <c r="Q98" t="s">
        <v>11</v>
      </c>
      <c r="R98">
        <v>25.25</v>
      </c>
    </row>
    <row r="99" spans="1:20" x14ac:dyDescent="0.25">
      <c r="A99" t="s">
        <v>19</v>
      </c>
      <c r="E99" t="s">
        <v>90</v>
      </c>
      <c r="Q99" t="s">
        <v>12</v>
      </c>
      <c r="R99">
        <v>9.75</v>
      </c>
    </row>
    <row r="100" spans="1:20" x14ac:dyDescent="0.25">
      <c r="A100" t="s">
        <v>19</v>
      </c>
      <c r="E100" t="s">
        <v>89</v>
      </c>
      <c r="Q100" t="s">
        <v>10</v>
      </c>
      <c r="R100" s="8">
        <f>R97</f>
        <v>-1.25</v>
      </c>
      <c r="T100" s="8" t="str">
        <f>T97</f>
        <v>Havre södra götaland</v>
      </c>
    </row>
    <row r="101" spans="1:20" x14ac:dyDescent="0.25">
      <c r="A101" t="s">
        <v>19</v>
      </c>
      <c r="E101" t="s">
        <v>89</v>
      </c>
      <c r="Q101" t="s">
        <v>11</v>
      </c>
      <c r="R101" s="8">
        <f>R98</f>
        <v>25.25</v>
      </c>
    </row>
    <row r="102" spans="1:20" x14ac:dyDescent="0.25">
      <c r="A102" t="s">
        <v>19</v>
      </c>
      <c r="E102" t="s">
        <v>89</v>
      </c>
      <c r="Q102" t="s">
        <v>12</v>
      </c>
      <c r="R102" s="8">
        <f>R99</f>
        <v>9.75</v>
      </c>
    </row>
    <row r="103" spans="1:20" s="4" customFormat="1" x14ac:dyDescent="0.25">
      <c r="A103" s="4" t="s">
        <v>266</v>
      </c>
      <c r="Q103" s="4" t="s">
        <v>10</v>
      </c>
      <c r="R103" s="4">
        <v>-1.0713999999999999</v>
      </c>
      <c r="T103" s="4" t="s">
        <v>18</v>
      </c>
    </row>
    <row r="104" spans="1:20" s="4" customFormat="1" x14ac:dyDescent="0.25">
      <c r="A104" s="4" t="s">
        <v>266</v>
      </c>
      <c r="Q104" s="4" t="s">
        <v>11</v>
      </c>
      <c r="R104" s="4">
        <v>23.928999999999998</v>
      </c>
    </row>
    <row r="105" spans="1:20" s="4" customFormat="1" x14ac:dyDescent="0.25">
      <c r="A105" s="4" t="s">
        <v>266</v>
      </c>
      <c r="Q105" s="4" t="s">
        <v>12</v>
      </c>
      <c r="R105" s="4">
        <v>22</v>
      </c>
    </row>
    <row r="106" spans="1:20" s="4" customFormat="1" x14ac:dyDescent="0.25">
      <c r="A106" s="4" t="s">
        <v>266</v>
      </c>
      <c r="E106" s="4" t="s">
        <v>90</v>
      </c>
      <c r="Q106" s="4" t="s">
        <v>10</v>
      </c>
      <c r="R106" s="4">
        <v>-1.25</v>
      </c>
      <c r="T106" s="4" t="s">
        <v>100</v>
      </c>
    </row>
    <row r="107" spans="1:20" s="4" customFormat="1" x14ac:dyDescent="0.25">
      <c r="A107" s="4" t="s">
        <v>266</v>
      </c>
      <c r="E107" s="4" t="s">
        <v>90</v>
      </c>
      <c r="Q107" s="4" t="s">
        <v>11</v>
      </c>
      <c r="R107" s="4">
        <v>25.25</v>
      </c>
    </row>
    <row r="108" spans="1:20" s="4" customFormat="1" x14ac:dyDescent="0.25">
      <c r="A108" s="4" t="s">
        <v>266</v>
      </c>
      <c r="E108" s="4" t="s">
        <v>90</v>
      </c>
      <c r="Q108" s="4" t="s">
        <v>12</v>
      </c>
      <c r="R108" s="4">
        <v>9.75</v>
      </c>
    </row>
    <row r="109" spans="1:20" s="4" customFormat="1" x14ac:dyDescent="0.25">
      <c r="A109" s="4" t="s">
        <v>266</v>
      </c>
      <c r="E109" s="4" t="s">
        <v>89</v>
      </c>
      <c r="Q109" s="4" t="s">
        <v>10</v>
      </c>
      <c r="R109" s="4">
        <f>R106</f>
        <v>-1.25</v>
      </c>
      <c r="T109" s="4" t="str">
        <f>T106</f>
        <v>Havre södra götaland</v>
      </c>
    </row>
    <row r="110" spans="1:20" s="4" customFormat="1" x14ac:dyDescent="0.25">
      <c r="A110" s="4" t="s">
        <v>266</v>
      </c>
      <c r="E110" s="4" t="s">
        <v>89</v>
      </c>
      <c r="Q110" s="4" t="s">
        <v>11</v>
      </c>
      <c r="R110" s="4">
        <f>R107</f>
        <v>25.25</v>
      </c>
    </row>
    <row r="111" spans="1:20" s="4" customFormat="1" x14ac:dyDescent="0.25">
      <c r="A111" s="4" t="s">
        <v>266</v>
      </c>
      <c r="E111" s="4" t="s">
        <v>89</v>
      </c>
      <c r="Q111" s="4" t="s">
        <v>12</v>
      </c>
      <c r="R111" s="4">
        <f>R108</f>
        <v>9.75</v>
      </c>
    </row>
    <row r="112" spans="1:20" x14ac:dyDescent="0.25">
      <c r="A112" t="s">
        <v>23</v>
      </c>
      <c r="Q112" t="s">
        <v>11</v>
      </c>
      <c r="R112" s="8">
        <f>R56</f>
        <v>16.856999999999999</v>
      </c>
      <c r="T112" s="8" t="str">
        <f>T56</f>
        <v>Rågvete/höstkorn, norra  götaland och svealand</v>
      </c>
    </row>
    <row r="113" spans="1:20" x14ac:dyDescent="0.25">
      <c r="A113" t="s">
        <v>23</v>
      </c>
      <c r="Q113" t="s">
        <v>12</v>
      </c>
      <c r="R113" s="8">
        <f>R57</f>
        <v>59.143000000000001</v>
      </c>
    </row>
    <row r="114" spans="1:20" x14ac:dyDescent="0.25">
      <c r="A114" t="s">
        <v>23</v>
      </c>
      <c r="E114" t="s">
        <v>90</v>
      </c>
      <c r="Q114" t="s">
        <v>10</v>
      </c>
      <c r="R114" s="8">
        <f>R61</f>
        <v>-0.71430000000000005</v>
      </c>
      <c r="T114" s="8" t="str">
        <f>T61</f>
        <v>Rågvete/höstkorn, södra götaland</v>
      </c>
    </row>
    <row r="115" spans="1:20" x14ac:dyDescent="0.25">
      <c r="A115" t="s">
        <v>23</v>
      </c>
      <c r="E115" t="s">
        <v>90</v>
      </c>
      <c r="Q115" t="s">
        <v>11</v>
      </c>
      <c r="R115" s="8">
        <f>R62</f>
        <v>23.143000000000001</v>
      </c>
    </row>
    <row r="116" spans="1:20" x14ac:dyDescent="0.25">
      <c r="A116" t="s">
        <v>23</v>
      </c>
      <c r="E116" t="s">
        <v>90</v>
      </c>
      <c r="Q116" t="s">
        <v>12</v>
      </c>
      <c r="R116" s="8">
        <f>R63</f>
        <v>37.570999999999998</v>
      </c>
    </row>
    <row r="117" spans="1:20" x14ac:dyDescent="0.25">
      <c r="A117" t="s">
        <v>23</v>
      </c>
      <c r="E117" t="s">
        <v>89</v>
      </c>
      <c r="Q117" t="s">
        <v>10</v>
      </c>
      <c r="R117" s="8">
        <f>R61</f>
        <v>-0.71430000000000005</v>
      </c>
      <c r="T117" s="8" t="str">
        <f>T61</f>
        <v>Rågvete/höstkorn, södra götaland</v>
      </c>
    </row>
    <row r="118" spans="1:20" x14ac:dyDescent="0.25">
      <c r="A118" t="s">
        <v>23</v>
      </c>
      <c r="E118" t="s">
        <v>89</v>
      </c>
      <c r="Q118" t="s">
        <v>11</v>
      </c>
      <c r="R118" s="8">
        <f>R62</f>
        <v>23.143000000000001</v>
      </c>
    </row>
    <row r="119" spans="1:20" x14ac:dyDescent="0.25">
      <c r="A119" t="s">
        <v>23</v>
      </c>
      <c r="E119" t="s">
        <v>89</v>
      </c>
      <c r="Q119" t="s">
        <v>12</v>
      </c>
      <c r="R119" s="8">
        <f>R63</f>
        <v>37.570999999999998</v>
      </c>
    </row>
    <row r="120" spans="1:20" x14ac:dyDescent="0.25">
      <c r="A120" t="s">
        <v>22</v>
      </c>
      <c r="Q120" t="s">
        <v>11</v>
      </c>
      <c r="R120" s="8">
        <f>R56</f>
        <v>16.856999999999999</v>
      </c>
      <c r="T120" s="8" t="str">
        <f>T56</f>
        <v>Rågvete/höstkorn, norra  götaland och svealand</v>
      </c>
    </row>
    <row r="121" spans="1:20" x14ac:dyDescent="0.25">
      <c r="A121" t="s">
        <v>22</v>
      </c>
      <c r="Q121" t="s">
        <v>12</v>
      </c>
      <c r="R121" s="8">
        <f>R57</f>
        <v>59.143000000000001</v>
      </c>
      <c r="T121" s="8"/>
    </row>
    <row r="122" spans="1:20" x14ac:dyDescent="0.25">
      <c r="A122" t="s">
        <v>22</v>
      </c>
      <c r="E122" t="s">
        <v>90</v>
      </c>
      <c r="Q122" t="s">
        <v>10</v>
      </c>
      <c r="R122" s="8">
        <f>R61</f>
        <v>-0.71430000000000005</v>
      </c>
      <c r="T122" s="8" t="str">
        <f>T61</f>
        <v>Rågvete/höstkorn, södra götaland</v>
      </c>
    </row>
    <row r="123" spans="1:20" x14ac:dyDescent="0.25">
      <c r="A123" t="s">
        <v>22</v>
      </c>
      <c r="E123" t="s">
        <v>90</v>
      </c>
      <c r="Q123" t="s">
        <v>11</v>
      </c>
      <c r="R123" s="8">
        <f>R62</f>
        <v>23.143000000000001</v>
      </c>
      <c r="T123" s="8"/>
    </row>
    <row r="124" spans="1:20" x14ac:dyDescent="0.25">
      <c r="A124" t="s">
        <v>22</v>
      </c>
      <c r="E124" t="s">
        <v>90</v>
      </c>
      <c r="Q124" t="s">
        <v>12</v>
      </c>
      <c r="R124" s="8">
        <f>R63</f>
        <v>37.570999999999998</v>
      </c>
      <c r="T124" s="8"/>
    </row>
    <row r="125" spans="1:20" x14ac:dyDescent="0.25">
      <c r="A125" t="s">
        <v>22</v>
      </c>
      <c r="E125" t="s">
        <v>89</v>
      </c>
      <c r="Q125" t="s">
        <v>10</v>
      </c>
      <c r="R125" s="8">
        <f>R61</f>
        <v>-0.71430000000000005</v>
      </c>
      <c r="T125" s="8" t="str">
        <f>T61</f>
        <v>Rågvete/höstkorn, södra götaland</v>
      </c>
    </row>
    <row r="126" spans="1:20" x14ac:dyDescent="0.25">
      <c r="A126" t="s">
        <v>22</v>
      </c>
      <c r="E126" t="s">
        <v>89</v>
      </c>
      <c r="Q126" t="s">
        <v>11</v>
      </c>
      <c r="R126" s="8">
        <f>R62</f>
        <v>23.143000000000001</v>
      </c>
      <c r="T126" s="8"/>
    </row>
    <row r="127" spans="1:20" x14ac:dyDescent="0.25">
      <c r="A127" t="s">
        <v>22</v>
      </c>
      <c r="E127" t="s">
        <v>89</v>
      </c>
      <c r="Q127" t="s">
        <v>12</v>
      </c>
      <c r="R127" s="8">
        <f>R63</f>
        <v>37.570999999999998</v>
      </c>
      <c r="T127" s="8"/>
    </row>
    <row r="128" spans="1:20" x14ac:dyDescent="0.25">
      <c r="A128" s="6" t="s">
        <v>27</v>
      </c>
      <c r="B128" s="6"/>
      <c r="C128" s="6"/>
      <c r="D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T128" s="6"/>
    </row>
    <row r="129" spans="1:21" x14ac:dyDescent="0.25">
      <c r="A129" t="s">
        <v>26</v>
      </c>
      <c r="Q129" t="s">
        <v>12</v>
      </c>
      <c r="R129">
        <v>50</v>
      </c>
      <c r="T129" t="s">
        <v>74</v>
      </c>
    </row>
    <row r="130" spans="1:21" x14ac:dyDescent="0.25">
      <c r="A130" t="s">
        <v>28</v>
      </c>
      <c r="Q130" t="s">
        <v>12</v>
      </c>
      <c r="R130">
        <v>0</v>
      </c>
      <c r="T130" t="s">
        <v>73</v>
      </c>
    </row>
    <row r="131" spans="1:21" x14ac:dyDescent="0.25">
      <c r="A131" t="s">
        <v>29</v>
      </c>
      <c r="Q131" t="s">
        <v>12</v>
      </c>
      <c r="R131">
        <v>0</v>
      </c>
      <c r="T131" t="s">
        <v>73</v>
      </c>
    </row>
    <row r="132" spans="1:21" s="4" customFormat="1" x14ac:dyDescent="0.25">
      <c r="A132" s="4" t="s">
        <v>267</v>
      </c>
      <c r="Q132" s="4" t="s">
        <v>12</v>
      </c>
      <c r="R132" s="4">
        <v>0</v>
      </c>
      <c r="T132" s="4" t="s">
        <v>268</v>
      </c>
    </row>
    <row r="133" spans="1:21" x14ac:dyDescent="0.25">
      <c r="A133" t="s">
        <v>30</v>
      </c>
      <c r="Q133" t="s">
        <v>12</v>
      </c>
      <c r="R133">
        <v>0</v>
      </c>
      <c r="T133" t="s">
        <v>73</v>
      </c>
    </row>
    <row r="134" spans="1:21" x14ac:dyDescent="0.25">
      <c r="A134" t="s">
        <v>31</v>
      </c>
      <c r="Q134" t="s">
        <v>12</v>
      </c>
      <c r="R134">
        <v>30</v>
      </c>
      <c r="U134" t="s">
        <v>75</v>
      </c>
    </row>
    <row r="135" spans="1:21" s="4" customFormat="1" x14ac:dyDescent="0.25">
      <c r="A135" s="4" t="s">
        <v>269</v>
      </c>
      <c r="Q135" s="4" t="s">
        <v>12</v>
      </c>
      <c r="R135" s="4">
        <v>30</v>
      </c>
      <c r="T135" s="4" t="s">
        <v>270</v>
      </c>
    </row>
    <row r="136" spans="1:21" s="4" customFormat="1" x14ac:dyDescent="0.25">
      <c r="A136" s="4" t="s">
        <v>271</v>
      </c>
      <c r="Q136" s="4" t="s">
        <v>12</v>
      </c>
      <c r="R136" s="4">
        <v>30</v>
      </c>
      <c r="T136" s="4" t="s">
        <v>270</v>
      </c>
    </row>
    <row r="137" spans="1:21" s="4" customFormat="1" x14ac:dyDescent="0.25">
      <c r="A137" s="4" t="s">
        <v>272</v>
      </c>
      <c r="Q137" s="4" t="s">
        <v>12</v>
      </c>
      <c r="R137" s="4">
        <v>75</v>
      </c>
      <c r="U137" s="4" t="s">
        <v>273</v>
      </c>
    </row>
    <row r="138" spans="1:21" x14ac:dyDescent="0.25">
      <c r="A138" t="s">
        <v>32</v>
      </c>
      <c r="Q138" t="s">
        <v>11</v>
      </c>
      <c r="R138">
        <v>20</v>
      </c>
    </row>
    <row r="139" spans="1:21" x14ac:dyDescent="0.25">
      <c r="A139" t="s">
        <v>32</v>
      </c>
      <c r="Q139" t="s">
        <v>12</v>
      </c>
      <c r="R139">
        <v>65</v>
      </c>
    </row>
    <row r="140" spans="1:21" x14ac:dyDescent="0.25">
      <c r="A140" t="s">
        <v>33</v>
      </c>
      <c r="Q140" t="s">
        <v>11</v>
      </c>
      <c r="R140">
        <v>20</v>
      </c>
    </row>
    <row r="141" spans="1:21" x14ac:dyDescent="0.25">
      <c r="A141" t="s">
        <v>33</v>
      </c>
      <c r="Q141" t="s">
        <v>12</v>
      </c>
      <c r="R141">
        <v>70</v>
      </c>
    </row>
    <row r="142" spans="1:21" x14ac:dyDescent="0.25">
      <c r="A142" t="s">
        <v>34</v>
      </c>
      <c r="Q142" t="s">
        <v>10</v>
      </c>
      <c r="R142">
        <v>-2.5000000000000001E-2</v>
      </c>
      <c r="T142" t="s">
        <v>102</v>
      </c>
    </row>
    <row r="143" spans="1:21" x14ac:dyDescent="0.25">
      <c r="A143" t="s">
        <v>34</v>
      </c>
      <c r="Q143" t="s">
        <v>11</v>
      </c>
      <c r="R143">
        <v>4.95</v>
      </c>
    </row>
    <row r="144" spans="1:21" x14ac:dyDescent="0.25">
      <c r="A144" t="s">
        <v>34</v>
      </c>
      <c r="Q144" t="s">
        <v>12</v>
      </c>
      <c r="R144">
        <v>-31.5</v>
      </c>
    </row>
    <row r="145" spans="1:21" x14ac:dyDescent="0.25">
      <c r="A145" t="s">
        <v>35</v>
      </c>
      <c r="Q145" t="s">
        <v>10</v>
      </c>
      <c r="R145" s="8">
        <f>R142</f>
        <v>-2.5000000000000001E-2</v>
      </c>
      <c r="T145" s="8" t="str">
        <f>T142</f>
        <v>Potatis</v>
      </c>
    </row>
    <row r="146" spans="1:21" x14ac:dyDescent="0.25">
      <c r="A146" t="s">
        <v>35</v>
      </c>
      <c r="Q146" t="s">
        <v>11</v>
      </c>
      <c r="R146" s="8">
        <f t="shared" ref="R146:R147" si="3">R143</f>
        <v>4.95</v>
      </c>
    </row>
    <row r="147" spans="1:21" x14ac:dyDescent="0.25">
      <c r="A147" t="s">
        <v>35</v>
      </c>
      <c r="Q147" t="s">
        <v>12</v>
      </c>
      <c r="R147" s="8">
        <f t="shared" si="3"/>
        <v>-31.5</v>
      </c>
    </row>
    <row r="148" spans="1:21" x14ac:dyDescent="0.25">
      <c r="A148" t="s">
        <v>36</v>
      </c>
      <c r="Q148" t="s">
        <v>12</v>
      </c>
      <c r="R148">
        <v>110</v>
      </c>
      <c r="T148" t="s">
        <v>76</v>
      </c>
    </row>
    <row r="149" spans="1:21" x14ac:dyDescent="0.25">
      <c r="A149" s="4" t="s">
        <v>37</v>
      </c>
      <c r="B149" s="6"/>
      <c r="C149" s="6"/>
      <c r="D149" s="6"/>
      <c r="H149" s="6"/>
      <c r="I149" s="6"/>
      <c r="J149" s="6"/>
      <c r="K149" s="6"/>
      <c r="L149" s="6"/>
      <c r="M149" s="6"/>
      <c r="N149" s="6"/>
      <c r="O149" s="6"/>
      <c r="P149" s="6"/>
      <c r="Q149" t="s">
        <v>12</v>
      </c>
      <c r="R149">
        <v>75</v>
      </c>
      <c r="T149" t="s">
        <v>255</v>
      </c>
      <c r="U149" t="s">
        <v>256</v>
      </c>
    </row>
    <row r="150" spans="1:21" x14ac:dyDescent="0.25">
      <c r="A150" s="9" t="s">
        <v>38</v>
      </c>
      <c r="B150" s="9"/>
      <c r="C150" s="9"/>
      <c r="D150" s="9"/>
      <c r="F150" t="s">
        <v>148</v>
      </c>
      <c r="H150" s="9"/>
      <c r="I150" s="9"/>
      <c r="J150" s="9"/>
      <c r="K150" s="9"/>
      <c r="L150" s="9"/>
      <c r="M150" s="9"/>
      <c r="N150" s="9"/>
      <c r="O150" s="9"/>
      <c r="P150" s="9"/>
      <c r="Q150" t="s">
        <v>11</v>
      </c>
      <c r="R150">
        <v>18.5</v>
      </c>
      <c r="T150" t="s">
        <v>312</v>
      </c>
    </row>
    <row r="151" spans="1:21" x14ac:dyDescent="0.25">
      <c r="A151" s="9" t="s">
        <v>38</v>
      </c>
      <c r="B151" s="9"/>
      <c r="C151" s="9"/>
      <c r="D151" s="9"/>
      <c r="F151" t="s">
        <v>148</v>
      </c>
      <c r="H151" s="9"/>
      <c r="I151" s="9"/>
      <c r="J151" s="9"/>
      <c r="K151" s="9"/>
      <c r="L151" s="9"/>
      <c r="M151" s="9"/>
      <c r="N151" s="9"/>
      <c r="O151" s="9"/>
      <c r="P151" s="9"/>
      <c r="Q151" t="s">
        <v>12</v>
      </c>
      <c r="R151">
        <v>20.5</v>
      </c>
    </row>
    <row r="152" spans="1:21" x14ac:dyDescent="0.25">
      <c r="A152" s="9" t="s">
        <v>38</v>
      </c>
      <c r="B152" s="9"/>
      <c r="C152" s="9"/>
      <c r="D152" s="9"/>
      <c r="F152" t="s">
        <v>104</v>
      </c>
      <c r="H152" s="9"/>
      <c r="I152" s="9"/>
      <c r="J152" s="9"/>
      <c r="K152" s="9"/>
      <c r="L152" s="9"/>
      <c r="M152" s="9"/>
      <c r="N152" s="9"/>
      <c r="O152" s="9"/>
      <c r="P152" s="9"/>
      <c r="Q152" t="s">
        <v>11</v>
      </c>
      <c r="R152">
        <v>9</v>
      </c>
      <c r="T152" t="s">
        <v>302</v>
      </c>
    </row>
    <row r="153" spans="1:21" x14ac:dyDescent="0.25">
      <c r="A153" s="9" t="s">
        <v>38</v>
      </c>
      <c r="B153" s="9"/>
      <c r="C153" s="9"/>
      <c r="D153" s="9"/>
      <c r="F153" t="s">
        <v>104</v>
      </c>
      <c r="H153" s="9"/>
      <c r="I153" s="9"/>
      <c r="J153" s="9"/>
      <c r="K153" s="9"/>
      <c r="L153" s="9"/>
      <c r="M153" s="9"/>
      <c r="N153" s="9"/>
      <c r="O153" s="9"/>
      <c r="P153" s="9"/>
      <c r="Q153" t="s">
        <v>12</v>
      </c>
      <c r="R153">
        <v>13</v>
      </c>
    </row>
    <row r="154" spans="1:21" x14ac:dyDescent="0.25">
      <c r="A154" s="9" t="s">
        <v>39</v>
      </c>
      <c r="B154" s="9"/>
      <c r="C154" s="9"/>
      <c r="D154" s="10"/>
      <c r="H154" s="10"/>
      <c r="I154" s="10"/>
      <c r="J154" s="10"/>
      <c r="K154" s="10"/>
      <c r="L154" s="10"/>
      <c r="M154" s="10"/>
      <c r="N154" s="10"/>
      <c r="O154" s="10"/>
      <c r="P154" s="10"/>
      <c r="Q154" t="s">
        <v>12</v>
      </c>
      <c r="R154" s="4">
        <v>11</v>
      </c>
      <c r="S154" s="4"/>
      <c r="T154" s="4" t="s">
        <v>186</v>
      </c>
    </row>
    <row r="155" spans="1:21" x14ac:dyDescent="0.25">
      <c r="A155" s="4" t="s">
        <v>71</v>
      </c>
      <c r="B155" s="4"/>
      <c r="C155" s="4"/>
      <c r="D155" s="4"/>
      <c r="H155" s="4"/>
      <c r="I155" s="4"/>
      <c r="J155" s="4"/>
      <c r="K155" s="4"/>
      <c r="L155" s="4"/>
      <c r="M155" s="4"/>
      <c r="N155" s="4"/>
      <c r="O155" s="4"/>
      <c r="P155" s="4"/>
      <c r="Q155" t="s">
        <v>12</v>
      </c>
      <c r="R155">
        <v>0</v>
      </c>
      <c r="T155" t="s">
        <v>72</v>
      </c>
    </row>
    <row r="156" spans="1:21" x14ac:dyDescent="0.25">
      <c r="A156" s="4" t="s">
        <v>40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 t="s">
        <v>10</v>
      </c>
      <c r="R156" s="4">
        <v>-1.7857000000000001</v>
      </c>
      <c r="T156" s="6"/>
    </row>
    <row r="157" spans="1:21" x14ac:dyDescent="0.25">
      <c r="A157" s="4" t="s">
        <v>40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 t="s">
        <v>11</v>
      </c>
      <c r="R157" s="4">
        <v>43.570999999999998</v>
      </c>
      <c r="T157" s="6"/>
    </row>
    <row r="158" spans="1:21" x14ac:dyDescent="0.25">
      <c r="A158" s="4" t="s">
        <v>40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 t="s">
        <v>12</v>
      </c>
      <c r="R158" s="4">
        <v>-112.5</v>
      </c>
      <c r="T158" s="6"/>
    </row>
    <row r="159" spans="1:21" x14ac:dyDescent="0.25">
      <c r="A159" s="9" t="s">
        <v>41</v>
      </c>
      <c r="B159" s="10"/>
      <c r="C159" s="10"/>
      <c r="D159" s="10"/>
      <c r="H159" s="10"/>
      <c r="I159" s="10"/>
      <c r="J159" s="10"/>
      <c r="K159" s="10"/>
      <c r="L159" s="10"/>
      <c r="M159" s="10"/>
      <c r="N159" s="10"/>
      <c r="O159" s="10"/>
      <c r="P159" s="10"/>
      <c r="Q159" t="s">
        <v>10</v>
      </c>
      <c r="R159" s="24">
        <f>R64</f>
        <v>-1.0713999999999999</v>
      </c>
      <c r="S159" s="24"/>
      <c r="T159" s="24" t="str">
        <f>T64</f>
        <v>Korn, foder, norra götaland och svealand</v>
      </c>
    </row>
    <row r="160" spans="1:21" x14ac:dyDescent="0.25">
      <c r="A160" s="9" t="s">
        <v>41</v>
      </c>
      <c r="B160" s="10"/>
      <c r="C160" s="10"/>
      <c r="D160" s="10"/>
      <c r="H160" s="10"/>
      <c r="I160" s="10"/>
      <c r="J160" s="10"/>
      <c r="K160" s="10"/>
      <c r="L160" s="10"/>
      <c r="M160" s="10"/>
      <c r="N160" s="10"/>
      <c r="O160" s="10"/>
      <c r="P160" s="10"/>
      <c r="Q160" t="s">
        <v>11</v>
      </c>
      <c r="R160" s="24">
        <f>R65</f>
        <v>23.928999999999998</v>
      </c>
      <c r="S160" s="24"/>
      <c r="T160" s="24"/>
    </row>
    <row r="161" spans="1:21" x14ac:dyDescent="0.25">
      <c r="A161" s="9" t="s">
        <v>41</v>
      </c>
      <c r="B161" s="10"/>
      <c r="C161" s="10"/>
      <c r="D161" s="10"/>
      <c r="H161" s="10"/>
      <c r="I161" s="10"/>
      <c r="J161" s="10"/>
      <c r="K161" s="10"/>
      <c r="L161" s="10"/>
      <c r="M161" s="10"/>
      <c r="N161" s="10"/>
      <c r="O161" s="10"/>
      <c r="P161" s="10"/>
      <c r="Q161" t="s">
        <v>12</v>
      </c>
      <c r="R161" s="24">
        <f>R66</f>
        <v>32</v>
      </c>
      <c r="S161" s="24"/>
      <c r="T161" s="24"/>
    </row>
    <row r="162" spans="1:21" x14ac:dyDescent="0.25">
      <c r="A162" s="9" t="s">
        <v>42</v>
      </c>
      <c r="B162" s="10"/>
      <c r="C162" s="10"/>
      <c r="D162" s="10"/>
      <c r="H162" s="10"/>
      <c r="I162" s="10"/>
      <c r="J162" s="10"/>
      <c r="K162" s="10"/>
      <c r="L162" s="10"/>
      <c r="M162" s="10"/>
      <c r="N162" s="10"/>
      <c r="O162" s="10"/>
      <c r="P162" s="10"/>
      <c r="Q162" t="s">
        <v>10</v>
      </c>
      <c r="R162" s="24">
        <f>R64</f>
        <v>-1.0713999999999999</v>
      </c>
      <c r="S162" s="24"/>
      <c r="T162" s="24" t="str">
        <f>T64</f>
        <v>Korn, foder, norra götaland och svealand</v>
      </c>
    </row>
    <row r="163" spans="1:21" x14ac:dyDescent="0.25">
      <c r="A163" s="9" t="s">
        <v>42</v>
      </c>
      <c r="B163" s="10"/>
      <c r="C163" s="10"/>
      <c r="D163" s="10"/>
      <c r="H163" s="10"/>
      <c r="I163" s="10"/>
      <c r="J163" s="10"/>
      <c r="K163" s="10"/>
      <c r="L163" s="10"/>
      <c r="M163" s="10"/>
      <c r="N163" s="10"/>
      <c r="O163" s="10"/>
      <c r="P163" s="10"/>
      <c r="Q163" t="s">
        <v>11</v>
      </c>
      <c r="R163" s="24">
        <f>R65</f>
        <v>23.928999999999998</v>
      </c>
      <c r="S163" s="24"/>
      <c r="T163" s="24"/>
    </row>
    <row r="164" spans="1:21" x14ac:dyDescent="0.25">
      <c r="A164" s="9" t="s">
        <v>42</v>
      </c>
      <c r="B164" s="10"/>
      <c r="C164" s="10"/>
      <c r="D164" s="10"/>
      <c r="H164" s="10"/>
      <c r="I164" s="10"/>
      <c r="J164" s="10"/>
      <c r="K164" s="10"/>
      <c r="L164" s="10"/>
      <c r="M164" s="10"/>
      <c r="N164" s="10"/>
      <c r="O164" s="10"/>
      <c r="P164" s="10"/>
      <c r="Q164" t="s">
        <v>12</v>
      </c>
      <c r="R164" s="24">
        <f>R66</f>
        <v>32</v>
      </c>
      <c r="S164" s="24"/>
      <c r="T164" s="24"/>
    </row>
    <row r="165" spans="1:21" x14ac:dyDescent="0.25">
      <c r="A165" s="9" t="s">
        <v>43</v>
      </c>
      <c r="B165" s="9"/>
      <c r="C165" s="9"/>
      <c r="D165" s="9"/>
      <c r="H165" s="9"/>
      <c r="I165" s="9"/>
      <c r="J165" s="9"/>
      <c r="K165" s="9"/>
      <c r="L165" s="9"/>
      <c r="M165" s="9"/>
      <c r="N165" s="9"/>
      <c r="O165" s="9"/>
      <c r="P165" s="9"/>
      <c r="Q165" t="s">
        <v>12</v>
      </c>
      <c r="R165">
        <v>0</v>
      </c>
      <c r="T165" t="s">
        <v>72</v>
      </c>
    </row>
    <row r="166" spans="1:21" x14ac:dyDescent="0.25">
      <c r="A166" s="9" t="s">
        <v>44</v>
      </c>
      <c r="B166" s="9"/>
      <c r="C166" s="9"/>
      <c r="D166" s="9"/>
      <c r="H166" s="9"/>
      <c r="I166" s="9"/>
      <c r="J166" s="9"/>
      <c r="K166" s="9"/>
      <c r="L166" s="9"/>
      <c r="M166" s="9"/>
      <c r="N166" s="9"/>
      <c r="O166" s="9"/>
      <c r="P166" s="9"/>
      <c r="Q166" t="s">
        <v>12</v>
      </c>
      <c r="R166">
        <v>0</v>
      </c>
      <c r="T166" t="s">
        <v>72</v>
      </c>
    </row>
    <row r="167" spans="1:21" x14ac:dyDescent="0.25">
      <c r="A167" t="s">
        <v>45</v>
      </c>
      <c r="Q167" t="s">
        <v>11</v>
      </c>
      <c r="R167">
        <v>2.5</v>
      </c>
      <c r="T167" t="s">
        <v>79</v>
      </c>
      <c r="U167" t="s">
        <v>80</v>
      </c>
    </row>
    <row r="168" spans="1:21" x14ac:dyDescent="0.25">
      <c r="A168" t="s">
        <v>45</v>
      </c>
      <c r="Q168" t="s">
        <v>12</v>
      </c>
      <c r="R168">
        <v>25</v>
      </c>
    </row>
    <row r="169" spans="1:21" x14ac:dyDescent="0.25">
      <c r="A169" t="s">
        <v>46</v>
      </c>
      <c r="Q169" t="s">
        <v>11</v>
      </c>
      <c r="R169">
        <v>1.3846000000000001</v>
      </c>
      <c r="T169" t="s">
        <v>79</v>
      </c>
      <c r="U169" t="s">
        <v>80</v>
      </c>
    </row>
    <row r="170" spans="1:21" x14ac:dyDescent="0.25">
      <c r="A170" t="s">
        <v>46</v>
      </c>
      <c r="Q170" t="s">
        <v>12</v>
      </c>
      <c r="R170">
        <v>11.538</v>
      </c>
    </row>
    <row r="171" spans="1:21" x14ac:dyDescent="0.25">
      <c r="A171" s="4" t="s">
        <v>47</v>
      </c>
      <c r="B171" s="4"/>
      <c r="C171" s="4"/>
      <c r="D171" s="4"/>
      <c r="H171" s="4"/>
      <c r="I171" s="4"/>
      <c r="J171" s="4"/>
      <c r="K171" s="4"/>
      <c r="L171" s="4"/>
      <c r="M171" s="4"/>
      <c r="N171" s="4"/>
      <c r="O171" s="4"/>
      <c r="P171" s="4"/>
      <c r="Q171" t="s">
        <v>11</v>
      </c>
      <c r="R171" s="8">
        <f>R169</f>
        <v>1.3846000000000001</v>
      </c>
      <c r="T171" s="4" t="s">
        <v>292</v>
      </c>
    </row>
    <row r="172" spans="1:21" x14ac:dyDescent="0.25">
      <c r="A172" s="4" t="s">
        <v>47</v>
      </c>
      <c r="B172" s="4"/>
      <c r="C172" s="4"/>
      <c r="D172" s="4"/>
      <c r="H172" s="4"/>
      <c r="I172" s="4"/>
      <c r="J172" s="4"/>
      <c r="K172" s="4"/>
      <c r="L172" s="4"/>
      <c r="M172" s="4"/>
      <c r="N172" s="4"/>
      <c r="O172" s="4"/>
      <c r="P172" s="4"/>
      <c r="Q172" t="s">
        <v>12</v>
      </c>
      <c r="R172" s="8">
        <f>R170</f>
        <v>11.538</v>
      </c>
    </row>
    <row r="173" spans="1:21" x14ac:dyDescent="0.25">
      <c r="A173" s="4" t="s">
        <v>48</v>
      </c>
      <c r="B173" s="4"/>
      <c r="C173" s="4"/>
      <c r="D173" s="4"/>
      <c r="H173" s="4"/>
      <c r="I173" s="4"/>
      <c r="J173" s="4"/>
      <c r="K173" s="4"/>
      <c r="L173" s="4"/>
      <c r="M173" s="4"/>
      <c r="N173" s="4"/>
      <c r="O173" s="4"/>
      <c r="P173" s="4"/>
      <c r="Q173" t="s">
        <v>11</v>
      </c>
      <c r="R173">
        <v>3.3332999999999999</v>
      </c>
      <c r="T173" t="s">
        <v>81</v>
      </c>
      <c r="U173" t="s">
        <v>80</v>
      </c>
    </row>
    <row r="174" spans="1:21" x14ac:dyDescent="0.25">
      <c r="A174" s="4" t="s">
        <v>48</v>
      </c>
      <c r="B174" s="4"/>
      <c r="C174" s="4"/>
      <c r="D174" s="4"/>
      <c r="H174" s="4"/>
      <c r="I174" s="4"/>
      <c r="J174" s="4"/>
      <c r="K174" s="4"/>
      <c r="L174" s="4"/>
      <c r="M174" s="4"/>
      <c r="N174" s="4"/>
      <c r="O174" s="4"/>
      <c r="P174" s="4"/>
      <c r="Q174" t="s">
        <v>12</v>
      </c>
      <c r="R174">
        <v>33.332999999999998</v>
      </c>
    </row>
    <row r="175" spans="1:21" x14ac:dyDescent="0.25">
      <c r="A175" s="4" t="s">
        <v>49</v>
      </c>
      <c r="B175" s="4"/>
      <c r="C175" s="4"/>
      <c r="D175" s="4"/>
      <c r="H175" s="4"/>
      <c r="I175" s="4"/>
      <c r="J175" s="4"/>
      <c r="K175" s="4"/>
      <c r="L175" s="4"/>
      <c r="M175" s="4"/>
      <c r="N175" s="4"/>
      <c r="O175" s="4"/>
      <c r="P175" s="4"/>
      <c r="Q175" t="s">
        <v>11</v>
      </c>
      <c r="R175">
        <v>3</v>
      </c>
      <c r="T175" t="s">
        <v>82</v>
      </c>
      <c r="U175" t="s">
        <v>80</v>
      </c>
    </row>
    <row r="176" spans="1:21" x14ac:dyDescent="0.25">
      <c r="A176" s="4" t="s">
        <v>49</v>
      </c>
      <c r="B176" s="4"/>
      <c r="C176" s="4"/>
      <c r="D176" s="4"/>
      <c r="H176" s="4"/>
      <c r="I176" s="4"/>
      <c r="J176" s="4"/>
      <c r="K176" s="4"/>
      <c r="L176" s="4"/>
      <c r="M176" s="4"/>
      <c r="N176" s="4"/>
      <c r="O176" s="4"/>
      <c r="P176" s="4"/>
      <c r="Q176" t="s">
        <v>12</v>
      </c>
      <c r="R176">
        <v>90</v>
      </c>
    </row>
    <row r="177" spans="1:21" x14ac:dyDescent="0.25">
      <c r="A177" s="4" t="s">
        <v>50</v>
      </c>
      <c r="B177" s="4"/>
      <c r="C177" s="4"/>
      <c r="D177" s="4"/>
      <c r="H177" s="4"/>
      <c r="I177" s="4"/>
      <c r="J177" s="4"/>
      <c r="K177" s="4"/>
      <c r="L177" s="4"/>
      <c r="M177" s="4"/>
      <c r="N177" s="4"/>
      <c r="O177" s="4"/>
      <c r="P177" s="4"/>
      <c r="Q177" s="4" t="s">
        <v>10</v>
      </c>
      <c r="R177">
        <v>1.7999999999999999E-2</v>
      </c>
      <c r="T177" t="s">
        <v>83</v>
      </c>
      <c r="U177" t="s">
        <v>80</v>
      </c>
    </row>
    <row r="178" spans="1:21" x14ac:dyDescent="0.25">
      <c r="A178" s="4" t="s">
        <v>50</v>
      </c>
      <c r="B178" s="4"/>
      <c r="C178" s="4"/>
      <c r="D178" s="4"/>
      <c r="H178" s="4"/>
      <c r="I178" s="4"/>
      <c r="J178" s="4"/>
      <c r="K178" s="4"/>
      <c r="L178" s="4"/>
      <c r="M178" s="4"/>
      <c r="N178" s="4"/>
      <c r="O178" s="4"/>
      <c r="P178" s="4"/>
      <c r="Q178" t="s">
        <v>11</v>
      </c>
      <c r="R178">
        <v>1.2583</v>
      </c>
    </row>
    <row r="179" spans="1:21" x14ac:dyDescent="0.25">
      <c r="A179" s="4" t="s">
        <v>50</v>
      </c>
      <c r="B179" s="4"/>
      <c r="C179" s="4"/>
      <c r="D179" s="4"/>
      <c r="H179" s="4"/>
      <c r="I179" s="4"/>
      <c r="J179" s="4"/>
      <c r="K179" s="4"/>
      <c r="L179" s="4"/>
      <c r="M179" s="4"/>
      <c r="N179" s="4"/>
      <c r="O179" s="4"/>
      <c r="P179" s="4"/>
      <c r="Q179" t="s">
        <v>12</v>
      </c>
      <c r="R179">
        <v>0</v>
      </c>
    </row>
    <row r="180" spans="1:21" x14ac:dyDescent="0.25">
      <c r="A180" s="4" t="s">
        <v>51</v>
      </c>
      <c r="B180" s="4"/>
      <c r="C180" s="4"/>
      <c r="D180" s="4"/>
      <c r="H180" s="4"/>
      <c r="I180" s="4"/>
      <c r="J180" s="4"/>
      <c r="K180" s="4"/>
      <c r="L180" s="4"/>
      <c r="M180" s="4"/>
      <c r="N180" s="4"/>
      <c r="O180" s="4"/>
      <c r="P180" s="4"/>
      <c r="Q180" s="4" t="s">
        <v>10</v>
      </c>
      <c r="R180" s="8">
        <f>R177</f>
        <v>1.7999999999999999E-2</v>
      </c>
      <c r="T180" s="4" t="s">
        <v>293</v>
      </c>
      <c r="U180" s="8"/>
    </row>
    <row r="181" spans="1:21" x14ac:dyDescent="0.25">
      <c r="A181" s="4" t="s">
        <v>51</v>
      </c>
      <c r="B181" s="4"/>
      <c r="C181" s="4"/>
      <c r="D181" s="4"/>
      <c r="H181" s="4"/>
      <c r="I181" s="4"/>
      <c r="J181" s="4"/>
      <c r="K181" s="4"/>
      <c r="L181" s="4"/>
      <c r="M181" s="4"/>
      <c r="N181" s="4"/>
      <c r="O181" s="4"/>
      <c r="P181" s="4"/>
      <c r="Q181" t="s">
        <v>11</v>
      </c>
      <c r="R181" s="8">
        <f>R178</f>
        <v>1.2583</v>
      </c>
      <c r="S181" s="8"/>
      <c r="T181" s="8"/>
      <c r="U181" s="8"/>
    </row>
    <row r="182" spans="1:21" x14ac:dyDescent="0.25">
      <c r="A182" s="4" t="s">
        <v>51</v>
      </c>
      <c r="B182" s="4"/>
      <c r="C182" s="4"/>
      <c r="D182" s="4"/>
      <c r="H182" s="4"/>
      <c r="I182" s="4"/>
      <c r="J182" s="4"/>
      <c r="K182" s="4"/>
      <c r="L182" s="4"/>
      <c r="M182" s="4"/>
      <c r="N182" s="4"/>
      <c r="O182" s="4"/>
      <c r="P182" s="4"/>
      <c r="Q182" t="s">
        <v>12</v>
      </c>
      <c r="R182" s="8">
        <f>R179</f>
        <v>0</v>
      </c>
      <c r="S182" s="8"/>
      <c r="T182" s="8"/>
      <c r="U182" s="8"/>
    </row>
    <row r="183" spans="1:21" x14ac:dyDescent="0.25">
      <c r="A183" s="4" t="s">
        <v>52</v>
      </c>
      <c r="B183" s="4"/>
      <c r="C183" s="4"/>
      <c r="D183" s="4"/>
      <c r="H183" s="4"/>
      <c r="I183" s="4"/>
      <c r="J183" s="4"/>
      <c r="K183" s="4"/>
      <c r="L183" s="4"/>
      <c r="M183" s="4"/>
      <c r="N183" s="4"/>
      <c r="O183" s="4"/>
      <c r="P183" s="4"/>
      <c r="Q183" t="s">
        <v>11</v>
      </c>
      <c r="R183" s="8">
        <f>R173</f>
        <v>3.3332999999999999</v>
      </c>
      <c r="T183" s="4" t="s">
        <v>291</v>
      </c>
    </row>
    <row r="184" spans="1:21" x14ac:dyDescent="0.25">
      <c r="A184" s="4" t="s">
        <v>52</v>
      </c>
      <c r="B184" s="4"/>
      <c r="C184" s="4"/>
      <c r="D184" s="4"/>
      <c r="H184" s="4"/>
      <c r="I184" s="4"/>
      <c r="J184" s="4"/>
      <c r="K184" s="4"/>
      <c r="L184" s="4"/>
      <c r="M184" s="4"/>
      <c r="N184" s="4"/>
      <c r="O184" s="4"/>
      <c r="P184" s="4"/>
      <c r="Q184" t="s">
        <v>12</v>
      </c>
      <c r="R184" s="8">
        <f>R174</f>
        <v>33.332999999999998</v>
      </c>
    </row>
    <row r="185" spans="1:21" x14ac:dyDescent="0.25">
      <c r="A185" s="4" t="s">
        <v>53</v>
      </c>
      <c r="B185" s="6"/>
      <c r="C185" s="6"/>
      <c r="D185" s="6"/>
      <c r="H185" s="6"/>
      <c r="I185" s="6"/>
      <c r="J185" s="6"/>
      <c r="K185" s="6"/>
      <c r="L185" s="6"/>
      <c r="M185" s="6"/>
      <c r="N185" s="6"/>
      <c r="O185" s="6"/>
      <c r="P185" s="6"/>
      <c r="Q185" t="s">
        <v>11</v>
      </c>
      <c r="R185" s="8">
        <f>R173</f>
        <v>3.3332999999999999</v>
      </c>
      <c r="T185" s="4" t="s">
        <v>291</v>
      </c>
    </row>
    <row r="186" spans="1:21" x14ac:dyDescent="0.25">
      <c r="A186" s="4" t="s">
        <v>53</v>
      </c>
      <c r="B186" s="6"/>
      <c r="C186" s="6"/>
      <c r="D186" s="6"/>
      <c r="H186" s="6"/>
      <c r="I186" s="6"/>
      <c r="J186" s="6"/>
      <c r="K186" s="6"/>
      <c r="L186" s="6"/>
      <c r="M186" s="6"/>
      <c r="N186" s="6"/>
      <c r="O186" s="6"/>
      <c r="P186" s="6"/>
      <c r="Q186" t="s">
        <v>12</v>
      </c>
      <c r="R186" s="8">
        <f>R174</f>
        <v>33.332999999999998</v>
      </c>
    </row>
    <row r="187" spans="1:21" x14ac:dyDescent="0.25">
      <c r="A187" s="4" t="s">
        <v>54</v>
      </c>
      <c r="B187" s="4"/>
      <c r="C187" s="4"/>
      <c r="D187" s="4"/>
      <c r="H187" s="4"/>
      <c r="I187" s="4"/>
      <c r="J187" s="4"/>
      <c r="K187" s="4"/>
      <c r="L187" s="4"/>
      <c r="M187" s="4"/>
      <c r="N187" s="4"/>
      <c r="O187" s="4"/>
      <c r="P187" s="4"/>
      <c r="Q187" t="s">
        <v>12</v>
      </c>
      <c r="R187">
        <v>65</v>
      </c>
      <c r="U187" t="s">
        <v>77</v>
      </c>
    </row>
    <row r="188" spans="1:21" x14ac:dyDescent="0.25">
      <c r="A188" s="6" t="s">
        <v>55</v>
      </c>
      <c r="B188" s="6"/>
      <c r="C188" s="6"/>
      <c r="D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21" x14ac:dyDescent="0.25">
      <c r="A189" s="4" t="s">
        <v>56</v>
      </c>
      <c r="B189" s="4"/>
      <c r="C189" s="4"/>
      <c r="D189" s="4"/>
      <c r="H189" s="4"/>
      <c r="I189" s="4"/>
      <c r="J189" s="4"/>
      <c r="K189" s="4"/>
      <c r="L189" s="4"/>
      <c r="M189" s="4"/>
      <c r="N189" s="4"/>
      <c r="O189" s="4"/>
      <c r="P189" s="4"/>
      <c r="Q189" t="s">
        <v>12</v>
      </c>
      <c r="R189">
        <v>65</v>
      </c>
      <c r="T189" t="s">
        <v>290</v>
      </c>
      <c r="U189" t="s">
        <v>289</v>
      </c>
    </row>
    <row r="190" spans="1:21" x14ac:dyDescent="0.25">
      <c r="A190" s="4" t="s">
        <v>57</v>
      </c>
      <c r="B190" s="4"/>
      <c r="C190" s="4"/>
      <c r="D190" s="4"/>
      <c r="H190" s="4"/>
      <c r="I190" s="4"/>
      <c r="J190" s="4"/>
      <c r="K190" s="4"/>
      <c r="L190" s="4"/>
      <c r="M190" s="4"/>
      <c r="N190" s="4"/>
      <c r="O190" s="4"/>
      <c r="P190" s="4"/>
      <c r="Q190" t="s">
        <v>12</v>
      </c>
      <c r="R190">
        <v>100</v>
      </c>
      <c r="U190" t="s">
        <v>78</v>
      </c>
    </row>
    <row r="191" spans="1:21" x14ac:dyDescent="0.25">
      <c r="A191" s="4" t="s">
        <v>58</v>
      </c>
      <c r="B191" s="4"/>
      <c r="C191" s="4"/>
      <c r="D191" s="4"/>
      <c r="H191" s="4"/>
      <c r="I191" s="4"/>
      <c r="J191" s="4"/>
      <c r="K191" s="4"/>
      <c r="L191" s="4"/>
      <c r="M191" s="4"/>
      <c r="N191" s="4"/>
      <c r="O191" s="4"/>
      <c r="P191" s="4"/>
      <c r="Q191" t="s">
        <v>12</v>
      </c>
      <c r="R191">
        <v>110</v>
      </c>
    </row>
    <row r="192" spans="1:21" x14ac:dyDescent="0.25">
      <c r="A192" s="4" t="s">
        <v>59</v>
      </c>
      <c r="B192" s="4"/>
      <c r="C192" s="4"/>
      <c r="D192" s="4"/>
      <c r="H192" s="4"/>
      <c r="I192" s="4"/>
      <c r="J192" s="4"/>
      <c r="K192" s="4"/>
      <c r="L192" s="4"/>
      <c r="M192" s="4"/>
      <c r="N192" s="4"/>
      <c r="O192" s="4"/>
      <c r="P192" s="4"/>
      <c r="Q192" t="s">
        <v>12</v>
      </c>
      <c r="R192" s="8">
        <f>R190</f>
        <v>100</v>
      </c>
      <c r="T192" s="4" t="s">
        <v>257</v>
      </c>
    </row>
    <row r="193" spans="1:21" x14ac:dyDescent="0.25">
      <c r="A193" s="4" t="s">
        <v>60</v>
      </c>
      <c r="B193" s="6"/>
      <c r="C193" s="6"/>
      <c r="D193" s="6"/>
      <c r="H193" s="6"/>
      <c r="I193" s="6"/>
      <c r="J193" s="6"/>
      <c r="K193" s="6"/>
      <c r="L193" s="6"/>
      <c r="M193" s="6"/>
      <c r="N193" s="6"/>
      <c r="O193" s="6"/>
      <c r="P193" s="6"/>
      <c r="Q193" t="s">
        <v>11</v>
      </c>
      <c r="R193">
        <v>4.2</v>
      </c>
      <c r="U193" t="s">
        <v>307</v>
      </c>
    </row>
    <row r="194" spans="1:21" x14ac:dyDescent="0.25">
      <c r="A194" s="4" t="s">
        <v>61</v>
      </c>
      <c r="B194" s="6"/>
      <c r="C194" s="6"/>
      <c r="D194" s="6"/>
      <c r="H194" s="6"/>
      <c r="I194" s="6"/>
      <c r="J194" s="6"/>
      <c r="K194" s="6"/>
      <c r="L194" s="6"/>
      <c r="M194" s="6"/>
      <c r="N194" s="6"/>
      <c r="O194" s="6"/>
      <c r="P194" s="6"/>
      <c r="Q194" t="s">
        <v>11</v>
      </c>
      <c r="R194" s="4">
        <v>3.3</v>
      </c>
      <c r="U194" t="s">
        <v>307</v>
      </c>
    </row>
    <row r="195" spans="1:21" x14ac:dyDescent="0.25">
      <c r="A195" s="4" t="s">
        <v>62</v>
      </c>
      <c r="B195" s="6"/>
      <c r="C195" s="6"/>
      <c r="D195" s="6"/>
      <c r="H195" s="6"/>
      <c r="I195" s="6"/>
      <c r="J195" s="6"/>
      <c r="K195" s="6"/>
      <c r="L195" s="6"/>
      <c r="M195" s="6"/>
      <c r="N195" s="6"/>
      <c r="O195" s="6"/>
      <c r="P195" s="6"/>
      <c r="Q195" t="s">
        <v>11</v>
      </c>
      <c r="R195" s="24">
        <f>AVERAGE(R193:R194)</f>
        <v>3.75</v>
      </c>
      <c r="T195" s="6" t="s">
        <v>306</v>
      </c>
    </row>
    <row r="196" spans="1:21" x14ac:dyDescent="0.25">
      <c r="A196" s="4" t="s">
        <v>63</v>
      </c>
      <c r="B196" s="6"/>
      <c r="C196" s="6"/>
      <c r="D196" s="6"/>
      <c r="H196" s="6"/>
      <c r="I196" s="6"/>
      <c r="J196" s="6"/>
      <c r="K196" s="6"/>
      <c r="L196" s="6"/>
      <c r="M196" s="6"/>
      <c r="N196" s="6"/>
      <c r="O196" s="6"/>
      <c r="P196" s="6"/>
      <c r="Q196" t="s">
        <v>11</v>
      </c>
      <c r="R196" s="24">
        <f>AVERAGE(R193:R194)</f>
        <v>3.75</v>
      </c>
    </row>
    <row r="197" spans="1:21" x14ac:dyDescent="0.25">
      <c r="A197" s="4" t="s">
        <v>64</v>
      </c>
      <c r="B197" s="6"/>
      <c r="C197" s="6"/>
      <c r="D197" s="6"/>
      <c r="H197" s="6"/>
      <c r="I197" s="6"/>
      <c r="J197" s="6"/>
      <c r="K197" s="6"/>
      <c r="L197" s="6"/>
      <c r="M197" s="6"/>
      <c r="N197" s="6"/>
      <c r="O197" s="6"/>
      <c r="P197" s="6"/>
      <c r="Q197" t="s">
        <v>11</v>
      </c>
      <c r="R197" s="24">
        <f>AVERAGE(R193:R194)</f>
        <v>3.75</v>
      </c>
    </row>
    <row r="198" spans="1:21" x14ac:dyDescent="0.25">
      <c r="A198" s="4" t="s">
        <v>65</v>
      </c>
      <c r="B198" s="6"/>
      <c r="C198" s="6"/>
      <c r="D198" s="6"/>
      <c r="H198" s="6"/>
      <c r="I198" s="6"/>
      <c r="J198" s="6"/>
      <c r="K198" s="6"/>
      <c r="L198" s="6"/>
      <c r="M198" s="6"/>
      <c r="N198" s="6"/>
      <c r="O198" s="6"/>
      <c r="P198" s="6"/>
      <c r="Q198" t="s">
        <v>11</v>
      </c>
      <c r="R198" s="24">
        <f>AVERAGE(R193:R194)</f>
        <v>3.75</v>
      </c>
    </row>
    <row r="199" spans="1:21" x14ac:dyDescent="0.25">
      <c r="A199" s="4" t="s">
        <v>66</v>
      </c>
      <c r="B199" s="6"/>
      <c r="C199" s="6"/>
      <c r="D199" s="6"/>
      <c r="H199" s="6"/>
      <c r="I199" s="6"/>
      <c r="J199" s="6"/>
      <c r="K199" s="6"/>
      <c r="L199" s="6"/>
      <c r="M199" s="6"/>
      <c r="N199" s="6"/>
      <c r="O199" s="6"/>
      <c r="P199" s="6"/>
      <c r="Q199" t="s">
        <v>11</v>
      </c>
      <c r="R199" s="24">
        <f>AVERAGE(R193:R194)</f>
        <v>3.75</v>
      </c>
    </row>
    <row r="200" spans="1:21" x14ac:dyDescent="0.25">
      <c r="A200" s="4" t="s">
        <v>67</v>
      </c>
      <c r="B200" s="4"/>
      <c r="C200" s="4"/>
      <c r="D200" s="4"/>
      <c r="H200" s="4"/>
      <c r="I200" s="4"/>
      <c r="J200" s="4"/>
      <c r="K200" s="4"/>
      <c r="L200" s="4"/>
      <c r="M200" s="4"/>
      <c r="N200" s="4"/>
      <c r="O200" s="4"/>
      <c r="P200" s="4"/>
      <c r="Q200" t="s">
        <v>12</v>
      </c>
      <c r="R200">
        <v>0</v>
      </c>
      <c r="T200" t="s">
        <v>72</v>
      </c>
    </row>
    <row r="201" spans="1:21" x14ac:dyDescent="0.25">
      <c r="A201" s="4" t="s">
        <v>68</v>
      </c>
      <c r="B201" s="6"/>
      <c r="C201" s="6"/>
      <c r="D201" s="6"/>
      <c r="H201" s="6"/>
      <c r="I201" s="6"/>
      <c r="J201" s="6"/>
      <c r="K201" s="6"/>
      <c r="L201" s="6"/>
      <c r="M201" s="6"/>
      <c r="N201" s="6"/>
      <c r="O201" s="6"/>
      <c r="P201" s="6"/>
      <c r="Q201" t="s">
        <v>11</v>
      </c>
      <c r="R201">
        <v>20</v>
      </c>
      <c r="T201" t="s">
        <v>303</v>
      </c>
    </row>
    <row r="202" spans="1:21" x14ac:dyDescent="0.25">
      <c r="A202" s="4" t="s">
        <v>68</v>
      </c>
      <c r="B202" s="6"/>
      <c r="C202" s="6"/>
      <c r="D202" s="6"/>
      <c r="H202" s="6"/>
      <c r="I202" s="6"/>
      <c r="J202" s="6"/>
      <c r="K202" s="6"/>
      <c r="L202" s="6"/>
      <c r="M202" s="6"/>
      <c r="N202" s="6"/>
      <c r="O202" s="6"/>
      <c r="P202" s="6"/>
      <c r="Q202" t="s">
        <v>12</v>
      </c>
      <c r="R202">
        <v>30</v>
      </c>
    </row>
    <row r="203" spans="1:21" x14ac:dyDescent="0.25">
      <c r="A203" s="6" t="s">
        <v>69</v>
      </c>
      <c r="B203" s="6"/>
      <c r="C203" s="6"/>
      <c r="D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21" x14ac:dyDescent="0.25">
      <c r="A204" s="4" t="s">
        <v>70</v>
      </c>
      <c r="B204" s="4"/>
      <c r="C204" s="4"/>
      <c r="D204" s="4"/>
      <c r="H204" s="4"/>
      <c r="I204" s="4"/>
      <c r="J204" s="4"/>
      <c r="K204" s="4"/>
      <c r="L204" s="4"/>
      <c r="M204" s="4"/>
      <c r="N204" s="4"/>
      <c r="O204" s="4"/>
      <c r="P204" s="4"/>
      <c r="Q204" t="s">
        <v>12</v>
      </c>
      <c r="R204">
        <v>0</v>
      </c>
      <c r="T204" t="s">
        <v>72</v>
      </c>
    </row>
    <row r="205" spans="1:21" x14ac:dyDescent="0.25">
      <c r="A205" s="4"/>
      <c r="B205" s="4"/>
      <c r="C205" s="4"/>
      <c r="D205" s="4"/>
      <c r="H205" s="4"/>
      <c r="I205" s="4"/>
      <c r="J205" s="4"/>
      <c r="K205" s="4"/>
      <c r="L205" s="4"/>
      <c r="M205" s="4"/>
      <c r="N205" s="4"/>
      <c r="O205" s="4"/>
      <c r="P205" s="4"/>
    </row>
    <row r="206" spans="1:21" x14ac:dyDescent="0.25">
      <c r="A206" s="2" t="s">
        <v>253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3"/>
      <c r="U206" s="3"/>
    </row>
    <row r="207" spans="1:21" x14ac:dyDescent="0.25">
      <c r="A207" s="4"/>
      <c r="B207" s="4"/>
      <c r="C207" s="4"/>
      <c r="D207" s="4"/>
      <c r="H207" s="4"/>
      <c r="I207" s="4"/>
      <c r="J207" s="4"/>
      <c r="K207" s="4"/>
      <c r="L207" s="4"/>
      <c r="M207" s="4"/>
      <c r="N207" s="4"/>
      <c r="O207" s="4"/>
      <c r="P207" s="4"/>
    </row>
    <row r="208" spans="1:2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 t="s">
        <v>250</v>
      </c>
      <c r="R208" s="5">
        <v>0</v>
      </c>
      <c r="S208" s="5" t="s">
        <v>241</v>
      </c>
      <c r="T208" s="5" t="s">
        <v>13</v>
      </c>
    </row>
    <row r="209" spans="1:21" x14ac:dyDescent="0.25">
      <c r="A209" t="s">
        <v>28</v>
      </c>
      <c r="D209" s="4"/>
      <c r="H209" s="4"/>
      <c r="I209" s="4"/>
      <c r="J209" s="4"/>
      <c r="K209" s="4"/>
      <c r="L209" s="4"/>
      <c r="M209" s="4"/>
      <c r="N209" s="4"/>
      <c r="O209" s="4"/>
      <c r="P209" s="4"/>
      <c r="Q209" t="s">
        <v>250</v>
      </c>
      <c r="R209">
        <v>35</v>
      </c>
      <c r="T209" t="s">
        <v>242</v>
      </c>
      <c r="U209" t="s">
        <v>245</v>
      </c>
    </row>
    <row r="210" spans="1:21" x14ac:dyDescent="0.25">
      <c r="A210" t="s">
        <v>29</v>
      </c>
      <c r="D210" s="4"/>
      <c r="H210" s="4"/>
      <c r="I210" s="4"/>
      <c r="J210" s="4"/>
      <c r="K210" s="4"/>
      <c r="L210" s="4"/>
      <c r="M210" s="4"/>
      <c r="N210" s="4"/>
      <c r="O210" s="4"/>
      <c r="P210" s="4"/>
      <c r="Q210" t="s">
        <v>250</v>
      </c>
      <c r="R210">
        <v>35</v>
      </c>
      <c r="T210" t="s">
        <v>246</v>
      </c>
      <c r="U210" t="s">
        <v>245</v>
      </c>
    </row>
    <row r="211" spans="1:21" x14ac:dyDescent="0.25">
      <c r="A211" t="s">
        <v>30</v>
      </c>
      <c r="B211" s="4"/>
      <c r="C211" s="4"/>
      <c r="D211" s="4"/>
      <c r="H211" s="4"/>
      <c r="I211" s="4"/>
      <c r="J211" s="4"/>
      <c r="K211" s="4"/>
      <c r="L211" s="4"/>
      <c r="M211" s="4"/>
      <c r="N211" s="4"/>
      <c r="O211" s="4"/>
      <c r="P211" s="4"/>
      <c r="Q211" t="s">
        <v>250</v>
      </c>
      <c r="R211">
        <v>25</v>
      </c>
      <c r="T211" t="s">
        <v>243</v>
      </c>
      <c r="U211" t="s">
        <v>245</v>
      </c>
    </row>
    <row r="212" spans="1:21" x14ac:dyDescent="0.25">
      <c r="A212" t="s">
        <v>31</v>
      </c>
      <c r="B212" s="4"/>
      <c r="C212" s="4"/>
      <c r="D212" s="4"/>
      <c r="H212" s="4"/>
      <c r="I212" s="4"/>
      <c r="J212" s="4"/>
      <c r="K212" s="4"/>
      <c r="L212" s="4"/>
      <c r="M212" s="4"/>
      <c r="N212" s="4"/>
      <c r="O212" s="4"/>
      <c r="P212" s="4"/>
      <c r="Q212" t="s">
        <v>250</v>
      </c>
      <c r="R212">
        <v>25</v>
      </c>
      <c r="T212" t="s">
        <v>247</v>
      </c>
      <c r="U212" t="s">
        <v>245</v>
      </c>
    </row>
    <row r="213" spans="1:21" x14ac:dyDescent="0.25">
      <c r="A213" t="s">
        <v>32</v>
      </c>
      <c r="B213" s="4"/>
      <c r="C213" s="4"/>
      <c r="D213" s="4"/>
      <c r="H213" s="4"/>
      <c r="I213" s="4"/>
      <c r="J213" s="4"/>
      <c r="K213" s="4"/>
      <c r="L213" s="4"/>
      <c r="M213" s="4"/>
      <c r="N213" s="4"/>
      <c r="O213" s="4"/>
      <c r="P213" s="4"/>
      <c r="Q213" t="s">
        <v>250</v>
      </c>
      <c r="R213">
        <v>40</v>
      </c>
      <c r="T213" t="s">
        <v>248</v>
      </c>
      <c r="U213" t="s">
        <v>245</v>
      </c>
    </row>
    <row r="214" spans="1:21" x14ac:dyDescent="0.25">
      <c r="A214" t="s">
        <v>33</v>
      </c>
      <c r="B214" s="4"/>
      <c r="C214" s="4"/>
      <c r="D214" s="4"/>
      <c r="H214" s="4"/>
      <c r="I214" s="4"/>
      <c r="J214" s="4"/>
      <c r="K214" s="4"/>
      <c r="L214" s="4"/>
      <c r="M214" s="4"/>
      <c r="N214" s="4"/>
      <c r="O214" s="4"/>
      <c r="P214" s="4"/>
      <c r="Q214" t="s">
        <v>250</v>
      </c>
      <c r="R214">
        <v>20</v>
      </c>
      <c r="T214" t="s">
        <v>249</v>
      </c>
      <c r="U214" t="s">
        <v>245</v>
      </c>
    </row>
    <row r="215" spans="1:21" x14ac:dyDescent="0.25">
      <c r="A215" t="s">
        <v>34</v>
      </c>
      <c r="B215" s="4"/>
      <c r="C215" s="4"/>
      <c r="D215" s="4"/>
      <c r="H215" s="4"/>
      <c r="I215" s="4"/>
      <c r="J215" s="4"/>
      <c r="K215" s="4"/>
      <c r="L215" s="4"/>
      <c r="M215" s="4"/>
      <c r="N215" s="4"/>
      <c r="O215" s="4"/>
      <c r="P215" s="4"/>
      <c r="Q215" t="s">
        <v>250</v>
      </c>
      <c r="R215">
        <v>10</v>
      </c>
      <c r="T215" t="s">
        <v>102</v>
      </c>
      <c r="U215" t="s">
        <v>245</v>
      </c>
    </row>
    <row r="216" spans="1:21" x14ac:dyDescent="0.25">
      <c r="A216" t="s">
        <v>35</v>
      </c>
      <c r="B216" s="4"/>
      <c r="C216" s="4"/>
      <c r="D216" s="4"/>
      <c r="H216" s="4"/>
      <c r="I216" s="4"/>
      <c r="J216" s="4"/>
      <c r="K216" s="4"/>
      <c r="L216" s="4"/>
      <c r="M216" s="4"/>
      <c r="N216" s="4"/>
      <c r="O216" s="4"/>
      <c r="P216" s="4"/>
      <c r="Q216" t="s">
        <v>250</v>
      </c>
      <c r="R216">
        <v>10</v>
      </c>
      <c r="T216" t="s">
        <v>102</v>
      </c>
      <c r="U216" t="s">
        <v>245</v>
      </c>
    </row>
    <row r="217" spans="1:21" x14ac:dyDescent="0.25">
      <c r="A217" t="s">
        <v>36</v>
      </c>
      <c r="B217" s="4"/>
      <c r="C217" s="4"/>
      <c r="D217" s="4"/>
      <c r="H217" s="4"/>
      <c r="I217" s="4"/>
      <c r="J217" s="4"/>
      <c r="K217" s="4"/>
      <c r="L217" s="4"/>
      <c r="M217" s="4"/>
      <c r="N217" s="4"/>
      <c r="O217" s="4"/>
      <c r="P217" s="4"/>
      <c r="Q217" t="s">
        <v>250</v>
      </c>
      <c r="R217">
        <v>25</v>
      </c>
    </row>
    <row r="218" spans="1:21" x14ac:dyDescent="0.25">
      <c r="A218" s="4" t="s">
        <v>37</v>
      </c>
      <c r="B218" s="4"/>
      <c r="C218" s="4"/>
      <c r="D218" s="4"/>
      <c r="H218" s="4"/>
      <c r="I218" s="4"/>
      <c r="J218" s="4"/>
      <c r="K218" s="4"/>
      <c r="L218" s="4"/>
      <c r="M218" s="4"/>
      <c r="N218" s="4"/>
      <c r="O218" s="4"/>
      <c r="P218" s="4"/>
      <c r="Q218" t="s">
        <v>250</v>
      </c>
    </row>
    <row r="219" spans="1:21" x14ac:dyDescent="0.25">
      <c r="A219" s="9" t="s">
        <v>38</v>
      </c>
      <c r="B219" s="4"/>
      <c r="C219" s="4"/>
      <c r="D219" s="4"/>
      <c r="F219" t="s">
        <v>148</v>
      </c>
      <c r="H219" s="4"/>
      <c r="I219" s="4"/>
      <c r="J219" s="4"/>
      <c r="K219" s="4"/>
      <c r="L219" s="4"/>
      <c r="M219" s="4"/>
      <c r="N219" s="4"/>
      <c r="O219" s="4"/>
      <c r="P219" s="4"/>
      <c r="Q219" t="s">
        <v>250</v>
      </c>
      <c r="R219" s="6">
        <v>20</v>
      </c>
      <c r="T219" t="s">
        <v>244</v>
      </c>
      <c r="U219" t="s">
        <v>245</v>
      </c>
    </row>
    <row r="220" spans="1:21" x14ac:dyDescent="0.25">
      <c r="A220" s="9" t="s">
        <v>38</v>
      </c>
      <c r="B220" s="4"/>
      <c r="C220" s="4"/>
      <c r="D220" s="4"/>
      <c r="F220" t="s">
        <v>104</v>
      </c>
      <c r="H220" s="4"/>
      <c r="I220" s="4"/>
      <c r="J220" s="4"/>
      <c r="K220" s="4"/>
      <c r="L220" s="4"/>
      <c r="M220" s="4"/>
      <c r="N220" s="4"/>
      <c r="O220" s="4"/>
      <c r="P220" s="4"/>
      <c r="Q220" t="s">
        <v>250</v>
      </c>
      <c r="R220" s="6">
        <v>40</v>
      </c>
    </row>
    <row r="221" spans="1:21" x14ac:dyDescent="0.25">
      <c r="A221" s="9" t="s">
        <v>39</v>
      </c>
      <c r="B221" s="4"/>
      <c r="C221" s="4"/>
      <c r="D221" s="4"/>
      <c r="F221" t="s">
        <v>148</v>
      </c>
      <c r="H221" s="4"/>
      <c r="I221" s="4"/>
      <c r="J221" s="4"/>
      <c r="K221" s="4"/>
      <c r="L221" s="4"/>
      <c r="M221" s="4"/>
      <c r="N221" s="4"/>
      <c r="O221" s="4"/>
      <c r="P221" s="4"/>
      <c r="Q221" t="s">
        <v>250</v>
      </c>
      <c r="R221" s="6">
        <v>10</v>
      </c>
    </row>
    <row r="222" spans="1:21" x14ac:dyDescent="0.25">
      <c r="A222" s="9" t="s">
        <v>39</v>
      </c>
      <c r="B222" s="4"/>
      <c r="C222" s="4"/>
      <c r="D222" s="4"/>
      <c r="F222" t="s">
        <v>104</v>
      </c>
      <c r="H222" s="4"/>
      <c r="I222" s="4"/>
      <c r="J222" s="4"/>
      <c r="K222" s="4"/>
      <c r="L222" s="4"/>
      <c r="M222" s="4"/>
      <c r="N222" s="4"/>
      <c r="O222" s="4"/>
      <c r="P222" s="4"/>
      <c r="Q222" t="s">
        <v>250</v>
      </c>
      <c r="R222" s="6">
        <v>20</v>
      </c>
    </row>
    <row r="223" spans="1:21" x14ac:dyDescent="0.25">
      <c r="A223" s="4" t="s">
        <v>71</v>
      </c>
      <c r="F223" t="s">
        <v>148</v>
      </c>
      <c r="Q223" t="s">
        <v>250</v>
      </c>
      <c r="R223" s="6">
        <v>10</v>
      </c>
    </row>
    <row r="224" spans="1:21" x14ac:dyDescent="0.25">
      <c r="A224" s="4" t="s">
        <v>71</v>
      </c>
      <c r="F224" t="s">
        <v>104</v>
      </c>
      <c r="Q224" t="s">
        <v>250</v>
      </c>
      <c r="R224" s="6">
        <v>20</v>
      </c>
    </row>
    <row r="225" spans="1:21" x14ac:dyDescent="0.25">
      <c r="A225" s="4" t="s">
        <v>70</v>
      </c>
      <c r="Q225" t="s">
        <v>250</v>
      </c>
      <c r="R225" s="6">
        <v>40</v>
      </c>
    </row>
    <row r="226" spans="1:21" s="4" customFormat="1" x14ac:dyDescent="0.25">
      <c r="A226" s="4" t="s">
        <v>267</v>
      </c>
      <c r="Q226" s="4" t="s">
        <v>250</v>
      </c>
      <c r="R226" s="4">
        <v>35</v>
      </c>
      <c r="T226" s="4" t="s">
        <v>274</v>
      </c>
    </row>
    <row r="227" spans="1:21" s="4" customFormat="1" x14ac:dyDescent="0.25">
      <c r="A227" s="4" t="s">
        <v>275</v>
      </c>
      <c r="Q227" s="4" t="s">
        <v>250</v>
      </c>
      <c r="R227" s="4">
        <v>25</v>
      </c>
      <c r="T227" s="4" t="s">
        <v>276</v>
      </c>
    </row>
    <row r="228" spans="1:21" s="4" customFormat="1" x14ac:dyDescent="0.25">
      <c r="A228" s="4" t="s">
        <v>271</v>
      </c>
      <c r="Q228" s="4" t="s">
        <v>250</v>
      </c>
      <c r="R228" s="4">
        <v>25</v>
      </c>
      <c r="T228" s="4" t="s">
        <v>276</v>
      </c>
    </row>
    <row r="229" spans="1:21" x14ac:dyDescent="0.25">
      <c r="A229" s="4"/>
      <c r="R229" s="6"/>
    </row>
    <row r="230" spans="1:21" x14ac:dyDescent="0.25">
      <c r="A230" s="2" t="s">
        <v>259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3"/>
      <c r="U230" s="3"/>
    </row>
    <row r="231" spans="1:21" x14ac:dyDescent="0.25">
      <c r="A231" s="4"/>
    </row>
    <row r="232" spans="1:21" x14ac:dyDescent="0.25">
      <c r="A232" s="4"/>
      <c r="Q232" t="s">
        <v>251</v>
      </c>
      <c r="R232" s="6">
        <v>40</v>
      </c>
      <c r="S232" t="s">
        <v>252</v>
      </c>
      <c r="T232" t="s">
        <v>254</v>
      </c>
      <c r="U232" t="s">
        <v>258</v>
      </c>
    </row>
    <row r="233" spans="1:21" x14ac:dyDescent="0.25">
      <c r="A233" s="4"/>
      <c r="Q233" t="s">
        <v>260</v>
      </c>
      <c r="R233" s="6">
        <v>40</v>
      </c>
      <c r="S233" t="s">
        <v>252</v>
      </c>
      <c r="T233" t="s">
        <v>261</v>
      </c>
    </row>
    <row r="234" spans="1:21" x14ac:dyDescent="0.25">
      <c r="A234" s="4"/>
    </row>
    <row r="235" spans="1:21" ht="19.5" customHeight="1" x14ac:dyDescent="0.25">
      <c r="A235" s="15" t="s">
        <v>297</v>
      </c>
      <c r="B235" s="15"/>
      <c r="C235" s="15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</row>
    <row r="236" spans="1:21" x14ac:dyDescent="0.25">
      <c r="A236" s="2" t="s">
        <v>222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3"/>
      <c r="U236" s="3"/>
    </row>
    <row r="237" spans="1:21" x14ac:dyDescent="0.25">
      <c r="A237" s="19" t="s">
        <v>227</v>
      </c>
      <c r="B237" s="19"/>
      <c r="C237" s="19"/>
    </row>
    <row r="238" spans="1:21" x14ac:dyDescent="0.25">
      <c r="A238" s="19" t="s">
        <v>228</v>
      </c>
      <c r="B238" s="19"/>
      <c r="C238" s="19"/>
    </row>
    <row r="239" spans="1:21" x14ac:dyDescent="0.25">
      <c r="Q239" s="5" t="s">
        <v>194</v>
      </c>
      <c r="R239" s="5">
        <v>0</v>
      </c>
      <c r="S239" s="5" t="s">
        <v>235</v>
      </c>
      <c r="T239" s="5" t="s">
        <v>151</v>
      </c>
    </row>
    <row r="240" spans="1:21" x14ac:dyDescent="0.25">
      <c r="Q240" s="5" t="s">
        <v>195</v>
      </c>
      <c r="R240" s="5">
        <v>0</v>
      </c>
      <c r="S240" s="5" t="s">
        <v>105</v>
      </c>
      <c r="T240" s="5" t="s">
        <v>151</v>
      </c>
    </row>
    <row r="241" spans="1:20" x14ac:dyDescent="0.25">
      <c r="A241" s="21" t="s">
        <v>202</v>
      </c>
      <c r="B241" s="21"/>
      <c r="C241" s="21"/>
      <c r="Q241" s="5"/>
      <c r="R241" s="5"/>
      <c r="S241" s="5"/>
      <c r="T241" s="5"/>
    </row>
    <row r="242" spans="1:20" x14ac:dyDescent="0.25">
      <c r="A242" t="s">
        <v>7</v>
      </c>
      <c r="N242" t="s">
        <v>197</v>
      </c>
      <c r="Q242" t="s">
        <v>194</v>
      </c>
      <c r="R242">
        <v>3</v>
      </c>
    </row>
    <row r="243" spans="1:20" x14ac:dyDescent="0.25">
      <c r="A243" t="s">
        <v>7</v>
      </c>
      <c r="N243" t="s">
        <v>198</v>
      </c>
      <c r="Q243" t="s">
        <v>194</v>
      </c>
      <c r="R243">
        <v>3</v>
      </c>
    </row>
    <row r="244" spans="1:20" x14ac:dyDescent="0.25">
      <c r="A244" t="s">
        <v>7</v>
      </c>
      <c r="N244" t="s">
        <v>199</v>
      </c>
      <c r="Q244" t="s">
        <v>194</v>
      </c>
      <c r="R244">
        <v>3</v>
      </c>
    </row>
    <row r="245" spans="1:20" x14ac:dyDescent="0.25">
      <c r="A245" t="s">
        <v>7</v>
      </c>
      <c r="N245" t="s">
        <v>200</v>
      </c>
      <c r="Q245" t="s">
        <v>194</v>
      </c>
      <c r="R245">
        <v>3</v>
      </c>
    </row>
    <row r="246" spans="1:20" x14ac:dyDescent="0.25">
      <c r="A246" t="s">
        <v>7</v>
      </c>
      <c r="N246" t="s">
        <v>197</v>
      </c>
      <c r="Q246" t="s">
        <v>195</v>
      </c>
      <c r="R246">
        <v>9</v>
      </c>
    </row>
    <row r="247" spans="1:20" x14ac:dyDescent="0.25">
      <c r="A247" t="s">
        <v>7</v>
      </c>
      <c r="N247" t="s">
        <v>198</v>
      </c>
      <c r="Q247" t="s">
        <v>195</v>
      </c>
      <c r="R247">
        <v>4</v>
      </c>
    </row>
    <row r="248" spans="1:20" x14ac:dyDescent="0.25">
      <c r="A248" t="s">
        <v>7</v>
      </c>
      <c r="N248" t="s">
        <v>199</v>
      </c>
      <c r="Q248" t="s">
        <v>195</v>
      </c>
      <c r="R248">
        <v>-6</v>
      </c>
    </row>
    <row r="249" spans="1:20" x14ac:dyDescent="0.25">
      <c r="A249" t="s">
        <v>7</v>
      </c>
      <c r="N249" t="s">
        <v>200</v>
      </c>
      <c r="Q249" t="s">
        <v>195</v>
      </c>
      <c r="R249">
        <v>-16</v>
      </c>
    </row>
    <row r="250" spans="1:20" x14ac:dyDescent="0.25">
      <c r="A250" t="s">
        <v>25</v>
      </c>
      <c r="N250" t="s">
        <v>197</v>
      </c>
      <c r="Q250" t="s">
        <v>194</v>
      </c>
      <c r="R250" s="20">
        <f>R242</f>
        <v>3</v>
      </c>
    </row>
    <row r="251" spans="1:20" x14ac:dyDescent="0.25">
      <c r="A251" t="s">
        <v>25</v>
      </c>
      <c r="N251" t="s">
        <v>198</v>
      </c>
      <c r="Q251" t="s">
        <v>194</v>
      </c>
      <c r="R251" s="20">
        <f t="shared" ref="R251:R257" si="4">R243</f>
        <v>3</v>
      </c>
    </row>
    <row r="252" spans="1:20" x14ac:dyDescent="0.25">
      <c r="A252" t="s">
        <v>25</v>
      </c>
      <c r="N252" t="s">
        <v>199</v>
      </c>
      <c r="Q252" t="s">
        <v>194</v>
      </c>
      <c r="R252" s="20">
        <f t="shared" si="4"/>
        <v>3</v>
      </c>
    </row>
    <row r="253" spans="1:20" x14ac:dyDescent="0.25">
      <c r="A253" t="s">
        <v>25</v>
      </c>
      <c r="N253" t="s">
        <v>200</v>
      </c>
      <c r="Q253" t="s">
        <v>194</v>
      </c>
      <c r="R253" s="20">
        <f t="shared" si="4"/>
        <v>3</v>
      </c>
    </row>
    <row r="254" spans="1:20" x14ac:dyDescent="0.25">
      <c r="A254" t="s">
        <v>25</v>
      </c>
      <c r="N254" t="s">
        <v>197</v>
      </c>
      <c r="Q254" t="s">
        <v>195</v>
      </c>
      <c r="R254" s="20">
        <f t="shared" si="4"/>
        <v>9</v>
      </c>
    </row>
    <row r="255" spans="1:20" x14ac:dyDescent="0.25">
      <c r="A255" t="s">
        <v>25</v>
      </c>
      <c r="N255" t="s">
        <v>198</v>
      </c>
      <c r="Q255" t="s">
        <v>195</v>
      </c>
      <c r="R255" s="20">
        <f t="shared" si="4"/>
        <v>4</v>
      </c>
    </row>
    <row r="256" spans="1:20" x14ac:dyDescent="0.25">
      <c r="A256" t="s">
        <v>25</v>
      </c>
      <c r="N256" t="s">
        <v>199</v>
      </c>
      <c r="Q256" t="s">
        <v>195</v>
      </c>
      <c r="R256" s="20">
        <f t="shared" si="4"/>
        <v>-6</v>
      </c>
    </row>
    <row r="257" spans="1:18" x14ac:dyDescent="0.25">
      <c r="A257" t="s">
        <v>25</v>
      </c>
      <c r="N257" t="s">
        <v>200</v>
      </c>
      <c r="Q257" t="s">
        <v>195</v>
      </c>
      <c r="R257" s="20">
        <f t="shared" si="4"/>
        <v>-16</v>
      </c>
    </row>
    <row r="258" spans="1:18" x14ac:dyDescent="0.25">
      <c r="A258" t="s">
        <v>21</v>
      </c>
      <c r="N258" t="s">
        <v>197</v>
      </c>
      <c r="Q258" t="s">
        <v>194</v>
      </c>
      <c r="R258" s="20">
        <f>R242</f>
        <v>3</v>
      </c>
    </row>
    <row r="259" spans="1:18" x14ac:dyDescent="0.25">
      <c r="A259" t="s">
        <v>21</v>
      </c>
      <c r="N259" t="s">
        <v>198</v>
      </c>
      <c r="Q259" t="s">
        <v>194</v>
      </c>
      <c r="R259" s="20">
        <f t="shared" ref="R259:R265" si="5">R243</f>
        <v>3</v>
      </c>
    </row>
    <row r="260" spans="1:18" x14ac:dyDescent="0.25">
      <c r="A260" t="s">
        <v>21</v>
      </c>
      <c r="N260" t="s">
        <v>199</v>
      </c>
      <c r="Q260" t="s">
        <v>194</v>
      </c>
      <c r="R260" s="20">
        <f t="shared" si="5"/>
        <v>3</v>
      </c>
    </row>
    <row r="261" spans="1:18" x14ac:dyDescent="0.25">
      <c r="A261" t="s">
        <v>21</v>
      </c>
      <c r="N261" t="s">
        <v>200</v>
      </c>
      <c r="Q261" t="s">
        <v>194</v>
      </c>
      <c r="R261" s="20">
        <f t="shared" si="5"/>
        <v>3</v>
      </c>
    </row>
    <row r="262" spans="1:18" x14ac:dyDescent="0.25">
      <c r="A262" t="s">
        <v>21</v>
      </c>
      <c r="N262" t="s">
        <v>197</v>
      </c>
      <c r="Q262" t="s">
        <v>195</v>
      </c>
      <c r="R262" s="20">
        <f t="shared" si="5"/>
        <v>9</v>
      </c>
    </row>
    <row r="263" spans="1:18" x14ac:dyDescent="0.25">
      <c r="A263" t="s">
        <v>21</v>
      </c>
      <c r="N263" t="s">
        <v>198</v>
      </c>
      <c r="Q263" t="s">
        <v>195</v>
      </c>
      <c r="R263" s="20">
        <f t="shared" si="5"/>
        <v>4</v>
      </c>
    </row>
    <row r="264" spans="1:18" x14ac:dyDescent="0.25">
      <c r="A264" t="s">
        <v>21</v>
      </c>
      <c r="N264" t="s">
        <v>199</v>
      </c>
      <c r="Q264" t="s">
        <v>195</v>
      </c>
      <c r="R264" s="20">
        <f t="shared" si="5"/>
        <v>-6</v>
      </c>
    </row>
    <row r="265" spans="1:18" x14ac:dyDescent="0.25">
      <c r="A265" t="s">
        <v>21</v>
      </c>
      <c r="N265" t="s">
        <v>200</v>
      </c>
      <c r="Q265" t="s">
        <v>195</v>
      </c>
      <c r="R265" s="20">
        <f t="shared" si="5"/>
        <v>-16</v>
      </c>
    </row>
    <row r="266" spans="1:18" x14ac:dyDescent="0.25">
      <c r="A266" t="s">
        <v>23</v>
      </c>
      <c r="N266" t="s">
        <v>197</v>
      </c>
      <c r="Q266" t="s">
        <v>194</v>
      </c>
      <c r="R266" s="20">
        <f>R242</f>
        <v>3</v>
      </c>
    </row>
    <row r="267" spans="1:18" x14ac:dyDescent="0.25">
      <c r="A267" t="s">
        <v>23</v>
      </c>
      <c r="N267" t="s">
        <v>198</v>
      </c>
      <c r="Q267" t="s">
        <v>194</v>
      </c>
      <c r="R267" s="20">
        <f t="shared" ref="R267:R273" si="6">R243</f>
        <v>3</v>
      </c>
    </row>
    <row r="268" spans="1:18" x14ac:dyDescent="0.25">
      <c r="A268" t="s">
        <v>23</v>
      </c>
      <c r="N268" t="s">
        <v>199</v>
      </c>
      <c r="Q268" t="s">
        <v>194</v>
      </c>
      <c r="R268" s="20">
        <f t="shared" si="6"/>
        <v>3</v>
      </c>
    </row>
    <row r="269" spans="1:18" x14ac:dyDescent="0.25">
      <c r="A269" t="s">
        <v>23</v>
      </c>
      <c r="N269" t="s">
        <v>200</v>
      </c>
      <c r="Q269" t="s">
        <v>194</v>
      </c>
      <c r="R269" s="20">
        <f t="shared" si="6"/>
        <v>3</v>
      </c>
    </row>
    <row r="270" spans="1:18" x14ac:dyDescent="0.25">
      <c r="A270" t="s">
        <v>23</v>
      </c>
      <c r="N270" t="s">
        <v>197</v>
      </c>
      <c r="Q270" t="s">
        <v>195</v>
      </c>
      <c r="R270" s="20">
        <f t="shared" si="6"/>
        <v>9</v>
      </c>
    </row>
    <row r="271" spans="1:18" x14ac:dyDescent="0.25">
      <c r="A271" t="s">
        <v>23</v>
      </c>
      <c r="N271" t="s">
        <v>198</v>
      </c>
      <c r="Q271" t="s">
        <v>195</v>
      </c>
      <c r="R271" s="20">
        <f t="shared" si="6"/>
        <v>4</v>
      </c>
    </row>
    <row r="272" spans="1:18" x14ac:dyDescent="0.25">
      <c r="A272" t="s">
        <v>23</v>
      </c>
      <c r="N272" t="s">
        <v>199</v>
      </c>
      <c r="Q272" t="s">
        <v>195</v>
      </c>
      <c r="R272" s="20">
        <f t="shared" si="6"/>
        <v>-6</v>
      </c>
    </row>
    <row r="273" spans="1:18" x14ac:dyDescent="0.25">
      <c r="A273" t="s">
        <v>23</v>
      </c>
      <c r="N273" t="s">
        <v>200</v>
      </c>
      <c r="Q273" t="s">
        <v>195</v>
      </c>
      <c r="R273" s="20">
        <f t="shared" si="6"/>
        <v>-16</v>
      </c>
    </row>
    <row r="275" spans="1:18" x14ac:dyDescent="0.25">
      <c r="A275" s="21" t="s">
        <v>203</v>
      </c>
      <c r="B275" s="21"/>
      <c r="C275" s="21"/>
    </row>
    <row r="276" spans="1:18" x14ac:dyDescent="0.25">
      <c r="A276" t="s">
        <v>14</v>
      </c>
      <c r="N276" t="s">
        <v>197</v>
      </c>
      <c r="Q276" t="s">
        <v>194</v>
      </c>
      <c r="R276">
        <v>3</v>
      </c>
    </row>
    <row r="277" spans="1:18" x14ac:dyDescent="0.25">
      <c r="A277" t="s">
        <v>14</v>
      </c>
      <c r="N277" t="s">
        <v>198</v>
      </c>
      <c r="Q277" t="s">
        <v>194</v>
      </c>
      <c r="R277">
        <v>3</v>
      </c>
    </row>
    <row r="278" spans="1:18" x14ac:dyDescent="0.25">
      <c r="A278" t="s">
        <v>14</v>
      </c>
      <c r="N278" t="s">
        <v>199</v>
      </c>
      <c r="Q278" t="s">
        <v>194</v>
      </c>
      <c r="R278">
        <v>3</v>
      </c>
    </row>
    <row r="279" spans="1:18" x14ac:dyDescent="0.25">
      <c r="A279" t="s">
        <v>14</v>
      </c>
      <c r="N279" t="s">
        <v>200</v>
      </c>
      <c r="Q279" t="s">
        <v>194</v>
      </c>
      <c r="R279">
        <v>3</v>
      </c>
    </row>
    <row r="280" spans="1:18" x14ac:dyDescent="0.25">
      <c r="A280" t="s">
        <v>14</v>
      </c>
      <c r="N280" t="s">
        <v>197</v>
      </c>
      <c r="Q280" t="s">
        <v>195</v>
      </c>
      <c r="R280">
        <v>10</v>
      </c>
    </row>
    <row r="281" spans="1:18" x14ac:dyDescent="0.25">
      <c r="A281" t="s">
        <v>14</v>
      </c>
      <c r="N281" t="s">
        <v>198</v>
      </c>
      <c r="Q281" t="s">
        <v>195</v>
      </c>
      <c r="R281">
        <v>5</v>
      </c>
    </row>
    <row r="282" spans="1:18" x14ac:dyDescent="0.25">
      <c r="A282" t="s">
        <v>14</v>
      </c>
      <c r="N282" t="s">
        <v>199</v>
      </c>
      <c r="Q282" t="s">
        <v>195</v>
      </c>
      <c r="R282">
        <v>0</v>
      </c>
    </row>
    <row r="283" spans="1:18" x14ac:dyDescent="0.25">
      <c r="A283" t="s">
        <v>14</v>
      </c>
      <c r="N283" t="s">
        <v>200</v>
      </c>
      <c r="Q283" t="s">
        <v>195</v>
      </c>
      <c r="R283">
        <v>-10</v>
      </c>
    </row>
    <row r="284" spans="1:18" x14ac:dyDescent="0.25">
      <c r="A284" t="s">
        <v>15</v>
      </c>
      <c r="N284" t="s">
        <v>197</v>
      </c>
      <c r="Q284" t="s">
        <v>194</v>
      </c>
      <c r="R284" s="20">
        <f>R276</f>
        <v>3</v>
      </c>
    </row>
    <row r="285" spans="1:18" x14ac:dyDescent="0.25">
      <c r="A285" t="s">
        <v>15</v>
      </c>
      <c r="N285" t="s">
        <v>198</v>
      </c>
      <c r="Q285" t="s">
        <v>194</v>
      </c>
      <c r="R285" s="20">
        <f t="shared" ref="R285:R291" si="7">R277</f>
        <v>3</v>
      </c>
    </row>
    <row r="286" spans="1:18" x14ac:dyDescent="0.25">
      <c r="A286" t="s">
        <v>15</v>
      </c>
      <c r="N286" t="s">
        <v>199</v>
      </c>
      <c r="Q286" t="s">
        <v>194</v>
      </c>
      <c r="R286" s="20">
        <f t="shared" si="7"/>
        <v>3</v>
      </c>
    </row>
    <row r="287" spans="1:18" x14ac:dyDescent="0.25">
      <c r="A287" t="s">
        <v>15</v>
      </c>
      <c r="N287" t="s">
        <v>200</v>
      </c>
      <c r="Q287" t="s">
        <v>194</v>
      </c>
      <c r="R287" s="20">
        <f t="shared" si="7"/>
        <v>3</v>
      </c>
    </row>
    <row r="288" spans="1:18" x14ac:dyDescent="0.25">
      <c r="A288" t="s">
        <v>15</v>
      </c>
      <c r="N288" t="s">
        <v>197</v>
      </c>
      <c r="Q288" t="s">
        <v>195</v>
      </c>
      <c r="R288" s="20">
        <f t="shared" si="7"/>
        <v>10</v>
      </c>
    </row>
    <row r="289" spans="1:18" x14ac:dyDescent="0.25">
      <c r="A289" t="s">
        <v>15</v>
      </c>
      <c r="N289" t="s">
        <v>198</v>
      </c>
      <c r="Q289" t="s">
        <v>195</v>
      </c>
      <c r="R289" s="20">
        <f t="shared" si="7"/>
        <v>5</v>
      </c>
    </row>
    <row r="290" spans="1:18" x14ac:dyDescent="0.25">
      <c r="A290" t="s">
        <v>15</v>
      </c>
      <c r="N290" t="s">
        <v>199</v>
      </c>
      <c r="Q290" t="s">
        <v>195</v>
      </c>
      <c r="R290" s="20">
        <f t="shared" si="7"/>
        <v>0</v>
      </c>
    </row>
    <row r="291" spans="1:18" x14ac:dyDescent="0.25">
      <c r="A291" t="s">
        <v>15</v>
      </c>
      <c r="N291" t="s">
        <v>200</v>
      </c>
      <c r="Q291" t="s">
        <v>195</v>
      </c>
      <c r="R291" s="20">
        <f t="shared" si="7"/>
        <v>-10</v>
      </c>
    </row>
    <row r="292" spans="1:18" x14ac:dyDescent="0.25">
      <c r="A292" t="s">
        <v>19</v>
      </c>
      <c r="N292" t="s">
        <v>197</v>
      </c>
      <c r="Q292" t="s">
        <v>194</v>
      </c>
      <c r="R292" s="20">
        <f>R276</f>
        <v>3</v>
      </c>
    </row>
    <row r="293" spans="1:18" x14ac:dyDescent="0.25">
      <c r="A293" t="s">
        <v>19</v>
      </c>
      <c r="N293" t="s">
        <v>198</v>
      </c>
      <c r="Q293" t="s">
        <v>194</v>
      </c>
      <c r="R293" s="20">
        <f t="shared" ref="R293:R299" si="8">R277</f>
        <v>3</v>
      </c>
    </row>
    <row r="294" spans="1:18" x14ac:dyDescent="0.25">
      <c r="A294" t="s">
        <v>19</v>
      </c>
      <c r="N294" t="s">
        <v>199</v>
      </c>
      <c r="Q294" t="s">
        <v>194</v>
      </c>
      <c r="R294" s="20">
        <f t="shared" si="8"/>
        <v>3</v>
      </c>
    </row>
    <row r="295" spans="1:18" x14ac:dyDescent="0.25">
      <c r="A295" t="s">
        <v>19</v>
      </c>
      <c r="N295" t="s">
        <v>200</v>
      </c>
      <c r="Q295" t="s">
        <v>194</v>
      </c>
      <c r="R295" s="20">
        <f t="shared" si="8"/>
        <v>3</v>
      </c>
    </row>
    <row r="296" spans="1:18" x14ac:dyDescent="0.25">
      <c r="A296" t="s">
        <v>19</v>
      </c>
      <c r="N296" t="s">
        <v>197</v>
      </c>
      <c r="Q296" t="s">
        <v>195</v>
      </c>
      <c r="R296" s="20">
        <f t="shared" si="8"/>
        <v>10</v>
      </c>
    </row>
    <row r="297" spans="1:18" x14ac:dyDescent="0.25">
      <c r="A297" t="s">
        <v>19</v>
      </c>
      <c r="N297" t="s">
        <v>198</v>
      </c>
      <c r="Q297" t="s">
        <v>195</v>
      </c>
      <c r="R297" s="20">
        <f t="shared" si="8"/>
        <v>5</v>
      </c>
    </row>
    <row r="298" spans="1:18" x14ac:dyDescent="0.25">
      <c r="A298" t="s">
        <v>19</v>
      </c>
      <c r="N298" t="s">
        <v>199</v>
      </c>
      <c r="Q298" t="s">
        <v>195</v>
      </c>
      <c r="R298" s="20">
        <f t="shared" si="8"/>
        <v>0</v>
      </c>
    </row>
    <row r="299" spans="1:18" x14ac:dyDescent="0.25">
      <c r="A299" t="s">
        <v>19</v>
      </c>
      <c r="N299" t="s">
        <v>200</v>
      </c>
      <c r="Q299" t="s">
        <v>195</v>
      </c>
      <c r="R299" s="20">
        <f t="shared" si="8"/>
        <v>-10</v>
      </c>
    </row>
    <row r="300" spans="1:18" s="4" customFormat="1" x14ac:dyDescent="0.25">
      <c r="A300" s="4" t="s">
        <v>266</v>
      </c>
      <c r="N300" s="4" t="s">
        <v>197</v>
      </c>
      <c r="Q300" s="4" t="s">
        <v>194</v>
      </c>
      <c r="R300" s="20">
        <f>R276</f>
        <v>3</v>
      </c>
    </row>
    <row r="301" spans="1:18" s="4" customFormat="1" x14ac:dyDescent="0.25">
      <c r="A301" s="4" t="s">
        <v>266</v>
      </c>
      <c r="N301" s="4" t="s">
        <v>198</v>
      </c>
      <c r="Q301" s="4" t="s">
        <v>194</v>
      </c>
      <c r="R301" s="20">
        <f t="shared" ref="R301:R307" si="9">R277</f>
        <v>3</v>
      </c>
    </row>
    <row r="302" spans="1:18" s="4" customFormat="1" x14ac:dyDescent="0.25">
      <c r="A302" s="4" t="s">
        <v>266</v>
      </c>
      <c r="N302" s="4" t="s">
        <v>199</v>
      </c>
      <c r="Q302" s="4" t="s">
        <v>194</v>
      </c>
      <c r="R302" s="20">
        <f t="shared" si="9"/>
        <v>3</v>
      </c>
    </row>
    <row r="303" spans="1:18" s="4" customFormat="1" x14ac:dyDescent="0.25">
      <c r="A303" s="4" t="s">
        <v>266</v>
      </c>
      <c r="N303" s="4" t="s">
        <v>200</v>
      </c>
      <c r="Q303" s="4" t="s">
        <v>194</v>
      </c>
      <c r="R303" s="20">
        <f t="shared" si="9"/>
        <v>3</v>
      </c>
    </row>
    <row r="304" spans="1:18" s="4" customFormat="1" x14ac:dyDescent="0.25">
      <c r="A304" s="4" t="s">
        <v>266</v>
      </c>
      <c r="N304" s="4" t="s">
        <v>197</v>
      </c>
      <c r="Q304" s="4" t="s">
        <v>195</v>
      </c>
      <c r="R304" s="20">
        <f t="shared" si="9"/>
        <v>10</v>
      </c>
    </row>
    <row r="305" spans="1:18" s="4" customFormat="1" x14ac:dyDescent="0.25">
      <c r="A305" s="4" t="s">
        <v>266</v>
      </c>
      <c r="N305" s="4" t="s">
        <v>198</v>
      </c>
      <c r="Q305" s="4" t="s">
        <v>195</v>
      </c>
      <c r="R305" s="20">
        <f t="shared" si="9"/>
        <v>5</v>
      </c>
    </row>
    <row r="306" spans="1:18" s="4" customFormat="1" x14ac:dyDescent="0.25">
      <c r="A306" s="4" t="s">
        <v>266</v>
      </c>
      <c r="N306" s="4" t="s">
        <v>199</v>
      </c>
      <c r="Q306" s="4" t="s">
        <v>195</v>
      </c>
      <c r="R306" s="20">
        <f t="shared" si="9"/>
        <v>0</v>
      </c>
    </row>
    <row r="307" spans="1:18" s="4" customFormat="1" x14ac:dyDescent="0.25">
      <c r="A307" s="4" t="s">
        <v>266</v>
      </c>
      <c r="N307" s="4" t="s">
        <v>200</v>
      </c>
      <c r="Q307" s="4" t="s">
        <v>195</v>
      </c>
      <c r="R307" s="20">
        <f t="shared" si="9"/>
        <v>-10</v>
      </c>
    </row>
    <row r="308" spans="1:18" x14ac:dyDescent="0.25">
      <c r="A308" t="s">
        <v>22</v>
      </c>
      <c r="N308" t="s">
        <v>197</v>
      </c>
      <c r="Q308" t="s">
        <v>194</v>
      </c>
      <c r="R308" s="20">
        <f t="shared" ref="R308:R315" si="10">R276</f>
        <v>3</v>
      </c>
    </row>
    <row r="309" spans="1:18" x14ac:dyDescent="0.25">
      <c r="A309" t="s">
        <v>22</v>
      </c>
      <c r="N309" t="s">
        <v>198</v>
      </c>
      <c r="Q309" t="s">
        <v>194</v>
      </c>
      <c r="R309" s="20">
        <f t="shared" si="10"/>
        <v>3</v>
      </c>
    </row>
    <row r="310" spans="1:18" x14ac:dyDescent="0.25">
      <c r="A310" t="s">
        <v>22</v>
      </c>
      <c r="N310" t="s">
        <v>199</v>
      </c>
      <c r="Q310" t="s">
        <v>194</v>
      </c>
      <c r="R310" s="20">
        <f t="shared" si="10"/>
        <v>3</v>
      </c>
    </row>
    <row r="311" spans="1:18" x14ac:dyDescent="0.25">
      <c r="A311" t="s">
        <v>22</v>
      </c>
      <c r="N311" t="s">
        <v>200</v>
      </c>
      <c r="Q311" t="s">
        <v>194</v>
      </c>
      <c r="R311" s="20">
        <f t="shared" si="10"/>
        <v>3</v>
      </c>
    </row>
    <row r="312" spans="1:18" x14ac:dyDescent="0.25">
      <c r="A312" t="s">
        <v>22</v>
      </c>
      <c r="N312" t="s">
        <v>197</v>
      </c>
      <c r="Q312" t="s">
        <v>195</v>
      </c>
      <c r="R312" s="20">
        <f t="shared" si="10"/>
        <v>10</v>
      </c>
    </row>
    <row r="313" spans="1:18" x14ac:dyDescent="0.25">
      <c r="A313" t="s">
        <v>22</v>
      </c>
      <c r="N313" t="s">
        <v>198</v>
      </c>
      <c r="Q313" t="s">
        <v>195</v>
      </c>
      <c r="R313" s="20">
        <f t="shared" si="10"/>
        <v>5</v>
      </c>
    </row>
    <row r="314" spans="1:18" x14ac:dyDescent="0.25">
      <c r="A314" t="s">
        <v>22</v>
      </c>
      <c r="N314" t="s">
        <v>199</v>
      </c>
      <c r="Q314" t="s">
        <v>195</v>
      </c>
      <c r="R314" s="20">
        <f t="shared" si="10"/>
        <v>0</v>
      </c>
    </row>
    <row r="315" spans="1:18" x14ac:dyDescent="0.25">
      <c r="A315" t="s">
        <v>22</v>
      </c>
      <c r="N315" t="s">
        <v>200</v>
      </c>
      <c r="Q315" t="s">
        <v>195</v>
      </c>
      <c r="R315" s="20">
        <f t="shared" si="10"/>
        <v>-10</v>
      </c>
    </row>
    <row r="316" spans="1:18" x14ac:dyDescent="0.25">
      <c r="A316" t="s">
        <v>27</v>
      </c>
      <c r="N316" t="s">
        <v>197</v>
      </c>
      <c r="Q316" t="s">
        <v>194</v>
      </c>
      <c r="R316" s="20">
        <f t="shared" ref="R316:R323" si="11">R276</f>
        <v>3</v>
      </c>
    </row>
    <row r="317" spans="1:18" x14ac:dyDescent="0.25">
      <c r="A317" t="s">
        <v>27</v>
      </c>
      <c r="N317" t="s">
        <v>198</v>
      </c>
      <c r="Q317" t="s">
        <v>194</v>
      </c>
      <c r="R317" s="20">
        <f t="shared" si="11"/>
        <v>3</v>
      </c>
    </row>
    <row r="318" spans="1:18" x14ac:dyDescent="0.25">
      <c r="A318" t="s">
        <v>27</v>
      </c>
      <c r="N318" t="s">
        <v>199</v>
      </c>
      <c r="Q318" t="s">
        <v>194</v>
      </c>
      <c r="R318" s="20">
        <f t="shared" si="11"/>
        <v>3</v>
      </c>
    </row>
    <row r="319" spans="1:18" x14ac:dyDescent="0.25">
      <c r="A319" t="s">
        <v>27</v>
      </c>
      <c r="N319" t="s">
        <v>200</v>
      </c>
      <c r="Q319" t="s">
        <v>194</v>
      </c>
      <c r="R319" s="20">
        <f t="shared" si="11"/>
        <v>3</v>
      </c>
    </row>
    <row r="320" spans="1:18" x14ac:dyDescent="0.25">
      <c r="A320" t="s">
        <v>27</v>
      </c>
      <c r="N320" t="s">
        <v>197</v>
      </c>
      <c r="Q320" t="s">
        <v>195</v>
      </c>
      <c r="R320" s="20">
        <f t="shared" si="11"/>
        <v>10</v>
      </c>
    </row>
    <row r="321" spans="1:20" x14ac:dyDescent="0.25">
      <c r="A321" t="s">
        <v>27</v>
      </c>
      <c r="N321" t="s">
        <v>198</v>
      </c>
      <c r="Q321" t="s">
        <v>195</v>
      </c>
      <c r="R321" s="20">
        <f t="shared" si="11"/>
        <v>5</v>
      </c>
    </row>
    <row r="322" spans="1:20" x14ac:dyDescent="0.25">
      <c r="A322" t="s">
        <v>27</v>
      </c>
      <c r="N322" t="s">
        <v>199</v>
      </c>
      <c r="Q322" t="s">
        <v>195</v>
      </c>
      <c r="R322" s="20">
        <f t="shared" si="11"/>
        <v>0</v>
      </c>
    </row>
    <row r="323" spans="1:20" x14ac:dyDescent="0.25">
      <c r="A323" t="s">
        <v>27</v>
      </c>
      <c r="N323" t="s">
        <v>200</v>
      </c>
      <c r="Q323" t="s">
        <v>195</v>
      </c>
      <c r="R323" s="20">
        <f t="shared" si="11"/>
        <v>-10</v>
      </c>
    </row>
    <row r="324" spans="1:20" x14ac:dyDescent="0.25">
      <c r="A324" t="s">
        <v>26</v>
      </c>
      <c r="N324" t="s">
        <v>197</v>
      </c>
      <c r="Q324" t="s">
        <v>194</v>
      </c>
      <c r="R324" s="20">
        <f t="shared" ref="R324:R331" si="12">R276</f>
        <v>3</v>
      </c>
    </row>
    <row r="325" spans="1:20" x14ac:dyDescent="0.25">
      <c r="A325" t="s">
        <v>26</v>
      </c>
      <c r="N325" t="s">
        <v>198</v>
      </c>
      <c r="Q325" t="s">
        <v>194</v>
      </c>
      <c r="R325" s="20">
        <f t="shared" si="12"/>
        <v>3</v>
      </c>
    </row>
    <row r="326" spans="1:20" x14ac:dyDescent="0.25">
      <c r="A326" t="s">
        <v>26</v>
      </c>
      <c r="N326" t="s">
        <v>199</v>
      </c>
      <c r="Q326" t="s">
        <v>194</v>
      </c>
      <c r="R326" s="20">
        <f t="shared" si="12"/>
        <v>3</v>
      </c>
    </row>
    <row r="327" spans="1:20" x14ac:dyDescent="0.25">
      <c r="A327" t="s">
        <v>26</v>
      </c>
      <c r="N327" t="s">
        <v>200</v>
      </c>
      <c r="Q327" t="s">
        <v>194</v>
      </c>
      <c r="R327" s="20">
        <f t="shared" si="12"/>
        <v>3</v>
      </c>
    </row>
    <row r="328" spans="1:20" x14ac:dyDescent="0.25">
      <c r="A328" t="s">
        <v>26</v>
      </c>
      <c r="N328" t="s">
        <v>197</v>
      </c>
      <c r="Q328" t="s">
        <v>195</v>
      </c>
      <c r="R328" s="20">
        <f t="shared" si="12"/>
        <v>10</v>
      </c>
    </row>
    <row r="329" spans="1:20" x14ac:dyDescent="0.25">
      <c r="A329" t="s">
        <v>26</v>
      </c>
      <c r="N329" t="s">
        <v>198</v>
      </c>
      <c r="Q329" t="s">
        <v>195</v>
      </c>
      <c r="R329" s="20">
        <f t="shared" si="12"/>
        <v>5</v>
      </c>
    </row>
    <row r="330" spans="1:20" x14ac:dyDescent="0.25">
      <c r="A330" t="s">
        <v>26</v>
      </c>
      <c r="N330" t="s">
        <v>199</v>
      </c>
      <c r="Q330" t="s">
        <v>195</v>
      </c>
      <c r="R330" s="20">
        <f t="shared" si="12"/>
        <v>0</v>
      </c>
    </row>
    <row r="331" spans="1:20" x14ac:dyDescent="0.25">
      <c r="A331" t="s">
        <v>26</v>
      </c>
      <c r="N331" t="s">
        <v>200</v>
      </c>
      <c r="Q331" t="s">
        <v>195</v>
      </c>
      <c r="R331" s="20">
        <f t="shared" si="12"/>
        <v>-10</v>
      </c>
    </row>
    <row r="332" spans="1:20" x14ac:dyDescent="0.25">
      <c r="A332" s="4" t="s">
        <v>41</v>
      </c>
      <c r="B332" s="6"/>
      <c r="C332" s="6"/>
      <c r="N332" t="s">
        <v>197</v>
      </c>
      <c r="Q332" t="s">
        <v>194</v>
      </c>
      <c r="R332" s="20">
        <f t="shared" ref="R332:R339" si="13">R276</f>
        <v>3</v>
      </c>
      <c r="T332" t="s">
        <v>305</v>
      </c>
    </row>
    <row r="333" spans="1:20" x14ac:dyDescent="0.25">
      <c r="A333" s="4" t="s">
        <v>41</v>
      </c>
      <c r="B333" s="6"/>
      <c r="C333" s="6"/>
      <c r="N333" t="s">
        <v>198</v>
      </c>
      <c r="Q333" t="s">
        <v>194</v>
      </c>
      <c r="R333" s="20">
        <f t="shared" si="13"/>
        <v>3</v>
      </c>
    </row>
    <row r="334" spans="1:20" x14ac:dyDescent="0.25">
      <c r="A334" s="4" t="s">
        <v>41</v>
      </c>
      <c r="B334" s="6"/>
      <c r="C334" s="6"/>
      <c r="N334" t="s">
        <v>199</v>
      </c>
      <c r="Q334" t="s">
        <v>194</v>
      </c>
      <c r="R334" s="20">
        <f t="shared" si="13"/>
        <v>3</v>
      </c>
    </row>
    <row r="335" spans="1:20" x14ac:dyDescent="0.25">
      <c r="A335" s="4" t="s">
        <v>41</v>
      </c>
      <c r="B335" s="6"/>
      <c r="C335" s="6"/>
      <c r="N335" t="s">
        <v>200</v>
      </c>
      <c r="Q335" t="s">
        <v>194</v>
      </c>
      <c r="R335" s="20">
        <f t="shared" si="13"/>
        <v>3</v>
      </c>
    </row>
    <row r="336" spans="1:20" x14ac:dyDescent="0.25">
      <c r="A336" s="4" t="s">
        <v>41</v>
      </c>
      <c r="B336" s="6"/>
      <c r="C336" s="6"/>
      <c r="N336" t="s">
        <v>197</v>
      </c>
      <c r="Q336" t="s">
        <v>195</v>
      </c>
      <c r="R336" s="20">
        <f t="shared" si="13"/>
        <v>10</v>
      </c>
    </row>
    <row r="337" spans="1:20" x14ac:dyDescent="0.25">
      <c r="A337" s="4" t="s">
        <v>41</v>
      </c>
      <c r="B337" s="6"/>
      <c r="C337" s="6"/>
      <c r="N337" t="s">
        <v>198</v>
      </c>
      <c r="Q337" t="s">
        <v>195</v>
      </c>
      <c r="R337" s="20">
        <f t="shared" si="13"/>
        <v>5</v>
      </c>
    </row>
    <row r="338" spans="1:20" x14ac:dyDescent="0.25">
      <c r="A338" s="4" t="s">
        <v>41</v>
      </c>
      <c r="B338" s="6"/>
      <c r="C338" s="6"/>
      <c r="N338" t="s">
        <v>199</v>
      </c>
      <c r="Q338" t="s">
        <v>195</v>
      </c>
      <c r="R338" s="20">
        <f t="shared" si="13"/>
        <v>0</v>
      </c>
    </row>
    <row r="339" spans="1:20" x14ac:dyDescent="0.25">
      <c r="A339" s="4" t="s">
        <v>41</v>
      </c>
      <c r="B339" s="6"/>
      <c r="C339" s="6"/>
      <c r="N339" t="s">
        <v>200</v>
      </c>
      <c r="Q339" t="s">
        <v>195</v>
      </c>
      <c r="R339" s="20">
        <f t="shared" si="13"/>
        <v>-10</v>
      </c>
    </row>
    <row r="340" spans="1:20" x14ac:dyDescent="0.25">
      <c r="A340" s="4" t="s">
        <v>42</v>
      </c>
      <c r="B340" s="6"/>
      <c r="C340" s="6"/>
      <c r="N340" t="s">
        <v>197</v>
      </c>
      <c r="Q340" t="s">
        <v>194</v>
      </c>
      <c r="R340" s="20">
        <f>R276</f>
        <v>3</v>
      </c>
      <c r="T340" t="s">
        <v>305</v>
      </c>
    </row>
    <row r="341" spans="1:20" x14ac:dyDescent="0.25">
      <c r="A341" s="4" t="s">
        <v>42</v>
      </c>
      <c r="B341" s="6"/>
      <c r="C341" s="6"/>
      <c r="N341" t="s">
        <v>198</v>
      </c>
      <c r="Q341" t="s">
        <v>194</v>
      </c>
      <c r="R341" s="20">
        <f t="shared" ref="R341:R347" si="14">R277</f>
        <v>3</v>
      </c>
    </row>
    <row r="342" spans="1:20" x14ac:dyDescent="0.25">
      <c r="A342" s="4" t="s">
        <v>42</v>
      </c>
      <c r="B342" s="6"/>
      <c r="C342" s="6"/>
      <c r="N342" t="s">
        <v>199</v>
      </c>
      <c r="Q342" t="s">
        <v>194</v>
      </c>
      <c r="R342" s="20">
        <f t="shared" si="14"/>
        <v>3</v>
      </c>
    </row>
    <row r="343" spans="1:20" x14ac:dyDescent="0.25">
      <c r="A343" s="4" t="s">
        <v>42</v>
      </c>
      <c r="B343" s="6"/>
      <c r="C343" s="6"/>
      <c r="N343" t="s">
        <v>200</v>
      </c>
      <c r="Q343" t="s">
        <v>194</v>
      </c>
      <c r="R343" s="20">
        <f t="shared" si="14"/>
        <v>3</v>
      </c>
    </row>
    <row r="344" spans="1:20" x14ac:dyDescent="0.25">
      <c r="A344" s="4" t="s">
        <v>42</v>
      </c>
      <c r="B344" s="6"/>
      <c r="C344" s="6"/>
      <c r="N344" t="s">
        <v>197</v>
      </c>
      <c r="Q344" t="s">
        <v>195</v>
      </c>
      <c r="R344" s="20">
        <f t="shared" si="14"/>
        <v>10</v>
      </c>
    </row>
    <row r="345" spans="1:20" x14ac:dyDescent="0.25">
      <c r="A345" s="4" t="s">
        <v>42</v>
      </c>
      <c r="B345" s="6"/>
      <c r="C345" s="6"/>
      <c r="N345" t="s">
        <v>198</v>
      </c>
      <c r="Q345" t="s">
        <v>195</v>
      </c>
      <c r="R345" s="20">
        <f t="shared" si="14"/>
        <v>5</v>
      </c>
    </row>
    <row r="346" spans="1:20" x14ac:dyDescent="0.25">
      <c r="A346" s="4" t="s">
        <v>42</v>
      </c>
      <c r="N346" t="s">
        <v>199</v>
      </c>
      <c r="Q346" t="s">
        <v>195</v>
      </c>
      <c r="R346" s="20">
        <f t="shared" si="14"/>
        <v>0</v>
      </c>
    </row>
    <row r="347" spans="1:20" x14ac:dyDescent="0.25">
      <c r="A347" s="4" t="s">
        <v>42</v>
      </c>
      <c r="N347" t="s">
        <v>200</v>
      </c>
      <c r="Q347" t="s">
        <v>195</v>
      </c>
      <c r="R347" s="20">
        <f t="shared" si="14"/>
        <v>-10</v>
      </c>
    </row>
    <row r="348" spans="1:20" x14ac:dyDescent="0.25">
      <c r="A348" s="21" t="s">
        <v>205</v>
      </c>
      <c r="B348" s="21"/>
      <c r="C348" s="21"/>
    </row>
    <row r="349" spans="1:20" x14ac:dyDescent="0.25">
      <c r="A349" t="s">
        <v>32</v>
      </c>
      <c r="N349" t="s">
        <v>197</v>
      </c>
      <c r="Q349" t="s">
        <v>194</v>
      </c>
      <c r="R349">
        <v>7</v>
      </c>
    </row>
    <row r="350" spans="1:20" x14ac:dyDescent="0.25">
      <c r="A350" t="s">
        <v>32</v>
      </c>
      <c r="N350" t="s">
        <v>198</v>
      </c>
      <c r="Q350" t="s">
        <v>194</v>
      </c>
      <c r="R350">
        <v>7</v>
      </c>
    </row>
    <row r="351" spans="1:20" x14ac:dyDescent="0.25">
      <c r="A351" t="s">
        <v>32</v>
      </c>
      <c r="N351" t="s">
        <v>199</v>
      </c>
      <c r="Q351" t="s">
        <v>194</v>
      </c>
      <c r="R351">
        <v>7</v>
      </c>
    </row>
    <row r="352" spans="1:20" x14ac:dyDescent="0.25">
      <c r="A352" t="s">
        <v>32</v>
      </c>
      <c r="N352" t="s">
        <v>200</v>
      </c>
      <c r="Q352" t="s">
        <v>194</v>
      </c>
      <c r="R352">
        <v>7</v>
      </c>
    </row>
    <row r="353" spans="1:18" x14ac:dyDescent="0.25">
      <c r="A353" t="s">
        <v>32</v>
      </c>
      <c r="N353" t="s">
        <v>197</v>
      </c>
      <c r="Q353" t="s">
        <v>195</v>
      </c>
      <c r="R353">
        <v>15.5</v>
      </c>
    </row>
    <row r="354" spans="1:18" x14ac:dyDescent="0.25">
      <c r="A354" t="s">
        <v>32</v>
      </c>
      <c r="N354" t="s">
        <v>198</v>
      </c>
      <c r="Q354" t="s">
        <v>195</v>
      </c>
      <c r="R354">
        <v>10.5</v>
      </c>
    </row>
    <row r="355" spans="1:18" x14ac:dyDescent="0.25">
      <c r="A355" t="s">
        <v>32</v>
      </c>
      <c r="N355" t="s">
        <v>199</v>
      </c>
      <c r="Q355" t="s">
        <v>195</v>
      </c>
      <c r="R355">
        <v>0.5</v>
      </c>
    </row>
    <row r="356" spans="1:18" x14ac:dyDescent="0.25">
      <c r="A356" t="s">
        <v>32</v>
      </c>
      <c r="N356" t="s">
        <v>200</v>
      </c>
      <c r="Q356" t="s">
        <v>195</v>
      </c>
      <c r="R356">
        <v>-9.5</v>
      </c>
    </row>
    <row r="357" spans="1:18" x14ac:dyDescent="0.25">
      <c r="A357" t="s">
        <v>33</v>
      </c>
      <c r="N357" t="s">
        <v>197</v>
      </c>
      <c r="Q357" t="s">
        <v>194</v>
      </c>
      <c r="R357">
        <v>7</v>
      </c>
    </row>
    <row r="358" spans="1:18" x14ac:dyDescent="0.25">
      <c r="A358" t="s">
        <v>33</v>
      </c>
      <c r="N358" t="s">
        <v>198</v>
      </c>
      <c r="Q358" t="s">
        <v>194</v>
      </c>
      <c r="R358">
        <v>7</v>
      </c>
    </row>
    <row r="359" spans="1:18" x14ac:dyDescent="0.25">
      <c r="A359" t="s">
        <v>33</v>
      </c>
      <c r="N359" t="s">
        <v>199</v>
      </c>
      <c r="Q359" t="s">
        <v>194</v>
      </c>
      <c r="R359">
        <v>7</v>
      </c>
    </row>
    <row r="360" spans="1:18" x14ac:dyDescent="0.25">
      <c r="A360" t="s">
        <v>33</v>
      </c>
      <c r="N360" t="s">
        <v>200</v>
      </c>
      <c r="Q360" t="s">
        <v>194</v>
      </c>
      <c r="R360">
        <v>7</v>
      </c>
    </row>
    <row r="361" spans="1:18" x14ac:dyDescent="0.25">
      <c r="A361" t="s">
        <v>33</v>
      </c>
      <c r="N361" t="s">
        <v>197</v>
      </c>
      <c r="Q361" t="s">
        <v>195</v>
      </c>
      <c r="R361">
        <v>16</v>
      </c>
    </row>
    <row r="362" spans="1:18" x14ac:dyDescent="0.25">
      <c r="A362" t="s">
        <v>33</v>
      </c>
      <c r="N362" t="s">
        <v>198</v>
      </c>
      <c r="Q362" t="s">
        <v>195</v>
      </c>
      <c r="R362">
        <v>11</v>
      </c>
    </row>
    <row r="363" spans="1:18" x14ac:dyDescent="0.25">
      <c r="A363" t="s">
        <v>33</v>
      </c>
      <c r="N363" t="s">
        <v>199</v>
      </c>
      <c r="Q363" t="s">
        <v>195</v>
      </c>
      <c r="R363">
        <v>1</v>
      </c>
    </row>
    <row r="364" spans="1:18" x14ac:dyDescent="0.25">
      <c r="A364" t="s">
        <v>33</v>
      </c>
      <c r="N364" t="s">
        <v>200</v>
      </c>
      <c r="Q364" t="s">
        <v>195</v>
      </c>
      <c r="R364">
        <v>-4</v>
      </c>
    </row>
    <row r="366" spans="1:18" x14ac:dyDescent="0.25">
      <c r="A366" s="21" t="s">
        <v>38</v>
      </c>
      <c r="B366" s="21"/>
      <c r="C366" s="21"/>
    </row>
    <row r="367" spans="1:18" x14ac:dyDescent="0.25">
      <c r="A367" t="s">
        <v>38</v>
      </c>
      <c r="N367" t="s">
        <v>197</v>
      </c>
      <c r="Q367" t="s">
        <v>194</v>
      </c>
      <c r="R367">
        <v>3</v>
      </c>
    </row>
    <row r="368" spans="1:18" x14ac:dyDescent="0.25">
      <c r="A368" t="s">
        <v>38</v>
      </c>
      <c r="N368" t="s">
        <v>198</v>
      </c>
      <c r="Q368" t="s">
        <v>194</v>
      </c>
      <c r="R368">
        <v>3</v>
      </c>
    </row>
    <row r="369" spans="1:20" x14ac:dyDescent="0.25">
      <c r="A369" t="s">
        <v>38</v>
      </c>
      <c r="N369" t="s">
        <v>199</v>
      </c>
      <c r="Q369" t="s">
        <v>194</v>
      </c>
      <c r="R369">
        <v>3</v>
      </c>
    </row>
    <row r="370" spans="1:20" x14ac:dyDescent="0.25">
      <c r="A370" t="s">
        <v>38</v>
      </c>
      <c r="N370" t="s">
        <v>197</v>
      </c>
      <c r="Q370" t="s">
        <v>195</v>
      </c>
      <c r="R370">
        <v>7</v>
      </c>
    </row>
    <row r="371" spans="1:20" x14ac:dyDescent="0.25">
      <c r="A371" t="s">
        <v>38</v>
      </c>
      <c r="N371" t="s">
        <v>198</v>
      </c>
      <c r="Q371" t="s">
        <v>195</v>
      </c>
      <c r="R371">
        <v>-3</v>
      </c>
    </row>
    <row r="372" spans="1:20" x14ac:dyDescent="0.25">
      <c r="A372" t="s">
        <v>38</v>
      </c>
      <c r="N372" t="s">
        <v>199</v>
      </c>
      <c r="Q372" t="s">
        <v>195</v>
      </c>
      <c r="R372">
        <v>-8</v>
      </c>
    </row>
    <row r="373" spans="1:20" x14ac:dyDescent="0.25">
      <c r="A373" t="s">
        <v>68</v>
      </c>
      <c r="N373" t="s">
        <v>197</v>
      </c>
      <c r="Q373" t="s">
        <v>194</v>
      </c>
      <c r="R373" s="24">
        <f>R367</f>
        <v>3</v>
      </c>
      <c r="T373" t="s">
        <v>304</v>
      </c>
    </row>
    <row r="374" spans="1:20" x14ac:dyDescent="0.25">
      <c r="A374" t="s">
        <v>68</v>
      </c>
      <c r="N374" t="s">
        <v>198</v>
      </c>
      <c r="Q374" t="s">
        <v>194</v>
      </c>
      <c r="R374" s="24">
        <f t="shared" ref="R374:R378" si="15">R368</f>
        <v>3</v>
      </c>
    </row>
    <row r="375" spans="1:20" x14ac:dyDescent="0.25">
      <c r="A375" t="s">
        <v>68</v>
      </c>
      <c r="N375" t="s">
        <v>199</v>
      </c>
      <c r="Q375" t="s">
        <v>194</v>
      </c>
      <c r="R375" s="24">
        <f t="shared" si="15"/>
        <v>3</v>
      </c>
    </row>
    <row r="376" spans="1:20" x14ac:dyDescent="0.25">
      <c r="A376" t="s">
        <v>68</v>
      </c>
      <c r="N376" t="s">
        <v>197</v>
      </c>
      <c r="Q376" t="s">
        <v>195</v>
      </c>
      <c r="R376" s="24">
        <f t="shared" si="15"/>
        <v>7</v>
      </c>
    </row>
    <row r="377" spans="1:20" x14ac:dyDescent="0.25">
      <c r="A377" t="s">
        <v>68</v>
      </c>
      <c r="N377" t="s">
        <v>198</v>
      </c>
      <c r="Q377" t="s">
        <v>195</v>
      </c>
      <c r="R377" s="24">
        <f t="shared" si="15"/>
        <v>-3</v>
      </c>
    </row>
    <row r="378" spans="1:20" x14ac:dyDescent="0.25">
      <c r="A378" t="s">
        <v>68</v>
      </c>
      <c r="N378" t="s">
        <v>199</v>
      </c>
      <c r="Q378" t="s">
        <v>195</v>
      </c>
      <c r="R378" s="24">
        <f t="shared" si="15"/>
        <v>-8</v>
      </c>
    </row>
    <row r="380" spans="1:20" x14ac:dyDescent="0.25">
      <c r="A380" s="21" t="s">
        <v>206</v>
      </c>
      <c r="B380" s="21"/>
      <c r="C380" s="21"/>
    </row>
    <row r="381" spans="1:20" x14ac:dyDescent="0.25">
      <c r="A381" t="s">
        <v>40</v>
      </c>
      <c r="N381" t="s">
        <v>197</v>
      </c>
      <c r="Q381" t="s">
        <v>194</v>
      </c>
      <c r="R381">
        <v>3</v>
      </c>
    </row>
    <row r="382" spans="1:20" x14ac:dyDescent="0.25">
      <c r="A382" t="s">
        <v>40</v>
      </c>
      <c r="N382" t="s">
        <v>198</v>
      </c>
      <c r="Q382" t="s">
        <v>194</v>
      </c>
      <c r="R382">
        <v>3</v>
      </c>
    </row>
    <row r="383" spans="1:20" x14ac:dyDescent="0.25">
      <c r="A383" t="s">
        <v>40</v>
      </c>
      <c r="N383" t="s">
        <v>199</v>
      </c>
      <c r="Q383" t="s">
        <v>194</v>
      </c>
      <c r="R383">
        <v>3</v>
      </c>
    </row>
    <row r="384" spans="1:20" x14ac:dyDescent="0.25">
      <c r="A384" t="s">
        <v>40</v>
      </c>
      <c r="N384" t="s">
        <v>200</v>
      </c>
      <c r="Q384" t="s">
        <v>194</v>
      </c>
      <c r="R384">
        <v>3</v>
      </c>
    </row>
    <row r="385" spans="1:18" x14ac:dyDescent="0.25">
      <c r="A385" t="s">
        <v>40</v>
      </c>
      <c r="N385" t="s">
        <v>201</v>
      </c>
      <c r="Q385" t="s">
        <v>194</v>
      </c>
      <c r="R385">
        <v>3</v>
      </c>
    </row>
    <row r="386" spans="1:18" x14ac:dyDescent="0.25">
      <c r="A386" t="s">
        <v>40</v>
      </c>
      <c r="N386" t="s">
        <v>204</v>
      </c>
      <c r="Q386" t="s">
        <v>194</v>
      </c>
      <c r="R386">
        <v>3</v>
      </c>
    </row>
    <row r="387" spans="1:18" x14ac:dyDescent="0.25">
      <c r="A387" t="s">
        <v>40</v>
      </c>
      <c r="N387" t="s">
        <v>197</v>
      </c>
      <c r="Q387" t="s">
        <v>195</v>
      </c>
      <c r="R387">
        <v>5</v>
      </c>
    </row>
    <row r="388" spans="1:18" x14ac:dyDescent="0.25">
      <c r="A388" t="s">
        <v>40</v>
      </c>
      <c r="N388" t="s">
        <v>198</v>
      </c>
      <c r="Q388" t="s">
        <v>195</v>
      </c>
      <c r="R388">
        <v>0</v>
      </c>
    </row>
    <row r="389" spans="1:18" x14ac:dyDescent="0.25">
      <c r="A389" t="s">
        <v>40</v>
      </c>
      <c r="N389" t="s">
        <v>199</v>
      </c>
      <c r="Q389" t="s">
        <v>195</v>
      </c>
      <c r="R389">
        <v>-5</v>
      </c>
    </row>
    <row r="390" spans="1:18" x14ac:dyDescent="0.25">
      <c r="A390" t="s">
        <v>40</v>
      </c>
      <c r="N390" t="s">
        <v>200</v>
      </c>
      <c r="Q390" t="s">
        <v>195</v>
      </c>
      <c r="R390">
        <v>-10</v>
      </c>
    </row>
    <row r="391" spans="1:18" x14ac:dyDescent="0.25">
      <c r="A391" t="s">
        <v>40</v>
      </c>
      <c r="N391" t="s">
        <v>201</v>
      </c>
      <c r="Q391" t="s">
        <v>195</v>
      </c>
      <c r="R391">
        <v>-15</v>
      </c>
    </row>
    <row r="392" spans="1:18" x14ac:dyDescent="0.25">
      <c r="A392" t="s">
        <v>40</v>
      </c>
      <c r="N392" t="s">
        <v>204</v>
      </c>
      <c r="Q392" t="s">
        <v>195</v>
      </c>
      <c r="R392">
        <v>-20</v>
      </c>
    </row>
    <row r="394" spans="1:18" x14ac:dyDescent="0.25">
      <c r="A394" s="21" t="s">
        <v>207</v>
      </c>
      <c r="B394" s="21"/>
      <c r="C394" s="21"/>
    </row>
    <row r="395" spans="1:18" x14ac:dyDescent="0.25">
      <c r="A395" t="s">
        <v>34</v>
      </c>
      <c r="N395" t="s">
        <v>197</v>
      </c>
      <c r="Q395" t="s">
        <v>194</v>
      </c>
      <c r="R395">
        <v>0.5</v>
      </c>
    </row>
    <row r="396" spans="1:18" x14ac:dyDescent="0.25">
      <c r="A396" t="s">
        <v>34</v>
      </c>
      <c r="N396" t="s">
        <v>198</v>
      </c>
      <c r="Q396" t="s">
        <v>194</v>
      </c>
      <c r="R396">
        <v>0.5</v>
      </c>
    </row>
    <row r="397" spans="1:18" x14ac:dyDescent="0.25">
      <c r="A397" t="s">
        <v>34</v>
      </c>
      <c r="N397" t="s">
        <v>199</v>
      </c>
      <c r="Q397" t="s">
        <v>194</v>
      </c>
      <c r="R397">
        <v>0.5</v>
      </c>
    </row>
    <row r="398" spans="1:18" x14ac:dyDescent="0.25">
      <c r="A398" t="s">
        <v>34</v>
      </c>
      <c r="N398" t="s">
        <v>200</v>
      </c>
      <c r="Q398" t="s">
        <v>194</v>
      </c>
      <c r="R398">
        <v>0.5</v>
      </c>
    </row>
    <row r="399" spans="1:18" x14ac:dyDescent="0.25">
      <c r="A399" t="s">
        <v>34</v>
      </c>
      <c r="N399" t="s">
        <v>201</v>
      </c>
      <c r="Q399" t="s">
        <v>194</v>
      </c>
      <c r="R399">
        <v>0.5</v>
      </c>
    </row>
    <row r="400" spans="1:18" x14ac:dyDescent="0.25">
      <c r="A400" t="s">
        <v>34</v>
      </c>
      <c r="N400" t="s">
        <v>204</v>
      </c>
      <c r="Q400" t="s">
        <v>194</v>
      </c>
      <c r="R400">
        <v>0.5</v>
      </c>
    </row>
    <row r="401" spans="1:18" x14ac:dyDescent="0.25">
      <c r="A401" t="s">
        <v>34</v>
      </c>
      <c r="N401" t="s">
        <v>197</v>
      </c>
      <c r="Q401" t="s">
        <v>195</v>
      </c>
      <c r="R401">
        <v>55</v>
      </c>
    </row>
    <row r="402" spans="1:18" x14ac:dyDescent="0.25">
      <c r="A402" t="s">
        <v>34</v>
      </c>
      <c r="N402" t="s">
        <v>198</v>
      </c>
      <c r="Q402" t="s">
        <v>195</v>
      </c>
      <c r="R402">
        <v>35</v>
      </c>
    </row>
    <row r="403" spans="1:18" x14ac:dyDescent="0.25">
      <c r="A403" t="s">
        <v>34</v>
      </c>
      <c r="N403" t="s">
        <v>199</v>
      </c>
      <c r="Q403" t="s">
        <v>195</v>
      </c>
      <c r="R403">
        <v>25</v>
      </c>
    </row>
    <row r="404" spans="1:18" x14ac:dyDescent="0.25">
      <c r="A404" t="s">
        <v>34</v>
      </c>
      <c r="N404" t="s">
        <v>200</v>
      </c>
      <c r="Q404" t="s">
        <v>195</v>
      </c>
      <c r="R404">
        <v>15</v>
      </c>
    </row>
    <row r="405" spans="1:18" x14ac:dyDescent="0.25">
      <c r="A405" t="s">
        <v>34</v>
      </c>
      <c r="N405" t="s">
        <v>201</v>
      </c>
      <c r="Q405" t="s">
        <v>195</v>
      </c>
      <c r="R405">
        <v>0</v>
      </c>
    </row>
    <row r="406" spans="1:18" x14ac:dyDescent="0.25">
      <c r="A406" t="s">
        <v>34</v>
      </c>
      <c r="N406" t="s">
        <v>204</v>
      </c>
      <c r="Q406" t="s">
        <v>195</v>
      </c>
      <c r="R406">
        <v>-5</v>
      </c>
    </row>
    <row r="407" spans="1:18" x14ac:dyDescent="0.25">
      <c r="A407" t="s">
        <v>35</v>
      </c>
      <c r="N407" t="s">
        <v>197</v>
      </c>
      <c r="Q407" t="s">
        <v>194</v>
      </c>
      <c r="R407" s="20">
        <f>R395</f>
        <v>0.5</v>
      </c>
    </row>
    <row r="408" spans="1:18" x14ac:dyDescent="0.25">
      <c r="A408" t="s">
        <v>35</v>
      </c>
      <c r="N408" t="s">
        <v>198</v>
      </c>
      <c r="Q408" t="s">
        <v>194</v>
      </c>
      <c r="R408" s="20">
        <f t="shared" ref="R408:R418" si="16">R396</f>
        <v>0.5</v>
      </c>
    </row>
    <row r="409" spans="1:18" x14ac:dyDescent="0.25">
      <c r="A409" t="s">
        <v>35</v>
      </c>
      <c r="N409" t="s">
        <v>199</v>
      </c>
      <c r="Q409" t="s">
        <v>194</v>
      </c>
      <c r="R409" s="20">
        <f t="shared" si="16"/>
        <v>0.5</v>
      </c>
    </row>
    <row r="410" spans="1:18" x14ac:dyDescent="0.25">
      <c r="A410" t="s">
        <v>35</v>
      </c>
      <c r="N410" t="s">
        <v>200</v>
      </c>
      <c r="Q410" t="s">
        <v>194</v>
      </c>
      <c r="R410" s="20">
        <f t="shared" si="16"/>
        <v>0.5</v>
      </c>
    </row>
    <row r="411" spans="1:18" x14ac:dyDescent="0.25">
      <c r="A411" t="s">
        <v>35</v>
      </c>
      <c r="N411" t="s">
        <v>201</v>
      </c>
      <c r="Q411" t="s">
        <v>194</v>
      </c>
      <c r="R411" s="20">
        <f t="shared" si="16"/>
        <v>0.5</v>
      </c>
    </row>
    <row r="412" spans="1:18" x14ac:dyDescent="0.25">
      <c r="A412" t="s">
        <v>35</v>
      </c>
      <c r="N412" t="s">
        <v>204</v>
      </c>
      <c r="Q412" t="s">
        <v>194</v>
      </c>
      <c r="R412" s="20">
        <f t="shared" si="16"/>
        <v>0.5</v>
      </c>
    </row>
    <row r="413" spans="1:18" x14ac:dyDescent="0.25">
      <c r="A413" t="s">
        <v>35</v>
      </c>
      <c r="N413" t="s">
        <v>197</v>
      </c>
      <c r="Q413" t="s">
        <v>195</v>
      </c>
      <c r="R413" s="20">
        <f t="shared" si="16"/>
        <v>55</v>
      </c>
    </row>
    <row r="414" spans="1:18" x14ac:dyDescent="0.25">
      <c r="A414" t="s">
        <v>35</v>
      </c>
      <c r="N414" t="s">
        <v>198</v>
      </c>
      <c r="Q414" t="s">
        <v>195</v>
      </c>
      <c r="R414" s="20">
        <f t="shared" si="16"/>
        <v>35</v>
      </c>
    </row>
    <row r="415" spans="1:18" x14ac:dyDescent="0.25">
      <c r="A415" t="s">
        <v>35</v>
      </c>
      <c r="N415" t="s">
        <v>199</v>
      </c>
      <c r="Q415" t="s">
        <v>195</v>
      </c>
      <c r="R415" s="20">
        <f t="shared" si="16"/>
        <v>25</v>
      </c>
    </row>
    <row r="416" spans="1:18" x14ac:dyDescent="0.25">
      <c r="A416" t="s">
        <v>35</v>
      </c>
      <c r="N416" t="s">
        <v>200</v>
      </c>
      <c r="Q416" t="s">
        <v>195</v>
      </c>
      <c r="R416" s="20">
        <f t="shared" si="16"/>
        <v>15</v>
      </c>
    </row>
    <row r="417" spans="1:20" x14ac:dyDescent="0.25">
      <c r="A417" t="s">
        <v>35</v>
      </c>
      <c r="N417" t="s">
        <v>201</v>
      </c>
      <c r="Q417" t="s">
        <v>195</v>
      </c>
      <c r="R417" s="20">
        <f t="shared" si="16"/>
        <v>0</v>
      </c>
    </row>
    <row r="418" spans="1:20" x14ac:dyDescent="0.25">
      <c r="A418" t="s">
        <v>35</v>
      </c>
      <c r="N418" t="s">
        <v>204</v>
      </c>
      <c r="Q418" t="s">
        <v>195</v>
      </c>
      <c r="R418" s="20">
        <f t="shared" si="16"/>
        <v>-5</v>
      </c>
    </row>
    <row r="420" spans="1:20" x14ac:dyDescent="0.25">
      <c r="A420" s="21" t="s">
        <v>208</v>
      </c>
      <c r="B420" s="21"/>
      <c r="C420" s="21"/>
    </row>
    <row r="421" spans="1:20" x14ac:dyDescent="0.25">
      <c r="A421" t="s">
        <v>28</v>
      </c>
      <c r="N421" t="s">
        <v>197</v>
      </c>
      <c r="Q421" t="s">
        <v>195</v>
      </c>
      <c r="R421">
        <v>20</v>
      </c>
    </row>
    <row r="422" spans="1:20" x14ac:dyDescent="0.25">
      <c r="A422" t="s">
        <v>28</v>
      </c>
      <c r="N422" t="s">
        <v>198</v>
      </c>
      <c r="Q422" t="s">
        <v>195</v>
      </c>
      <c r="R422">
        <v>15</v>
      </c>
    </row>
    <row r="423" spans="1:20" x14ac:dyDescent="0.25">
      <c r="A423" t="s">
        <v>28</v>
      </c>
      <c r="N423" t="s">
        <v>199</v>
      </c>
      <c r="Q423" t="s">
        <v>195</v>
      </c>
      <c r="R423">
        <v>10</v>
      </c>
    </row>
    <row r="424" spans="1:20" s="4" customFormat="1" x14ac:dyDescent="0.25">
      <c r="A424" s="4" t="s">
        <v>267</v>
      </c>
      <c r="N424" s="4" t="s">
        <v>197</v>
      </c>
      <c r="Q424" s="4" t="s">
        <v>195</v>
      </c>
      <c r="R424" s="20">
        <f>R421</f>
        <v>20</v>
      </c>
      <c r="T424" s="4" t="s">
        <v>277</v>
      </c>
    </row>
    <row r="425" spans="1:20" s="4" customFormat="1" x14ac:dyDescent="0.25">
      <c r="A425" s="4" t="s">
        <v>267</v>
      </c>
      <c r="N425" s="4" t="s">
        <v>198</v>
      </c>
      <c r="Q425" s="4" t="s">
        <v>195</v>
      </c>
      <c r="R425" s="20">
        <f t="shared" ref="R425:R426" si="17">R422</f>
        <v>15</v>
      </c>
    </row>
    <row r="426" spans="1:20" s="4" customFormat="1" x14ac:dyDescent="0.25">
      <c r="A426" s="4" t="s">
        <v>267</v>
      </c>
      <c r="N426" s="4" t="s">
        <v>199</v>
      </c>
      <c r="Q426" s="4" t="s">
        <v>195</v>
      </c>
      <c r="R426" s="20">
        <f t="shared" si="17"/>
        <v>10</v>
      </c>
    </row>
    <row r="427" spans="1:20" x14ac:dyDescent="0.25">
      <c r="A427" t="s">
        <v>30</v>
      </c>
      <c r="N427" t="s">
        <v>197</v>
      </c>
      <c r="Q427" t="s">
        <v>195</v>
      </c>
      <c r="R427" s="20">
        <f>R421</f>
        <v>20</v>
      </c>
    </row>
    <row r="428" spans="1:20" x14ac:dyDescent="0.25">
      <c r="A428" t="s">
        <v>30</v>
      </c>
      <c r="N428" t="s">
        <v>198</v>
      </c>
      <c r="Q428" t="s">
        <v>195</v>
      </c>
      <c r="R428" s="20">
        <f t="shared" ref="R428:R429" si="18">R422</f>
        <v>15</v>
      </c>
    </row>
    <row r="429" spans="1:20" x14ac:dyDescent="0.25">
      <c r="A429" t="s">
        <v>30</v>
      </c>
      <c r="N429" t="s">
        <v>199</v>
      </c>
      <c r="Q429" t="s">
        <v>195</v>
      </c>
      <c r="R429" s="20">
        <f t="shared" si="18"/>
        <v>10</v>
      </c>
    </row>
    <row r="430" spans="1:20" x14ac:dyDescent="0.25">
      <c r="A430" t="s">
        <v>36</v>
      </c>
      <c r="N430" t="s">
        <v>197</v>
      </c>
      <c r="Q430" t="s">
        <v>195</v>
      </c>
      <c r="R430">
        <v>60</v>
      </c>
    </row>
    <row r="431" spans="1:20" x14ac:dyDescent="0.25">
      <c r="A431" t="s">
        <v>36</v>
      </c>
      <c r="N431" t="s">
        <v>198</v>
      </c>
      <c r="Q431" t="s">
        <v>195</v>
      </c>
      <c r="R431">
        <v>45</v>
      </c>
    </row>
    <row r="432" spans="1:20" x14ac:dyDescent="0.25">
      <c r="A432" t="s">
        <v>36</v>
      </c>
      <c r="N432" t="s">
        <v>199</v>
      </c>
      <c r="Q432" t="s">
        <v>195</v>
      </c>
      <c r="R432">
        <v>35</v>
      </c>
    </row>
    <row r="433" spans="1:21" x14ac:dyDescent="0.25">
      <c r="A433" t="s">
        <v>36</v>
      </c>
      <c r="N433" t="s">
        <v>200</v>
      </c>
      <c r="Q433" t="s">
        <v>195</v>
      </c>
      <c r="R433">
        <v>25</v>
      </c>
    </row>
    <row r="434" spans="1:21" x14ac:dyDescent="0.25">
      <c r="A434" t="s">
        <v>36</v>
      </c>
      <c r="N434" t="s">
        <v>201</v>
      </c>
      <c r="Q434" t="s">
        <v>195</v>
      </c>
      <c r="R434">
        <v>10</v>
      </c>
    </row>
    <row r="435" spans="1:21" x14ac:dyDescent="0.25">
      <c r="A435" t="s">
        <v>39</v>
      </c>
      <c r="N435" t="s">
        <v>197</v>
      </c>
      <c r="Q435" t="s">
        <v>195</v>
      </c>
      <c r="R435">
        <v>15</v>
      </c>
    </row>
    <row r="436" spans="1:21" x14ac:dyDescent="0.25">
      <c r="A436" t="s">
        <v>39</v>
      </c>
      <c r="N436" t="s">
        <v>198</v>
      </c>
      <c r="Q436" t="s">
        <v>195</v>
      </c>
      <c r="R436">
        <v>5</v>
      </c>
    </row>
    <row r="437" spans="1:21" x14ac:dyDescent="0.25">
      <c r="A437" s="4" t="s">
        <v>56</v>
      </c>
      <c r="B437" s="6"/>
      <c r="C437" s="6"/>
      <c r="N437" t="s">
        <v>197</v>
      </c>
      <c r="Q437" t="s">
        <v>195</v>
      </c>
      <c r="R437">
        <v>25</v>
      </c>
      <c r="T437" t="s">
        <v>288</v>
      </c>
      <c r="U437" t="s">
        <v>287</v>
      </c>
    </row>
    <row r="438" spans="1:21" x14ac:dyDescent="0.25">
      <c r="A438" s="4" t="s">
        <v>56</v>
      </c>
      <c r="B438" s="6"/>
      <c r="C438" s="6"/>
      <c r="N438" t="s">
        <v>198</v>
      </c>
      <c r="Q438" t="s">
        <v>195</v>
      </c>
      <c r="R438">
        <v>25</v>
      </c>
    </row>
    <row r="439" spans="1:21" x14ac:dyDescent="0.25">
      <c r="A439" s="4" t="s">
        <v>56</v>
      </c>
      <c r="B439" s="6"/>
      <c r="C439" s="6"/>
      <c r="N439" t="s">
        <v>199</v>
      </c>
      <c r="Q439" t="s">
        <v>195</v>
      </c>
      <c r="R439">
        <v>25</v>
      </c>
    </row>
    <row r="441" spans="1:21" x14ac:dyDescent="0.25">
      <c r="A441" s="21" t="s">
        <v>209</v>
      </c>
      <c r="B441" s="21"/>
      <c r="C441" s="21"/>
    </row>
    <row r="442" spans="1:21" x14ac:dyDescent="0.25">
      <c r="A442" t="s">
        <v>46</v>
      </c>
      <c r="Q442" t="s">
        <v>194</v>
      </c>
      <c r="R442">
        <v>0.46200000000000002</v>
      </c>
    </row>
    <row r="443" spans="1:21" x14ac:dyDescent="0.25">
      <c r="A443" t="s">
        <v>46</v>
      </c>
      <c r="Q443" t="s">
        <v>195</v>
      </c>
      <c r="R443">
        <v>13.85</v>
      </c>
    </row>
    <row r="444" spans="1:21" x14ac:dyDescent="0.25">
      <c r="A444" s="4" t="s">
        <v>47</v>
      </c>
      <c r="B444" s="6"/>
      <c r="C444" s="6"/>
      <c r="Q444" t="s">
        <v>194</v>
      </c>
      <c r="R444" s="20">
        <f>R442</f>
        <v>0.46200000000000002</v>
      </c>
      <c r="T444" t="s">
        <v>239</v>
      </c>
    </row>
    <row r="445" spans="1:21" x14ac:dyDescent="0.25">
      <c r="A445" s="4" t="s">
        <v>47</v>
      </c>
      <c r="B445" s="6"/>
      <c r="C445" s="6"/>
      <c r="Q445" t="s">
        <v>195</v>
      </c>
      <c r="R445" s="20">
        <f>R443</f>
        <v>13.85</v>
      </c>
    </row>
    <row r="446" spans="1:21" x14ac:dyDescent="0.25">
      <c r="A446" t="s">
        <v>45</v>
      </c>
      <c r="Q446" t="s">
        <v>194</v>
      </c>
      <c r="R446">
        <v>2.5</v>
      </c>
    </row>
    <row r="447" spans="1:21" x14ac:dyDescent="0.25">
      <c r="A447" t="s">
        <v>45</v>
      </c>
      <c r="Q447" t="s">
        <v>195</v>
      </c>
      <c r="R447">
        <v>-45</v>
      </c>
    </row>
    <row r="448" spans="1:21" x14ac:dyDescent="0.25">
      <c r="A448" t="s">
        <v>48</v>
      </c>
      <c r="Q448" t="s">
        <v>194</v>
      </c>
      <c r="R448">
        <v>2.6669999999999998</v>
      </c>
      <c r="T448" t="s">
        <v>210</v>
      </c>
    </row>
    <row r="449" spans="1:20" x14ac:dyDescent="0.25">
      <c r="A449" t="s">
        <v>48</v>
      </c>
      <c r="Q449" t="s">
        <v>195</v>
      </c>
      <c r="R449">
        <v>-33.33</v>
      </c>
    </row>
    <row r="450" spans="1:20" x14ac:dyDescent="0.25">
      <c r="A450" s="4" t="s">
        <v>52</v>
      </c>
      <c r="B450" s="6"/>
      <c r="C450" s="6"/>
      <c r="Q450" t="s">
        <v>194</v>
      </c>
      <c r="R450" s="20">
        <f>R448</f>
        <v>2.6669999999999998</v>
      </c>
      <c r="T450" t="s">
        <v>240</v>
      </c>
    </row>
    <row r="451" spans="1:20" x14ac:dyDescent="0.25">
      <c r="A451" s="4" t="s">
        <v>52</v>
      </c>
      <c r="B451" s="6"/>
      <c r="C451" s="6"/>
      <c r="Q451" t="s">
        <v>195</v>
      </c>
      <c r="R451" s="20">
        <f>R449</f>
        <v>-33.33</v>
      </c>
    </row>
    <row r="452" spans="1:20" x14ac:dyDescent="0.25">
      <c r="A452" s="4" t="s">
        <v>53</v>
      </c>
      <c r="Q452" t="s">
        <v>194</v>
      </c>
      <c r="R452" s="20">
        <f>R450</f>
        <v>2.6669999999999998</v>
      </c>
      <c r="T452" t="s">
        <v>240</v>
      </c>
    </row>
    <row r="453" spans="1:20" x14ac:dyDescent="0.25">
      <c r="A453" s="4" t="s">
        <v>53</v>
      </c>
      <c r="Q453" t="s">
        <v>195</v>
      </c>
      <c r="R453" s="20">
        <f>R451</f>
        <v>-33.33</v>
      </c>
    </row>
    <row r="454" spans="1:20" x14ac:dyDescent="0.25">
      <c r="A454" t="s">
        <v>49</v>
      </c>
      <c r="Q454" t="s">
        <v>194</v>
      </c>
      <c r="R454">
        <v>0.5</v>
      </c>
    </row>
    <row r="455" spans="1:20" x14ac:dyDescent="0.25">
      <c r="A455" t="s">
        <v>49</v>
      </c>
      <c r="Q455" t="s">
        <v>195</v>
      </c>
      <c r="R455">
        <v>15</v>
      </c>
    </row>
    <row r="456" spans="1:20" x14ac:dyDescent="0.25">
      <c r="A456" t="s">
        <v>50</v>
      </c>
      <c r="Q456" t="s">
        <v>194</v>
      </c>
      <c r="R456">
        <v>0.66700000000000004</v>
      </c>
    </row>
    <row r="457" spans="1:20" x14ac:dyDescent="0.25">
      <c r="A457" t="s">
        <v>50</v>
      </c>
      <c r="Q457" t="s">
        <v>195</v>
      </c>
      <c r="R457">
        <v>-3.33</v>
      </c>
    </row>
    <row r="458" spans="1:20" x14ac:dyDescent="0.25">
      <c r="A458" t="s">
        <v>51</v>
      </c>
      <c r="Q458" t="s">
        <v>194</v>
      </c>
      <c r="R458" s="20">
        <f>R456</f>
        <v>0.66700000000000004</v>
      </c>
    </row>
    <row r="459" spans="1:20" x14ac:dyDescent="0.25">
      <c r="A459" t="s">
        <v>51</v>
      </c>
      <c r="Q459" t="s">
        <v>195</v>
      </c>
      <c r="R459" s="20">
        <f>R457</f>
        <v>-3.33</v>
      </c>
    </row>
    <row r="461" spans="1:20" x14ac:dyDescent="0.25">
      <c r="A461" t="s">
        <v>67</v>
      </c>
      <c r="Q461" t="s">
        <v>195</v>
      </c>
      <c r="R461">
        <v>0</v>
      </c>
      <c r="T461" t="s">
        <v>211</v>
      </c>
    </row>
    <row r="462" spans="1:20" x14ac:dyDescent="0.25">
      <c r="A462" t="s">
        <v>70</v>
      </c>
      <c r="Q462" t="s">
        <v>195</v>
      </c>
      <c r="R462">
        <v>0</v>
      </c>
    </row>
    <row r="463" spans="1:20" x14ac:dyDescent="0.25">
      <c r="A463" t="s">
        <v>71</v>
      </c>
      <c r="Q463" t="s">
        <v>195</v>
      </c>
      <c r="R463">
        <v>0</v>
      </c>
    </row>
    <row r="464" spans="1:20" x14ac:dyDescent="0.25">
      <c r="A464" t="s">
        <v>43</v>
      </c>
      <c r="Q464" t="s">
        <v>195</v>
      </c>
      <c r="R464">
        <v>0</v>
      </c>
    </row>
    <row r="465" spans="1:21" x14ac:dyDescent="0.25">
      <c r="A465" t="s">
        <v>44</v>
      </c>
      <c r="Q465" t="s">
        <v>195</v>
      </c>
      <c r="R465">
        <v>0</v>
      </c>
    </row>
    <row r="467" spans="1:21" x14ac:dyDescent="0.25">
      <c r="A467" s="6" t="s">
        <v>29</v>
      </c>
      <c r="B467" s="6"/>
      <c r="C467" s="6"/>
    </row>
    <row r="468" spans="1:21" x14ac:dyDescent="0.25">
      <c r="A468" s="4" t="s">
        <v>31</v>
      </c>
      <c r="B468" s="6"/>
      <c r="C468" s="6"/>
      <c r="Q468" t="s">
        <v>195</v>
      </c>
      <c r="R468">
        <v>10</v>
      </c>
      <c r="U468" t="s">
        <v>286</v>
      </c>
    </row>
    <row r="469" spans="1:21" x14ac:dyDescent="0.25">
      <c r="A469" s="4" t="s">
        <v>37</v>
      </c>
      <c r="B469" s="6"/>
      <c r="C469" s="6"/>
      <c r="Q469" t="s">
        <v>195</v>
      </c>
      <c r="R469">
        <v>15</v>
      </c>
      <c r="T469" t="s">
        <v>255</v>
      </c>
      <c r="U469" t="s">
        <v>256</v>
      </c>
    </row>
    <row r="470" spans="1:21" x14ac:dyDescent="0.25">
      <c r="A470" s="6" t="s">
        <v>69</v>
      </c>
      <c r="B470" s="6"/>
      <c r="C470" s="6"/>
    </row>
    <row r="471" spans="1:21" x14ac:dyDescent="0.25">
      <c r="A471" s="6" t="s">
        <v>54</v>
      </c>
      <c r="B471" s="6"/>
      <c r="C471" s="6"/>
    </row>
    <row r="472" spans="1:21" x14ac:dyDescent="0.25">
      <c r="A472" s="6" t="s">
        <v>55</v>
      </c>
      <c r="B472" s="6"/>
      <c r="C472" s="6"/>
    </row>
    <row r="473" spans="1:21" x14ac:dyDescent="0.25">
      <c r="A473" s="4" t="s">
        <v>57</v>
      </c>
      <c r="B473" s="6"/>
      <c r="C473" s="6"/>
      <c r="Q473" t="s">
        <v>195</v>
      </c>
      <c r="R473">
        <v>15</v>
      </c>
      <c r="U473" s="25" t="s">
        <v>285</v>
      </c>
    </row>
    <row r="474" spans="1:21" x14ac:dyDescent="0.25">
      <c r="A474" s="4" t="s">
        <v>58</v>
      </c>
      <c r="B474" s="6"/>
      <c r="C474" s="6"/>
      <c r="Q474" t="s">
        <v>195</v>
      </c>
      <c r="R474" s="24">
        <f>R473</f>
        <v>15</v>
      </c>
      <c r="T474" t="s">
        <v>284</v>
      </c>
    </row>
    <row r="475" spans="1:21" x14ac:dyDescent="0.25">
      <c r="A475" s="4" t="s">
        <v>59</v>
      </c>
      <c r="B475" s="6"/>
      <c r="C475" s="6"/>
      <c r="Q475" t="s">
        <v>195</v>
      </c>
      <c r="R475" s="24">
        <f>R473</f>
        <v>15</v>
      </c>
      <c r="T475" t="s">
        <v>284</v>
      </c>
    </row>
    <row r="476" spans="1:21" x14ac:dyDescent="0.25">
      <c r="A476" s="6"/>
      <c r="B476" s="6"/>
      <c r="C476" s="6"/>
    </row>
    <row r="477" spans="1:21" x14ac:dyDescent="0.25">
      <c r="A477" s="4" t="s">
        <v>60</v>
      </c>
      <c r="B477" s="6"/>
      <c r="C477" s="6"/>
      <c r="Q477" t="s">
        <v>194</v>
      </c>
      <c r="R477">
        <v>0.6</v>
      </c>
      <c r="U477" t="s">
        <v>307</v>
      </c>
    </row>
    <row r="478" spans="1:21" x14ac:dyDescent="0.25">
      <c r="A478" s="4" t="s">
        <v>61</v>
      </c>
      <c r="B478" s="6"/>
      <c r="C478" s="6"/>
      <c r="Q478" t="s">
        <v>194</v>
      </c>
      <c r="R478" s="4">
        <v>1.6</v>
      </c>
      <c r="U478" t="s">
        <v>307</v>
      </c>
    </row>
    <row r="479" spans="1:21" x14ac:dyDescent="0.25">
      <c r="A479" s="4" t="s">
        <v>62</v>
      </c>
      <c r="B479" s="6"/>
      <c r="C479" s="6"/>
      <c r="Q479" t="s">
        <v>194</v>
      </c>
      <c r="R479" s="24">
        <f>AVERAGE(R477:R478)</f>
        <v>1.1000000000000001</v>
      </c>
      <c r="T479" s="6" t="s">
        <v>306</v>
      </c>
    </row>
    <row r="480" spans="1:21" x14ac:dyDescent="0.25">
      <c r="A480" s="4" t="s">
        <v>63</v>
      </c>
      <c r="B480" s="6"/>
      <c r="C480" s="6"/>
      <c r="Q480" t="s">
        <v>194</v>
      </c>
      <c r="R480" s="24">
        <f>AVERAGE(R477:R478)</f>
        <v>1.1000000000000001</v>
      </c>
    </row>
    <row r="481" spans="1:21" x14ac:dyDescent="0.25">
      <c r="A481" s="4" t="s">
        <v>64</v>
      </c>
      <c r="B481" s="6"/>
      <c r="C481" s="6"/>
      <c r="Q481" t="s">
        <v>194</v>
      </c>
      <c r="R481" s="24">
        <f>AVERAGE(R477:R478)</f>
        <v>1.1000000000000001</v>
      </c>
    </row>
    <row r="482" spans="1:21" x14ac:dyDescent="0.25">
      <c r="A482" s="4" t="s">
        <v>65</v>
      </c>
      <c r="B482" s="6"/>
      <c r="C482" s="6"/>
      <c r="Q482" t="s">
        <v>194</v>
      </c>
      <c r="R482" s="24">
        <f>AVERAGE(R477:R478)</f>
        <v>1.1000000000000001</v>
      </c>
    </row>
    <row r="483" spans="1:21" x14ac:dyDescent="0.25">
      <c r="A483" s="4" t="s">
        <v>66</v>
      </c>
      <c r="B483" s="6"/>
      <c r="C483" s="6"/>
      <c r="Q483" t="s">
        <v>194</v>
      </c>
      <c r="R483" s="24">
        <f>AVERAGE(R477:R478)</f>
        <v>1.1000000000000001</v>
      </c>
    </row>
    <row r="485" spans="1:21" x14ac:dyDescent="0.25">
      <c r="A485" s="2" t="s">
        <v>223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3"/>
      <c r="U485" s="3"/>
    </row>
    <row r="486" spans="1:21" x14ac:dyDescent="0.25">
      <c r="A486" s="18" t="s">
        <v>224</v>
      </c>
      <c r="B486" s="18"/>
      <c r="C486" s="18"/>
    </row>
    <row r="487" spans="1:21" x14ac:dyDescent="0.25">
      <c r="A487" s="18" t="s">
        <v>225</v>
      </c>
      <c r="B487" s="18"/>
      <c r="C487" s="18"/>
    </row>
    <row r="488" spans="1:21" x14ac:dyDescent="0.25">
      <c r="A488" s="18" t="s">
        <v>229</v>
      </c>
      <c r="B488" s="18"/>
      <c r="C488" s="18"/>
    </row>
    <row r="489" spans="1:21" x14ac:dyDescent="0.25">
      <c r="Q489" s="5" t="s">
        <v>226</v>
      </c>
      <c r="R489" s="23">
        <v>1</v>
      </c>
      <c r="S489" s="5"/>
      <c r="T489" s="5" t="s">
        <v>151</v>
      </c>
    </row>
    <row r="490" spans="1:21" x14ac:dyDescent="0.25">
      <c r="B490" s="4" t="s">
        <v>231</v>
      </c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 t="s">
        <v>226</v>
      </c>
      <c r="R490" s="22">
        <v>1.4</v>
      </c>
      <c r="S490" s="4"/>
      <c r="T490" s="4" t="s">
        <v>232</v>
      </c>
      <c r="U490" s="4"/>
    </row>
    <row r="491" spans="1:21" x14ac:dyDescent="0.25">
      <c r="B491" s="4" t="s">
        <v>238</v>
      </c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 t="s">
        <v>226</v>
      </c>
      <c r="R491" s="22">
        <v>1.4</v>
      </c>
      <c r="S491" s="4"/>
      <c r="T491" s="4" t="s">
        <v>232</v>
      </c>
      <c r="U491" s="4"/>
    </row>
    <row r="492" spans="1:21" x14ac:dyDescent="0.25">
      <c r="B492" t="s">
        <v>233</v>
      </c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 t="s">
        <v>226</v>
      </c>
      <c r="R492" s="22">
        <v>1.2</v>
      </c>
      <c r="S492" s="4"/>
      <c r="T492" s="4" t="s">
        <v>232</v>
      </c>
      <c r="U492" s="4"/>
    </row>
    <row r="493" spans="1:21" x14ac:dyDescent="0.25">
      <c r="A493" t="s">
        <v>38</v>
      </c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 t="s">
        <v>226</v>
      </c>
      <c r="R493" s="22">
        <v>1.25</v>
      </c>
      <c r="S493" s="4"/>
      <c r="T493" s="4" t="s">
        <v>232</v>
      </c>
      <c r="U493" s="4"/>
    </row>
    <row r="494" spans="1:21" x14ac:dyDescent="0.25">
      <c r="A494" s="6"/>
      <c r="B494" s="6"/>
      <c r="C494" s="6"/>
    </row>
    <row r="495" spans="1:21" ht="19.5" customHeight="1" x14ac:dyDescent="0.25">
      <c r="A495" s="15" t="s">
        <v>298</v>
      </c>
      <c r="B495" s="15"/>
      <c r="C495" s="15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</row>
    <row r="496" spans="1:21" x14ac:dyDescent="0.25">
      <c r="A496" s="2" t="s">
        <v>299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3"/>
      <c r="U496" s="3"/>
    </row>
    <row r="497" spans="1:20" x14ac:dyDescent="0.25">
      <c r="A497" s="19" t="s">
        <v>278</v>
      </c>
      <c r="B497" s="19"/>
      <c r="C497" s="19"/>
    </row>
    <row r="498" spans="1:20" x14ac:dyDescent="0.25">
      <c r="A498" s="19" t="s">
        <v>279</v>
      </c>
      <c r="B498" s="19"/>
      <c r="C498" s="19"/>
    </row>
    <row r="499" spans="1:20" x14ac:dyDescent="0.25">
      <c r="Q499" s="5" t="s">
        <v>212</v>
      </c>
      <c r="R499" s="5">
        <v>0</v>
      </c>
      <c r="S499" s="5" t="s">
        <v>236</v>
      </c>
      <c r="T499" s="5" t="s">
        <v>151</v>
      </c>
    </row>
    <row r="500" spans="1:20" x14ac:dyDescent="0.25">
      <c r="Q500" s="5" t="s">
        <v>213</v>
      </c>
      <c r="R500" s="5">
        <v>0</v>
      </c>
      <c r="S500" s="5" t="s">
        <v>237</v>
      </c>
      <c r="T500" s="5" t="s">
        <v>151</v>
      </c>
    </row>
    <row r="501" spans="1:20" x14ac:dyDescent="0.25">
      <c r="Q501" s="5"/>
      <c r="R501" s="5"/>
      <c r="S501" s="5"/>
      <c r="T501" s="5"/>
    </row>
    <row r="502" spans="1:20" x14ac:dyDescent="0.25">
      <c r="A502" s="21" t="s">
        <v>202</v>
      </c>
      <c r="B502" s="21"/>
      <c r="C502" s="21"/>
      <c r="Q502" s="5"/>
      <c r="R502" s="5"/>
      <c r="S502" s="5"/>
      <c r="T502" s="5"/>
    </row>
    <row r="503" spans="1:20" x14ac:dyDescent="0.25">
      <c r="A503" t="s">
        <v>7</v>
      </c>
      <c r="O503" t="s">
        <v>197</v>
      </c>
      <c r="Q503" t="s">
        <v>212</v>
      </c>
      <c r="R503">
        <v>5</v>
      </c>
    </row>
    <row r="504" spans="1:20" x14ac:dyDescent="0.25">
      <c r="A504" t="s">
        <v>7</v>
      </c>
      <c r="O504" t="s">
        <v>198</v>
      </c>
      <c r="Q504" t="s">
        <v>212</v>
      </c>
      <c r="R504" s="4">
        <v>5</v>
      </c>
    </row>
    <row r="505" spans="1:20" x14ac:dyDescent="0.25">
      <c r="A505" t="s">
        <v>7</v>
      </c>
      <c r="O505" t="s">
        <v>199</v>
      </c>
      <c r="Q505" t="s">
        <v>212</v>
      </c>
      <c r="R505" s="4">
        <v>5</v>
      </c>
    </row>
    <row r="506" spans="1:20" x14ac:dyDescent="0.25">
      <c r="A506" t="s">
        <v>7</v>
      </c>
      <c r="O506" t="s">
        <v>197</v>
      </c>
      <c r="Q506" t="s">
        <v>213</v>
      </c>
      <c r="R506" s="4">
        <v>15</v>
      </c>
    </row>
    <row r="507" spans="1:20" x14ac:dyDescent="0.25">
      <c r="A507" t="s">
        <v>7</v>
      </c>
      <c r="O507" t="s">
        <v>198</v>
      </c>
      <c r="Q507" t="s">
        <v>213</v>
      </c>
      <c r="R507" s="4">
        <v>5</v>
      </c>
    </row>
    <row r="508" spans="1:20" x14ac:dyDescent="0.25">
      <c r="A508" t="s">
        <v>7</v>
      </c>
      <c r="O508" t="s">
        <v>199</v>
      </c>
      <c r="Q508" t="s">
        <v>213</v>
      </c>
      <c r="R508" s="4">
        <v>-15</v>
      </c>
    </row>
    <row r="509" spans="1:20" x14ac:dyDescent="0.25">
      <c r="A509" t="s">
        <v>25</v>
      </c>
      <c r="O509" t="s">
        <v>197</v>
      </c>
      <c r="Q509" t="s">
        <v>212</v>
      </c>
      <c r="R509" s="20">
        <f t="shared" ref="R509:R514" si="19">R503</f>
        <v>5</v>
      </c>
    </row>
    <row r="510" spans="1:20" x14ac:dyDescent="0.25">
      <c r="A510" t="s">
        <v>25</v>
      </c>
      <c r="O510" t="s">
        <v>198</v>
      </c>
      <c r="Q510" t="s">
        <v>212</v>
      </c>
      <c r="R510" s="20">
        <f t="shared" si="19"/>
        <v>5</v>
      </c>
    </row>
    <row r="511" spans="1:20" x14ac:dyDescent="0.25">
      <c r="A511" t="s">
        <v>25</v>
      </c>
      <c r="O511" t="s">
        <v>199</v>
      </c>
      <c r="Q511" t="s">
        <v>212</v>
      </c>
      <c r="R511" s="20">
        <f t="shared" si="19"/>
        <v>5</v>
      </c>
    </row>
    <row r="512" spans="1:20" x14ac:dyDescent="0.25">
      <c r="A512" t="s">
        <v>25</v>
      </c>
      <c r="O512" t="s">
        <v>197</v>
      </c>
      <c r="Q512" t="s">
        <v>213</v>
      </c>
      <c r="R512" s="20">
        <f t="shared" si="19"/>
        <v>15</v>
      </c>
    </row>
    <row r="513" spans="1:18" x14ac:dyDescent="0.25">
      <c r="A513" t="s">
        <v>25</v>
      </c>
      <c r="O513" t="s">
        <v>198</v>
      </c>
      <c r="Q513" t="s">
        <v>213</v>
      </c>
      <c r="R513" s="20">
        <f t="shared" si="19"/>
        <v>5</v>
      </c>
    </row>
    <row r="514" spans="1:18" x14ac:dyDescent="0.25">
      <c r="A514" t="s">
        <v>25</v>
      </c>
      <c r="O514" t="s">
        <v>199</v>
      </c>
      <c r="Q514" t="s">
        <v>213</v>
      </c>
      <c r="R514" s="20">
        <f t="shared" si="19"/>
        <v>-15</v>
      </c>
    </row>
    <row r="515" spans="1:18" x14ac:dyDescent="0.25">
      <c r="A515" t="s">
        <v>21</v>
      </c>
      <c r="O515" t="s">
        <v>197</v>
      </c>
      <c r="Q515" t="s">
        <v>212</v>
      </c>
      <c r="R515" s="20">
        <f t="shared" ref="R515:R520" si="20">R503</f>
        <v>5</v>
      </c>
    </row>
    <row r="516" spans="1:18" x14ac:dyDescent="0.25">
      <c r="A516" t="s">
        <v>21</v>
      </c>
      <c r="O516" t="s">
        <v>198</v>
      </c>
      <c r="Q516" t="s">
        <v>212</v>
      </c>
      <c r="R516" s="20">
        <f t="shared" si="20"/>
        <v>5</v>
      </c>
    </row>
    <row r="517" spans="1:18" x14ac:dyDescent="0.25">
      <c r="A517" t="s">
        <v>21</v>
      </c>
      <c r="O517" t="s">
        <v>199</v>
      </c>
      <c r="Q517" t="s">
        <v>212</v>
      </c>
      <c r="R517" s="20">
        <f t="shared" si="20"/>
        <v>5</v>
      </c>
    </row>
    <row r="518" spans="1:18" x14ac:dyDescent="0.25">
      <c r="A518" t="s">
        <v>21</v>
      </c>
      <c r="O518" t="s">
        <v>197</v>
      </c>
      <c r="Q518" t="s">
        <v>213</v>
      </c>
      <c r="R518" s="20">
        <f t="shared" si="20"/>
        <v>15</v>
      </c>
    </row>
    <row r="519" spans="1:18" x14ac:dyDescent="0.25">
      <c r="A519" t="s">
        <v>21</v>
      </c>
      <c r="O519" t="s">
        <v>198</v>
      </c>
      <c r="Q519" t="s">
        <v>213</v>
      </c>
      <c r="R519" s="20">
        <f t="shared" si="20"/>
        <v>5</v>
      </c>
    </row>
    <row r="520" spans="1:18" x14ac:dyDescent="0.25">
      <c r="A520" t="s">
        <v>21</v>
      </c>
      <c r="O520" t="s">
        <v>199</v>
      </c>
      <c r="Q520" t="s">
        <v>213</v>
      </c>
      <c r="R520" s="20">
        <f t="shared" si="20"/>
        <v>-15</v>
      </c>
    </row>
    <row r="521" spans="1:18" x14ac:dyDescent="0.25">
      <c r="A521" t="s">
        <v>23</v>
      </c>
      <c r="O521" t="s">
        <v>197</v>
      </c>
      <c r="Q521" t="s">
        <v>212</v>
      </c>
      <c r="R521" s="20">
        <f t="shared" ref="R521:R526" si="21">R503</f>
        <v>5</v>
      </c>
    </row>
    <row r="522" spans="1:18" x14ac:dyDescent="0.25">
      <c r="A522" t="s">
        <v>23</v>
      </c>
      <c r="O522" t="s">
        <v>198</v>
      </c>
      <c r="Q522" t="s">
        <v>212</v>
      </c>
      <c r="R522" s="20">
        <f t="shared" si="21"/>
        <v>5</v>
      </c>
    </row>
    <row r="523" spans="1:18" x14ac:dyDescent="0.25">
      <c r="A523" t="s">
        <v>23</v>
      </c>
      <c r="O523" t="s">
        <v>199</v>
      </c>
      <c r="Q523" t="s">
        <v>212</v>
      </c>
      <c r="R523" s="20">
        <f t="shared" si="21"/>
        <v>5</v>
      </c>
    </row>
    <row r="524" spans="1:18" x14ac:dyDescent="0.25">
      <c r="A524" t="s">
        <v>23</v>
      </c>
      <c r="O524" t="s">
        <v>197</v>
      </c>
      <c r="Q524" t="s">
        <v>213</v>
      </c>
      <c r="R524" s="20">
        <f t="shared" si="21"/>
        <v>15</v>
      </c>
    </row>
    <row r="525" spans="1:18" x14ac:dyDescent="0.25">
      <c r="A525" t="s">
        <v>23</v>
      </c>
      <c r="O525" t="s">
        <v>198</v>
      </c>
      <c r="Q525" t="s">
        <v>213</v>
      </c>
      <c r="R525" s="20">
        <f t="shared" si="21"/>
        <v>5</v>
      </c>
    </row>
    <row r="526" spans="1:18" x14ac:dyDescent="0.25">
      <c r="A526" t="s">
        <v>23</v>
      </c>
      <c r="O526" t="s">
        <v>199</v>
      </c>
      <c r="Q526" t="s">
        <v>213</v>
      </c>
      <c r="R526" s="20">
        <f t="shared" si="21"/>
        <v>-15</v>
      </c>
    </row>
    <row r="528" spans="1:18" x14ac:dyDescent="0.25">
      <c r="A528" s="21" t="s">
        <v>203</v>
      </c>
      <c r="B528" s="21"/>
      <c r="C528" s="21"/>
    </row>
    <row r="529" spans="1:18" x14ac:dyDescent="0.25">
      <c r="A529" t="s">
        <v>14</v>
      </c>
      <c r="O529" t="s">
        <v>197</v>
      </c>
      <c r="Q529" t="s">
        <v>212</v>
      </c>
      <c r="R529">
        <v>5</v>
      </c>
    </row>
    <row r="530" spans="1:18" x14ac:dyDescent="0.25">
      <c r="A530" t="s">
        <v>14</v>
      </c>
      <c r="O530" t="s">
        <v>198</v>
      </c>
      <c r="Q530" t="s">
        <v>212</v>
      </c>
      <c r="R530">
        <v>5</v>
      </c>
    </row>
    <row r="531" spans="1:18" x14ac:dyDescent="0.25">
      <c r="A531" t="s">
        <v>14</v>
      </c>
      <c r="O531" t="s">
        <v>199</v>
      </c>
      <c r="Q531" t="s">
        <v>212</v>
      </c>
      <c r="R531">
        <v>5</v>
      </c>
    </row>
    <row r="532" spans="1:18" x14ac:dyDescent="0.25">
      <c r="A532" t="s">
        <v>14</v>
      </c>
      <c r="O532" t="s">
        <v>197</v>
      </c>
      <c r="Q532" t="s">
        <v>213</v>
      </c>
      <c r="R532">
        <v>15</v>
      </c>
    </row>
    <row r="533" spans="1:18" x14ac:dyDescent="0.25">
      <c r="A533" t="s">
        <v>14</v>
      </c>
      <c r="O533" t="s">
        <v>198</v>
      </c>
      <c r="Q533" t="s">
        <v>213</v>
      </c>
      <c r="R533">
        <v>5</v>
      </c>
    </row>
    <row r="534" spans="1:18" x14ac:dyDescent="0.25">
      <c r="A534" t="s">
        <v>14</v>
      </c>
      <c r="O534" t="s">
        <v>199</v>
      </c>
      <c r="Q534" t="s">
        <v>213</v>
      </c>
      <c r="R534">
        <v>-15</v>
      </c>
    </row>
    <row r="535" spans="1:18" x14ac:dyDescent="0.25">
      <c r="A535" t="s">
        <v>15</v>
      </c>
      <c r="O535" t="s">
        <v>197</v>
      </c>
      <c r="Q535" t="s">
        <v>212</v>
      </c>
      <c r="R535" s="20">
        <f t="shared" ref="R535:R540" si="22">R529</f>
        <v>5</v>
      </c>
    </row>
    <row r="536" spans="1:18" x14ac:dyDescent="0.25">
      <c r="A536" t="s">
        <v>15</v>
      </c>
      <c r="O536" t="s">
        <v>198</v>
      </c>
      <c r="Q536" t="s">
        <v>212</v>
      </c>
      <c r="R536" s="20">
        <f t="shared" si="22"/>
        <v>5</v>
      </c>
    </row>
    <row r="537" spans="1:18" x14ac:dyDescent="0.25">
      <c r="A537" t="s">
        <v>15</v>
      </c>
      <c r="O537" t="s">
        <v>199</v>
      </c>
      <c r="Q537" t="s">
        <v>212</v>
      </c>
      <c r="R537" s="20">
        <f t="shared" si="22"/>
        <v>5</v>
      </c>
    </row>
    <row r="538" spans="1:18" x14ac:dyDescent="0.25">
      <c r="A538" t="s">
        <v>15</v>
      </c>
      <c r="O538" t="s">
        <v>197</v>
      </c>
      <c r="Q538" t="s">
        <v>213</v>
      </c>
      <c r="R538" s="20">
        <f t="shared" si="22"/>
        <v>15</v>
      </c>
    </row>
    <row r="539" spans="1:18" x14ac:dyDescent="0.25">
      <c r="A539" t="s">
        <v>15</v>
      </c>
      <c r="O539" t="s">
        <v>198</v>
      </c>
      <c r="Q539" t="s">
        <v>213</v>
      </c>
      <c r="R539" s="20">
        <f t="shared" si="22"/>
        <v>5</v>
      </c>
    </row>
    <row r="540" spans="1:18" x14ac:dyDescent="0.25">
      <c r="A540" t="s">
        <v>15</v>
      </c>
      <c r="O540" t="s">
        <v>199</v>
      </c>
      <c r="Q540" t="s">
        <v>213</v>
      </c>
      <c r="R540" s="20">
        <f t="shared" si="22"/>
        <v>-15</v>
      </c>
    </row>
    <row r="541" spans="1:18" x14ac:dyDescent="0.25">
      <c r="A541" t="s">
        <v>19</v>
      </c>
      <c r="O541" t="s">
        <v>197</v>
      </c>
      <c r="Q541" t="s">
        <v>212</v>
      </c>
      <c r="R541" s="20">
        <f t="shared" ref="R541:R546" si="23">R529</f>
        <v>5</v>
      </c>
    </row>
    <row r="542" spans="1:18" x14ac:dyDescent="0.25">
      <c r="A542" t="s">
        <v>19</v>
      </c>
      <c r="O542" t="s">
        <v>198</v>
      </c>
      <c r="Q542" t="s">
        <v>212</v>
      </c>
      <c r="R542" s="20">
        <f t="shared" si="23"/>
        <v>5</v>
      </c>
    </row>
    <row r="543" spans="1:18" x14ac:dyDescent="0.25">
      <c r="A543" t="s">
        <v>19</v>
      </c>
      <c r="O543" t="s">
        <v>199</v>
      </c>
      <c r="Q543" t="s">
        <v>212</v>
      </c>
      <c r="R543" s="20">
        <f t="shared" si="23"/>
        <v>5</v>
      </c>
    </row>
    <row r="544" spans="1:18" x14ac:dyDescent="0.25">
      <c r="A544" t="s">
        <v>19</v>
      </c>
      <c r="O544" t="s">
        <v>197</v>
      </c>
      <c r="Q544" t="s">
        <v>213</v>
      </c>
      <c r="R544" s="20">
        <f t="shared" si="23"/>
        <v>15</v>
      </c>
    </row>
    <row r="545" spans="1:18" x14ac:dyDescent="0.25">
      <c r="A545" t="s">
        <v>19</v>
      </c>
      <c r="O545" t="s">
        <v>198</v>
      </c>
      <c r="Q545" t="s">
        <v>213</v>
      </c>
      <c r="R545" s="20">
        <f t="shared" si="23"/>
        <v>5</v>
      </c>
    </row>
    <row r="546" spans="1:18" x14ac:dyDescent="0.25">
      <c r="A546" t="s">
        <v>19</v>
      </c>
      <c r="O546" t="s">
        <v>199</v>
      </c>
      <c r="Q546" t="s">
        <v>213</v>
      </c>
      <c r="R546" s="20">
        <f t="shared" si="23"/>
        <v>-15</v>
      </c>
    </row>
    <row r="547" spans="1:18" s="4" customFormat="1" x14ac:dyDescent="0.25">
      <c r="A547" s="4" t="s">
        <v>266</v>
      </c>
      <c r="O547" t="s">
        <v>197</v>
      </c>
      <c r="Q547" s="4" t="s">
        <v>212</v>
      </c>
      <c r="R547" s="20">
        <f t="shared" ref="R547:R552" si="24">R529</f>
        <v>5</v>
      </c>
    </row>
    <row r="548" spans="1:18" s="4" customFormat="1" x14ac:dyDescent="0.25">
      <c r="A548" s="4" t="s">
        <v>266</v>
      </c>
      <c r="O548" t="s">
        <v>198</v>
      </c>
      <c r="Q548" s="4" t="s">
        <v>212</v>
      </c>
      <c r="R548" s="20">
        <f t="shared" si="24"/>
        <v>5</v>
      </c>
    </row>
    <row r="549" spans="1:18" s="4" customFormat="1" x14ac:dyDescent="0.25">
      <c r="A549" s="4" t="s">
        <v>266</v>
      </c>
      <c r="O549" t="s">
        <v>199</v>
      </c>
      <c r="Q549" s="4" t="s">
        <v>212</v>
      </c>
      <c r="R549" s="20">
        <f t="shared" si="24"/>
        <v>5</v>
      </c>
    </row>
    <row r="550" spans="1:18" s="4" customFormat="1" x14ac:dyDescent="0.25">
      <c r="A550" s="4" t="s">
        <v>266</v>
      </c>
      <c r="O550" t="s">
        <v>197</v>
      </c>
      <c r="Q550" s="4" t="s">
        <v>213</v>
      </c>
      <c r="R550" s="20">
        <f t="shared" si="24"/>
        <v>15</v>
      </c>
    </row>
    <row r="551" spans="1:18" s="4" customFormat="1" x14ac:dyDescent="0.25">
      <c r="A551" s="4" t="s">
        <v>266</v>
      </c>
      <c r="O551" t="s">
        <v>198</v>
      </c>
      <c r="Q551" s="4" t="s">
        <v>213</v>
      </c>
      <c r="R551" s="20">
        <f t="shared" si="24"/>
        <v>5</v>
      </c>
    </row>
    <row r="552" spans="1:18" s="4" customFormat="1" x14ac:dyDescent="0.25">
      <c r="A552" s="4" t="s">
        <v>266</v>
      </c>
      <c r="O552" t="s">
        <v>199</v>
      </c>
      <c r="Q552" s="4" t="s">
        <v>213</v>
      </c>
      <c r="R552" s="20">
        <f t="shared" si="24"/>
        <v>-15</v>
      </c>
    </row>
    <row r="553" spans="1:18" x14ac:dyDescent="0.25">
      <c r="A553" t="s">
        <v>22</v>
      </c>
      <c r="O553" t="s">
        <v>197</v>
      </c>
      <c r="Q553" t="s">
        <v>212</v>
      </c>
      <c r="R553" s="20">
        <f t="shared" ref="R553:R558" si="25">R529</f>
        <v>5</v>
      </c>
    </row>
    <row r="554" spans="1:18" x14ac:dyDescent="0.25">
      <c r="A554" t="s">
        <v>22</v>
      </c>
      <c r="O554" t="s">
        <v>198</v>
      </c>
      <c r="Q554" t="s">
        <v>212</v>
      </c>
      <c r="R554" s="20">
        <f t="shared" si="25"/>
        <v>5</v>
      </c>
    </row>
    <row r="555" spans="1:18" x14ac:dyDescent="0.25">
      <c r="A555" t="s">
        <v>22</v>
      </c>
      <c r="O555" t="s">
        <v>199</v>
      </c>
      <c r="Q555" t="s">
        <v>212</v>
      </c>
      <c r="R555" s="20">
        <f t="shared" si="25"/>
        <v>5</v>
      </c>
    </row>
    <row r="556" spans="1:18" x14ac:dyDescent="0.25">
      <c r="A556" t="s">
        <v>22</v>
      </c>
      <c r="O556" t="s">
        <v>197</v>
      </c>
      <c r="Q556" t="s">
        <v>213</v>
      </c>
      <c r="R556" s="20">
        <f t="shared" si="25"/>
        <v>15</v>
      </c>
    </row>
    <row r="557" spans="1:18" x14ac:dyDescent="0.25">
      <c r="A557" t="s">
        <v>22</v>
      </c>
      <c r="O557" t="s">
        <v>198</v>
      </c>
      <c r="Q557" t="s">
        <v>213</v>
      </c>
      <c r="R557" s="20">
        <f t="shared" si="25"/>
        <v>5</v>
      </c>
    </row>
    <row r="558" spans="1:18" x14ac:dyDescent="0.25">
      <c r="A558" t="s">
        <v>22</v>
      </c>
      <c r="O558" t="s">
        <v>199</v>
      </c>
      <c r="Q558" t="s">
        <v>213</v>
      </c>
      <c r="R558" s="20">
        <f t="shared" si="25"/>
        <v>-15</v>
      </c>
    </row>
    <row r="559" spans="1:18" x14ac:dyDescent="0.25">
      <c r="A559" t="s">
        <v>27</v>
      </c>
      <c r="O559" t="s">
        <v>197</v>
      </c>
      <c r="Q559" t="s">
        <v>212</v>
      </c>
      <c r="R559" s="20">
        <f t="shared" ref="R559:R564" si="26">R529</f>
        <v>5</v>
      </c>
    </row>
    <row r="560" spans="1:18" x14ac:dyDescent="0.25">
      <c r="A560" t="s">
        <v>27</v>
      </c>
      <c r="O560" t="s">
        <v>198</v>
      </c>
      <c r="Q560" t="s">
        <v>212</v>
      </c>
      <c r="R560" s="20">
        <f t="shared" si="26"/>
        <v>5</v>
      </c>
    </row>
    <row r="561" spans="1:20" x14ac:dyDescent="0.25">
      <c r="A561" t="s">
        <v>27</v>
      </c>
      <c r="O561" t="s">
        <v>199</v>
      </c>
      <c r="Q561" t="s">
        <v>212</v>
      </c>
      <c r="R561" s="20">
        <f t="shared" si="26"/>
        <v>5</v>
      </c>
    </row>
    <row r="562" spans="1:20" x14ac:dyDescent="0.25">
      <c r="A562" t="s">
        <v>27</v>
      </c>
      <c r="O562" t="s">
        <v>197</v>
      </c>
      <c r="Q562" t="s">
        <v>213</v>
      </c>
      <c r="R562" s="20">
        <f t="shared" si="26"/>
        <v>15</v>
      </c>
    </row>
    <row r="563" spans="1:20" x14ac:dyDescent="0.25">
      <c r="A563" t="s">
        <v>27</v>
      </c>
      <c r="O563" t="s">
        <v>198</v>
      </c>
      <c r="Q563" t="s">
        <v>213</v>
      </c>
      <c r="R563" s="20">
        <f t="shared" si="26"/>
        <v>5</v>
      </c>
    </row>
    <row r="564" spans="1:20" x14ac:dyDescent="0.25">
      <c r="A564" t="s">
        <v>27</v>
      </c>
      <c r="O564" t="s">
        <v>199</v>
      </c>
      <c r="Q564" t="s">
        <v>213</v>
      </c>
      <c r="R564" s="20">
        <f t="shared" si="26"/>
        <v>-15</v>
      </c>
    </row>
    <row r="565" spans="1:20" x14ac:dyDescent="0.25">
      <c r="A565" t="s">
        <v>26</v>
      </c>
      <c r="O565" t="s">
        <v>197</v>
      </c>
      <c r="Q565" t="s">
        <v>212</v>
      </c>
      <c r="R565" s="20">
        <f t="shared" ref="R565:R570" si="27">R529</f>
        <v>5</v>
      </c>
    </row>
    <row r="566" spans="1:20" x14ac:dyDescent="0.25">
      <c r="A566" t="s">
        <v>26</v>
      </c>
      <c r="O566" t="s">
        <v>198</v>
      </c>
      <c r="Q566" t="s">
        <v>212</v>
      </c>
      <c r="R566" s="20">
        <f t="shared" si="27"/>
        <v>5</v>
      </c>
    </row>
    <row r="567" spans="1:20" x14ac:dyDescent="0.25">
      <c r="A567" t="s">
        <v>26</v>
      </c>
      <c r="O567" t="s">
        <v>199</v>
      </c>
      <c r="Q567" t="s">
        <v>212</v>
      </c>
      <c r="R567" s="20">
        <f t="shared" si="27"/>
        <v>5</v>
      </c>
    </row>
    <row r="568" spans="1:20" x14ac:dyDescent="0.25">
      <c r="A568" t="s">
        <v>26</v>
      </c>
      <c r="O568" t="s">
        <v>197</v>
      </c>
      <c r="Q568" t="s">
        <v>213</v>
      </c>
      <c r="R568" s="20">
        <f t="shared" si="27"/>
        <v>15</v>
      </c>
    </row>
    <row r="569" spans="1:20" x14ac:dyDescent="0.25">
      <c r="A569" t="s">
        <v>26</v>
      </c>
      <c r="O569" t="s">
        <v>198</v>
      </c>
      <c r="Q569" t="s">
        <v>213</v>
      </c>
      <c r="R569" s="20">
        <f t="shared" si="27"/>
        <v>5</v>
      </c>
    </row>
    <row r="570" spans="1:20" x14ac:dyDescent="0.25">
      <c r="A570" t="s">
        <v>26</v>
      </c>
      <c r="O570" t="s">
        <v>199</v>
      </c>
      <c r="Q570" t="s">
        <v>213</v>
      </c>
      <c r="R570" s="20">
        <f t="shared" si="27"/>
        <v>-15</v>
      </c>
    </row>
    <row r="571" spans="1:20" x14ac:dyDescent="0.25">
      <c r="A571" s="4" t="s">
        <v>41</v>
      </c>
      <c r="B571" s="6"/>
      <c r="C571" s="6"/>
      <c r="O571" t="s">
        <v>197</v>
      </c>
      <c r="Q571" t="s">
        <v>212</v>
      </c>
      <c r="R571" s="20">
        <f t="shared" ref="R571:R576" si="28">R529</f>
        <v>5</v>
      </c>
      <c r="T571" t="s">
        <v>305</v>
      </c>
    </row>
    <row r="572" spans="1:20" x14ac:dyDescent="0.25">
      <c r="A572" s="4" t="s">
        <v>41</v>
      </c>
      <c r="B572" s="6"/>
      <c r="C572" s="6"/>
      <c r="O572" t="s">
        <v>198</v>
      </c>
      <c r="Q572" t="s">
        <v>212</v>
      </c>
      <c r="R572" s="20">
        <f t="shared" si="28"/>
        <v>5</v>
      </c>
    </row>
    <row r="573" spans="1:20" x14ac:dyDescent="0.25">
      <c r="A573" s="4" t="s">
        <v>41</v>
      </c>
      <c r="B573" s="6"/>
      <c r="C573" s="6"/>
      <c r="O573" t="s">
        <v>199</v>
      </c>
      <c r="Q573" t="s">
        <v>212</v>
      </c>
      <c r="R573" s="20">
        <f t="shared" si="28"/>
        <v>5</v>
      </c>
    </row>
    <row r="574" spans="1:20" x14ac:dyDescent="0.25">
      <c r="A574" s="4" t="s">
        <v>41</v>
      </c>
      <c r="B574" s="6"/>
      <c r="C574" s="6"/>
      <c r="O574" t="s">
        <v>197</v>
      </c>
      <c r="Q574" t="s">
        <v>213</v>
      </c>
      <c r="R574" s="20">
        <f t="shared" si="28"/>
        <v>15</v>
      </c>
    </row>
    <row r="575" spans="1:20" x14ac:dyDescent="0.25">
      <c r="A575" s="4" t="s">
        <v>41</v>
      </c>
      <c r="B575" s="6"/>
      <c r="C575" s="6"/>
      <c r="O575" t="s">
        <v>198</v>
      </c>
      <c r="Q575" t="s">
        <v>213</v>
      </c>
      <c r="R575" s="20">
        <f t="shared" si="28"/>
        <v>5</v>
      </c>
    </row>
    <row r="576" spans="1:20" x14ac:dyDescent="0.25">
      <c r="A576" s="4" t="s">
        <v>41</v>
      </c>
      <c r="B576" s="6"/>
      <c r="C576" s="6"/>
      <c r="O576" t="s">
        <v>199</v>
      </c>
      <c r="Q576" t="s">
        <v>213</v>
      </c>
      <c r="R576" s="20">
        <f t="shared" si="28"/>
        <v>-15</v>
      </c>
    </row>
    <row r="577" spans="1:20" x14ac:dyDescent="0.25">
      <c r="A577" s="4" t="s">
        <v>42</v>
      </c>
      <c r="B577" s="6"/>
      <c r="C577" s="6"/>
      <c r="O577" t="s">
        <v>197</v>
      </c>
      <c r="Q577" t="s">
        <v>212</v>
      </c>
      <c r="R577" s="20">
        <f t="shared" ref="R577:R582" si="29">R529</f>
        <v>5</v>
      </c>
      <c r="T577" t="s">
        <v>305</v>
      </c>
    </row>
    <row r="578" spans="1:20" x14ac:dyDescent="0.25">
      <c r="A578" s="4" t="s">
        <v>42</v>
      </c>
      <c r="B578" s="6"/>
      <c r="C578" s="6"/>
      <c r="O578" t="s">
        <v>198</v>
      </c>
      <c r="Q578" t="s">
        <v>212</v>
      </c>
      <c r="R578" s="20">
        <f t="shared" si="29"/>
        <v>5</v>
      </c>
    </row>
    <row r="579" spans="1:20" x14ac:dyDescent="0.25">
      <c r="A579" s="4" t="s">
        <v>42</v>
      </c>
      <c r="B579" s="6"/>
      <c r="C579" s="6"/>
      <c r="O579" t="s">
        <v>199</v>
      </c>
      <c r="Q579" t="s">
        <v>212</v>
      </c>
      <c r="R579" s="20">
        <f t="shared" si="29"/>
        <v>5</v>
      </c>
    </row>
    <row r="580" spans="1:20" x14ac:dyDescent="0.25">
      <c r="A580" s="4" t="s">
        <v>42</v>
      </c>
      <c r="B580" s="6"/>
      <c r="C580" s="6"/>
      <c r="O580" t="s">
        <v>197</v>
      </c>
      <c r="Q580" t="s">
        <v>213</v>
      </c>
      <c r="R580" s="20">
        <f t="shared" si="29"/>
        <v>15</v>
      </c>
    </row>
    <row r="581" spans="1:20" x14ac:dyDescent="0.25">
      <c r="A581" s="4" t="s">
        <v>42</v>
      </c>
      <c r="B581" s="6"/>
      <c r="C581" s="6"/>
      <c r="O581" t="s">
        <v>198</v>
      </c>
      <c r="Q581" t="s">
        <v>213</v>
      </c>
      <c r="R581" s="20">
        <f t="shared" si="29"/>
        <v>5</v>
      </c>
    </row>
    <row r="582" spans="1:20" x14ac:dyDescent="0.25">
      <c r="A582" s="4" t="s">
        <v>42</v>
      </c>
      <c r="O582" t="s">
        <v>199</v>
      </c>
      <c r="Q582" t="s">
        <v>213</v>
      </c>
      <c r="R582" s="20">
        <f t="shared" si="29"/>
        <v>-15</v>
      </c>
    </row>
    <row r="583" spans="1:20" x14ac:dyDescent="0.25">
      <c r="A583" s="21" t="s">
        <v>205</v>
      </c>
      <c r="B583" s="21"/>
      <c r="C583" s="21"/>
    </row>
    <row r="584" spans="1:20" x14ac:dyDescent="0.25">
      <c r="A584" t="s">
        <v>32</v>
      </c>
      <c r="O584" t="s">
        <v>197</v>
      </c>
      <c r="Q584" t="s">
        <v>212</v>
      </c>
      <c r="R584">
        <v>10</v>
      </c>
    </row>
    <row r="585" spans="1:20" x14ac:dyDescent="0.25">
      <c r="A585" t="s">
        <v>32</v>
      </c>
      <c r="O585" t="s">
        <v>198</v>
      </c>
      <c r="Q585" t="s">
        <v>212</v>
      </c>
      <c r="R585">
        <v>10</v>
      </c>
    </row>
    <row r="586" spans="1:20" x14ac:dyDescent="0.25">
      <c r="A586" t="s">
        <v>32</v>
      </c>
      <c r="O586" t="s">
        <v>199</v>
      </c>
      <c r="Q586" t="s">
        <v>212</v>
      </c>
      <c r="R586">
        <v>10</v>
      </c>
    </row>
    <row r="587" spans="1:20" x14ac:dyDescent="0.25">
      <c r="A587" t="s">
        <v>32</v>
      </c>
      <c r="O587" t="s">
        <v>200</v>
      </c>
      <c r="Q587" t="s">
        <v>212</v>
      </c>
      <c r="R587">
        <v>10</v>
      </c>
    </row>
    <row r="588" spans="1:20" x14ac:dyDescent="0.25">
      <c r="A588" t="s">
        <v>32</v>
      </c>
      <c r="O588" t="s">
        <v>197</v>
      </c>
      <c r="Q588" t="s">
        <v>213</v>
      </c>
      <c r="R588">
        <v>20</v>
      </c>
    </row>
    <row r="589" spans="1:20" x14ac:dyDescent="0.25">
      <c r="A589" t="s">
        <v>32</v>
      </c>
      <c r="O589" t="s">
        <v>198</v>
      </c>
      <c r="Q589" t="s">
        <v>213</v>
      </c>
      <c r="R589">
        <v>10</v>
      </c>
    </row>
    <row r="590" spans="1:20" x14ac:dyDescent="0.25">
      <c r="A590" t="s">
        <v>32</v>
      </c>
      <c r="O590" t="s">
        <v>199</v>
      </c>
      <c r="Q590" t="s">
        <v>213</v>
      </c>
      <c r="R590">
        <v>-10</v>
      </c>
    </row>
    <row r="591" spans="1:20" x14ac:dyDescent="0.25">
      <c r="A591" t="s">
        <v>32</v>
      </c>
      <c r="O591" t="s">
        <v>200</v>
      </c>
      <c r="Q591" t="s">
        <v>213</v>
      </c>
      <c r="R591">
        <v>-25</v>
      </c>
    </row>
    <row r="592" spans="1:20" x14ac:dyDescent="0.25">
      <c r="A592" t="s">
        <v>33</v>
      </c>
      <c r="O592" t="s">
        <v>197</v>
      </c>
      <c r="Q592" t="s">
        <v>212</v>
      </c>
      <c r="R592">
        <v>10</v>
      </c>
    </row>
    <row r="593" spans="1:20" x14ac:dyDescent="0.25">
      <c r="A593" t="s">
        <v>33</v>
      </c>
      <c r="O593" t="s">
        <v>198</v>
      </c>
      <c r="Q593" t="s">
        <v>212</v>
      </c>
      <c r="R593">
        <v>10</v>
      </c>
    </row>
    <row r="594" spans="1:20" x14ac:dyDescent="0.25">
      <c r="A594" t="s">
        <v>33</v>
      </c>
      <c r="O594" t="s">
        <v>199</v>
      </c>
      <c r="Q594" t="s">
        <v>212</v>
      </c>
      <c r="R594">
        <v>10</v>
      </c>
    </row>
    <row r="595" spans="1:20" x14ac:dyDescent="0.25">
      <c r="A595" t="s">
        <v>33</v>
      </c>
      <c r="O595" t="s">
        <v>197</v>
      </c>
      <c r="Q595" t="s">
        <v>213</v>
      </c>
      <c r="R595">
        <v>20</v>
      </c>
    </row>
    <row r="596" spans="1:20" x14ac:dyDescent="0.25">
      <c r="A596" t="s">
        <v>33</v>
      </c>
      <c r="O596" t="s">
        <v>198</v>
      </c>
      <c r="Q596" t="s">
        <v>213</v>
      </c>
      <c r="R596">
        <v>10</v>
      </c>
    </row>
    <row r="597" spans="1:20" x14ac:dyDescent="0.25">
      <c r="A597" t="s">
        <v>33</v>
      </c>
      <c r="O597" t="s">
        <v>199</v>
      </c>
      <c r="Q597" t="s">
        <v>213</v>
      </c>
      <c r="R597">
        <v>-10</v>
      </c>
    </row>
    <row r="599" spans="1:20" x14ac:dyDescent="0.25">
      <c r="A599" s="21" t="s">
        <v>38</v>
      </c>
      <c r="B599" s="21"/>
      <c r="C599" s="21"/>
    </row>
    <row r="600" spans="1:20" x14ac:dyDescent="0.25">
      <c r="A600" t="s">
        <v>38</v>
      </c>
      <c r="O600" t="s">
        <v>197</v>
      </c>
      <c r="Q600" t="s">
        <v>212</v>
      </c>
      <c r="R600">
        <v>10</v>
      </c>
    </row>
    <row r="601" spans="1:20" x14ac:dyDescent="0.25">
      <c r="A601" t="s">
        <v>38</v>
      </c>
      <c r="O601" t="s">
        <v>198</v>
      </c>
      <c r="Q601" t="s">
        <v>212</v>
      </c>
      <c r="R601">
        <v>10</v>
      </c>
    </row>
    <row r="602" spans="1:20" x14ac:dyDescent="0.25">
      <c r="A602" t="s">
        <v>38</v>
      </c>
      <c r="O602" t="s">
        <v>199</v>
      </c>
      <c r="Q602" t="s">
        <v>212</v>
      </c>
      <c r="R602">
        <v>10</v>
      </c>
    </row>
    <row r="603" spans="1:20" x14ac:dyDescent="0.25">
      <c r="A603" t="s">
        <v>38</v>
      </c>
      <c r="O603" t="s">
        <v>282</v>
      </c>
      <c r="Q603" t="s">
        <v>212</v>
      </c>
      <c r="R603">
        <v>10</v>
      </c>
    </row>
    <row r="604" spans="1:20" x14ac:dyDescent="0.25">
      <c r="A604" t="s">
        <v>38</v>
      </c>
      <c r="O604" t="s">
        <v>197</v>
      </c>
      <c r="Q604" t="s">
        <v>213</v>
      </c>
      <c r="R604">
        <v>86.7</v>
      </c>
    </row>
    <row r="605" spans="1:20" x14ac:dyDescent="0.25">
      <c r="A605" t="s">
        <v>38</v>
      </c>
      <c r="O605" t="s">
        <v>198</v>
      </c>
      <c r="Q605" t="s">
        <v>213</v>
      </c>
      <c r="R605">
        <v>46.7</v>
      </c>
    </row>
    <row r="606" spans="1:20" x14ac:dyDescent="0.25">
      <c r="A606" t="s">
        <v>38</v>
      </c>
      <c r="O606" t="s">
        <v>199</v>
      </c>
      <c r="Q606" t="s">
        <v>213</v>
      </c>
      <c r="R606">
        <v>6.7</v>
      </c>
    </row>
    <row r="607" spans="1:20" x14ac:dyDescent="0.25">
      <c r="A607" t="s">
        <v>38</v>
      </c>
      <c r="O607" t="s">
        <v>282</v>
      </c>
      <c r="Q607" t="s">
        <v>213</v>
      </c>
      <c r="R607">
        <v>-26.7</v>
      </c>
    </row>
    <row r="608" spans="1:20" x14ac:dyDescent="0.25">
      <c r="A608" t="s">
        <v>68</v>
      </c>
      <c r="O608" t="s">
        <v>197</v>
      </c>
      <c r="Q608" t="s">
        <v>212</v>
      </c>
      <c r="R608" s="24">
        <f>R600</f>
        <v>10</v>
      </c>
      <c r="T608" t="s">
        <v>304</v>
      </c>
    </row>
    <row r="609" spans="1:18" x14ac:dyDescent="0.25">
      <c r="A609" t="s">
        <v>68</v>
      </c>
      <c r="O609" t="s">
        <v>198</v>
      </c>
      <c r="Q609" t="s">
        <v>212</v>
      </c>
      <c r="R609" s="24">
        <f t="shared" ref="R609:R615" si="30">R601</f>
        <v>10</v>
      </c>
    </row>
    <row r="610" spans="1:18" x14ac:dyDescent="0.25">
      <c r="A610" t="s">
        <v>68</v>
      </c>
      <c r="O610" t="s">
        <v>199</v>
      </c>
      <c r="Q610" t="s">
        <v>212</v>
      </c>
      <c r="R610" s="24">
        <f t="shared" si="30"/>
        <v>10</v>
      </c>
    </row>
    <row r="611" spans="1:18" x14ac:dyDescent="0.25">
      <c r="A611" t="s">
        <v>68</v>
      </c>
      <c r="O611" t="s">
        <v>282</v>
      </c>
      <c r="Q611" t="s">
        <v>212</v>
      </c>
      <c r="R611" s="24">
        <f t="shared" si="30"/>
        <v>10</v>
      </c>
    </row>
    <row r="612" spans="1:18" x14ac:dyDescent="0.25">
      <c r="A612" t="s">
        <v>68</v>
      </c>
      <c r="O612" t="s">
        <v>197</v>
      </c>
      <c r="Q612" t="s">
        <v>213</v>
      </c>
      <c r="R612" s="24">
        <f t="shared" si="30"/>
        <v>86.7</v>
      </c>
    </row>
    <row r="613" spans="1:18" x14ac:dyDescent="0.25">
      <c r="A613" t="s">
        <v>68</v>
      </c>
      <c r="O613" t="s">
        <v>198</v>
      </c>
      <c r="Q613" t="s">
        <v>213</v>
      </c>
      <c r="R613" s="24">
        <f t="shared" si="30"/>
        <v>46.7</v>
      </c>
    </row>
    <row r="614" spans="1:18" x14ac:dyDescent="0.25">
      <c r="A614" t="s">
        <v>68</v>
      </c>
      <c r="O614" t="s">
        <v>199</v>
      </c>
      <c r="Q614" t="s">
        <v>213</v>
      </c>
      <c r="R614" s="24">
        <f t="shared" si="30"/>
        <v>6.7</v>
      </c>
    </row>
    <row r="615" spans="1:18" x14ac:dyDescent="0.25">
      <c r="A615" t="s">
        <v>68</v>
      </c>
      <c r="O615" t="s">
        <v>282</v>
      </c>
      <c r="Q615" t="s">
        <v>213</v>
      </c>
      <c r="R615" s="24">
        <f t="shared" si="30"/>
        <v>-26.7</v>
      </c>
    </row>
    <row r="617" spans="1:18" x14ac:dyDescent="0.25">
      <c r="A617" s="21" t="s">
        <v>206</v>
      </c>
      <c r="B617" s="21"/>
      <c r="C617" s="21"/>
    </row>
    <row r="618" spans="1:18" x14ac:dyDescent="0.25">
      <c r="A618" t="s">
        <v>40</v>
      </c>
      <c r="O618" t="s">
        <v>197</v>
      </c>
      <c r="Q618" t="s">
        <v>212</v>
      </c>
      <c r="R618">
        <v>6.9</v>
      </c>
    </row>
    <row r="619" spans="1:18" x14ac:dyDescent="0.25">
      <c r="A619" t="s">
        <v>40</v>
      </c>
      <c r="O619" t="s">
        <v>198</v>
      </c>
      <c r="Q619" t="s">
        <v>212</v>
      </c>
      <c r="R619">
        <v>9.6</v>
      </c>
    </row>
    <row r="620" spans="1:18" x14ac:dyDescent="0.25">
      <c r="A620" t="s">
        <v>40</v>
      </c>
      <c r="O620" t="s">
        <v>199</v>
      </c>
      <c r="Q620" t="s">
        <v>212</v>
      </c>
      <c r="R620">
        <v>10</v>
      </c>
    </row>
    <row r="621" spans="1:18" x14ac:dyDescent="0.25">
      <c r="A621" t="s">
        <v>40</v>
      </c>
      <c r="O621" t="s">
        <v>282</v>
      </c>
      <c r="Q621" t="s">
        <v>212</v>
      </c>
      <c r="R621">
        <v>10</v>
      </c>
    </row>
    <row r="622" spans="1:18" x14ac:dyDescent="0.25">
      <c r="A622" t="s">
        <v>40</v>
      </c>
      <c r="O622" t="s">
        <v>197</v>
      </c>
      <c r="Q622" t="s">
        <v>213</v>
      </c>
      <c r="R622">
        <v>68.400000000000006</v>
      </c>
    </row>
    <row r="623" spans="1:18" x14ac:dyDescent="0.25">
      <c r="A623" t="s">
        <v>40</v>
      </c>
      <c r="O623" t="s">
        <v>198</v>
      </c>
      <c r="Q623" t="s">
        <v>213</v>
      </c>
      <c r="R623">
        <v>22.4</v>
      </c>
    </row>
    <row r="624" spans="1:18" x14ac:dyDescent="0.25">
      <c r="A624" t="s">
        <v>40</v>
      </c>
      <c r="O624" t="s">
        <v>199</v>
      </c>
      <c r="Q624" t="s">
        <v>213</v>
      </c>
      <c r="R624">
        <v>-20</v>
      </c>
    </row>
    <row r="625" spans="1:18" x14ac:dyDescent="0.25">
      <c r="A625" t="s">
        <v>40</v>
      </c>
      <c r="O625" t="s">
        <v>282</v>
      </c>
      <c r="Q625" t="s">
        <v>213</v>
      </c>
      <c r="R625">
        <v>-50</v>
      </c>
    </row>
    <row r="627" spans="1:18" x14ac:dyDescent="0.25">
      <c r="A627" s="21" t="s">
        <v>207</v>
      </c>
      <c r="B627" s="21"/>
      <c r="C627" s="21"/>
    </row>
    <row r="628" spans="1:18" x14ac:dyDescent="0.25">
      <c r="A628" t="s">
        <v>34</v>
      </c>
      <c r="O628" t="s">
        <v>197</v>
      </c>
      <c r="Q628" t="s">
        <v>212</v>
      </c>
      <c r="R628">
        <v>4</v>
      </c>
    </row>
    <row r="629" spans="1:18" x14ac:dyDescent="0.25">
      <c r="A629" t="s">
        <v>34</v>
      </c>
      <c r="O629" t="s">
        <v>198</v>
      </c>
      <c r="Q629" t="s">
        <v>212</v>
      </c>
      <c r="R629">
        <v>4</v>
      </c>
    </row>
    <row r="630" spans="1:18" x14ac:dyDescent="0.25">
      <c r="A630" t="s">
        <v>34</v>
      </c>
      <c r="O630" t="s">
        <v>199</v>
      </c>
      <c r="Q630" t="s">
        <v>212</v>
      </c>
      <c r="R630">
        <v>4</v>
      </c>
    </row>
    <row r="631" spans="1:18" x14ac:dyDescent="0.25">
      <c r="A631" t="s">
        <v>34</v>
      </c>
      <c r="O631" t="s">
        <v>282</v>
      </c>
      <c r="Q631" t="s">
        <v>212</v>
      </c>
      <c r="R631">
        <v>4</v>
      </c>
    </row>
    <row r="632" spans="1:18" x14ac:dyDescent="0.25">
      <c r="A632" t="s">
        <v>34</v>
      </c>
      <c r="O632" t="s">
        <v>197</v>
      </c>
      <c r="Q632" t="s">
        <v>213</v>
      </c>
      <c r="R632">
        <v>140</v>
      </c>
    </row>
    <row r="633" spans="1:18" x14ac:dyDescent="0.25">
      <c r="A633" t="s">
        <v>34</v>
      </c>
      <c r="O633" t="s">
        <v>198</v>
      </c>
      <c r="Q633" t="s">
        <v>213</v>
      </c>
      <c r="R633">
        <v>90</v>
      </c>
    </row>
    <row r="634" spans="1:18" x14ac:dyDescent="0.25">
      <c r="A634" t="s">
        <v>34</v>
      </c>
      <c r="O634" t="s">
        <v>199</v>
      </c>
      <c r="Q634" t="s">
        <v>213</v>
      </c>
      <c r="R634">
        <v>40</v>
      </c>
    </row>
    <row r="635" spans="1:18" x14ac:dyDescent="0.25">
      <c r="A635" t="s">
        <v>34</v>
      </c>
      <c r="O635" t="s">
        <v>282</v>
      </c>
      <c r="Q635" t="s">
        <v>213</v>
      </c>
      <c r="R635">
        <v>-10</v>
      </c>
    </row>
    <row r="636" spans="1:18" x14ac:dyDescent="0.25">
      <c r="A636" t="s">
        <v>35</v>
      </c>
      <c r="O636" t="s">
        <v>197</v>
      </c>
      <c r="Q636" t="s">
        <v>212</v>
      </c>
      <c r="R636" s="20">
        <f t="shared" ref="R636:R643" si="31">R628</f>
        <v>4</v>
      </c>
    </row>
    <row r="637" spans="1:18" x14ac:dyDescent="0.25">
      <c r="A637" t="s">
        <v>35</v>
      </c>
      <c r="O637" t="s">
        <v>198</v>
      </c>
      <c r="Q637" t="s">
        <v>212</v>
      </c>
      <c r="R637" s="20">
        <f t="shared" si="31"/>
        <v>4</v>
      </c>
    </row>
    <row r="638" spans="1:18" x14ac:dyDescent="0.25">
      <c r="A638" t="s">
        <v>35</v>
      </c>
      <c r="O638" t="s">
        <v>199</v>
      </c>
      <c r="Q638" t="s">
        <v>212</v>
      </c>
      <c r="R638" s="20">
        <f t="shared" si="31"/>
        <v>4</v>
      </c>
    </row>
    <row r="639" spans="1:18" x14ac:dyDescent="0.25">
      <c r="A639" t="s">
        <v>35</v>
      </c>
      <c r="O639" t="s">
        <v>282</v>
      </c>
      <c r="Q639" t="s">
        <v>212</v>
      </c>
      <c r="R639" s="20">
        <f t="shared" si="31"/>
        <v>4</v>
      </c>
    </row>
    <row r="640" spans="1:18" x14ac:dyDescent="0.25">
      <c r="A640" t="s">
        <v>35</v>
      </c>
      <c r="O640" t="s">
        <v>197</v>
      </c>
      <c r="Q640" t="s">
        <v>213</v>
      </c>
      <c r="R640" s="20">
        <f t="shared" si="31"/>
        <v>140</v>
      </c>
    </row>
    <row r="641" spans="1:20" x14ac:dyDescent="0.25">
      <c r="A641" t="s">
        <v>35</v>
      </c>
      <c r="O641" t="s">
        <v>198</v>
      </c>
      <c r="Q641" t="s">
        <v>213</v>
      </c>
      <c r="R641" s="20">
        <f t="shared" si="31"/>
        <v>90</v>
      </c>
    </row>
    <row r="642" spans="1:20" x14ac:dyDescent="0.25">
      <c r="A642" t="s">
        <v>35</v>
      </c>
      <c r="O642" t="s">
        <v>199</v>
      </c>
      <c r="Q642" t="s">
        <v>213</v>
      </c>
      <c r="R642" s="20">
        <f t="shared" si="31"/>
        <v>40</v>
      </c>
    </row>
    <row r="643" spans="1:20" x14ac:dyDescent="0.25">
      <c r="A643" t="s">
        <v>35</v>
      </c>
      <c r="O643" t="s">
        <v>282</v>
      </c>
      <c r="Q643" t="s">
        <v>213</v>
      </c>
      <c r="R643" s="20">
        <f t="shared" si="31"/>
        <v>-10</v>
      </c>
    </row>
    <row r="645" spans="1:20" x14ac:dyDescent="0.25">
      <c r="A645" s="21" t="s">
        <v>283</v>
      </c>
      <c r="B645" s="21"/>
      <c r="C645" s="21"/>
    </row>
    <row r="646" spans="1:20" x14ac:dyDescent="0.25">
      <c r="A646" t="s">
        <v>28</v>
      </c>
      <c r="O646" t="s">
        <v>197</v>
      </c>
      <c r="Q646" t="s">
        <v>213</v>
      </c>
      <c r="R646">
        <v>50</v>
      </c>
    </row>
    <row r="647" spans="1:20" x14ac:dyDescent="0.25">
      <c r="A647" t="s">
        <v>28</v>
      </c>
      <c r="O647" t="s">
        <v>198</v>
      </c>
      <c r="Q647" t="s">
        <v>213</v>
      </c>
      <c r="R647">
        <v>40</v>
      </c>
    </row>
    <row r="648" spans="1:20" x14ac:dyDescent="0.25">
      <c r="A648" t="s">
        <v>28</v>
      </c>
      <c r="O648" t="s">
        <v>199</v>
      </c>
      <c r="Q648" t="s">
        <v>213</v>
      </c>
      <c r="R648">
        <v>20</v>
      </c>
    </row>
    <row r="649" spans="1:20" s="4" customFormat="1" x14ac:dyDescent="0.25">
      <c r="A649" s="4" t="s">
        <v>267</v>
      </c>
      <c r="O649" s="4" t="s">
        <v>197</v>
      </c>
      <c r="Q649" s="4" t="s">
        <v>213</v>
      </c>
      <c r="R649" s="20">
        <f>R646</f>
        <v>50</v>
      </c>
      <c r="T649" s="4" t="s">
        <v>277</v>
      </c>
    </row>
    <row r="650" spans="1:20" s="4" customFormat="1" x14ac:dyDescent="0.25">
      <c r="A650" s="4" t="s">
        <v>267</v>
      </c>
      <c r="O650" s="4" t="s">
        <v>198</v>
      </c>
      <c r="Q650" s="4" t="s">
        <v>213</v>
      </c>
      <c r="R650" s="20">
        <f t="shared" ref="R650:R651" si="32">R647</f>
        <v>40</v>
      </c>
    </row>
    <row r="651" spans="1:20" s="4" customFormat="1" x14ac:dyDescent="0.25">
      <c r="A651" s="4" t="s">
        <v>267</v>
      </c>
      <c r="O651" s="4" t="s">
        <v>199</v>
      </c>
      <c r="Q651" s="4" t="s">
        <v>213</v>
      </c>
      <c r="R651" s="20">
        <f t="shared" si="32"/>
        <v>20</v>
      </c>
    </row>
    <row r="652" spans="1:20" x14ac:dyDescent="0.25">
      <c r="A652" t="s">
        <v>30</v>
      </c>
      <c r="O652" t="s">
        <v>197</v>
      </c>
      <c r="Q652" t="s">
        <v>213</v>
      </c>
      <c r="R652" s="20">
        <f>R646</f>
        <v>50</v>
      </c>
    </row>
    <row r="653" spans="1:20" x14ac:dyDescent="0.25">
      <c r="A653" t="s">
        <v>30</v>
      </c>
      <c r="O653" t="s">
        <v>198</v>
      </c>
      <c r="Q653" t="s">
        <v>213</v>
      </c>
      <c r="R653" s="20">
        <f t="shared" ref="R653:R654" si="33">R647</f>
        <v>40</v>
      </c>
    </row>
    <row r="654" spans="1:20" x14ac:dyDescent="0.25">
      <c r="A654" t="s">
        <v>30</v>
      </c>
      <c r="O654" t="s">
        <v>199</v>
      </c>
      <c r="Q654" t="s">
        <v>213</v>
      </c>
      <c r="R654" s="20">
        <f t="shared" si="33"/>
        <v>20</v>
      </c>
    </row>
    <row r="655" spans="1:20" x14ac:dyDescent="0.25">
      <c r="A655" t="s">
        <v>36</v>
      </c>
      <c r="O655" t="s">
        <v>197</v>
      </c>
      <c r="Q655" t="s">
        <v>213</v>
      </c>
      <c r="R655">
        <v>120</v>
      </c>
    </row>
    <row r="656" spans="1:20" x14ac:dyDescent="0.25">
      <c r="A656" t="s">
        <v>36</v>
      </c>
      <c r="O656" t="s">
        <v>198</v>
      </c>
      <c r="Q656" t="s">
        <v>213</v>
      </c>
      <c r="R656">
        <v>90</v>
      </c>
    </row>
    <row r="657" spans="1:21" x14ac:dyDescent="0.25">
      <c r="A657" t="s">
        <v>36</v>
      </c>
      <c r="O657" t="s">
        <v>199</v>
      </c>
      <c r="Q657" t="s">
        <v>213</v>
      </c>
      <c r="R657">
        <v>50</v>
      </c>
    </row>
    <row r="658" spans="1:21" x14ac:dyDescent="0.25">
      <c r="A658" t="s">
        <v>36</v>
      </c>
      <c r="O658" t="s">
        <v>282</v>
      </c>
      <c r="Q658" t="s">
        <v>213</v>
      </c>
      <c r="R658">
        <v>30</v>
      </c>
    </row>
    <row r="659" spans="1:21" x14ac:dyDescent="0.25">
      <c r="A659" t="s">
        <v>39</v>
      </c>
      <c r="O659" t="s">
        <v>197</v>
      </c>
      <c r="Q659" t="s">
        <v>213</v>
      </c>
      <c r="R659">
        <v>40</v>
      </c>
    </row>
    <row r="660" spans="1:21" x14ac:dyDescent="0.25">
      <c r="A660" t="s">
        <v>39</v>
      </c>
      <c r="O660" t="s">
        <v>198</v>
      </c>
      <c r="Q660" t="s">
        <v>213</v>
      </c>
      <c r="R660">
        <v>20</v>
      </c>
    </row>
    <row r="661" spans="1:21" x14ac:dyDescent="0.25">
      <c r="A661" s="4" t="s">
        <v>56</v>
      </c>
      <c r="B661" s="6"/>
      <c r="C661" s="6"/>
      <c r="O661" t="s">
        <v>197</v>
      </c>
      <c r="Q661" t="s">
        <v>213</v>
      </c>
      <c r="R661">
        <v>155</v>
      </c>
      <c r="T661" t="s">
        <v>288</v>
      </c>
      <c r="U661" t="s">
        <v>287</v>
      </c>
    </row>
    <row r="662" spans="1:21" x14ac:dyDescent="0.25">
      <c r="A662" s="4" t="s">
        <v>56</v>
      </c>
      <c r="B662" s="6"/>
      <c r="C662" s="6"/>
      <c r="O662" t="s">
        <v>198</v>
      </c>
      <c r="Q662" t="s">
        <v>213</v>
      </c>
      <c r="R662">
        <v>155</v>
      </c>
    </row>
    <row r="663" spans="1:21" x14ac:dyDescent="0.25">
      <c r="A663" s="4" t="s">
        <v>56</v>
      </c>
      <c r="B663" s="6"/>
      <c r="C663" s="6"/>
      <c r="O663" t="s">
        <v>199</v>
      </c>
      <c r="Q663" t="s">
        <v>213</v>
      </c>
      <c r="R663">
        <v>155</v>
      </c>
    </row>
    <row r="665" spans="1:21" x14ac:dyDescent="0.25">
      <c r="A665" s="21" t="s">
        <v>209</v>
      </c>
      <c r="B665" s="21"/>
      <c r="C665" s="21"/>
    </row>
    <row r="666" spans="1:21" x14ac:dyDescent="0.25">
      <c r="A666" t="s">
        <v>46</v>
      </c>
      <c r="Q666" t="s">
        <v>212</v>
      </c>
      <c r="R666">
        <v>3.4</v>
      </c>
    </row>
    <row r="667" spans="1:21" x14ac:dyDescent="0.25">
      <c r="A667" t="s">
        <v>46</v>
      </c>
      <c r="Q667" t="s">
        <v>213</v>
      </c>
      <c r="R667">
        <v>62</v>
      </c>
    </row>
    <row r="668" spans="1:21" x14ac:dyDescent="0.25">
      <c r="A668" s="4" t="s">
        <v>47</v>
      </c>
      <c r="B668" s="6"/>
      <c r="C668" s="6"/>
      <c r="Q668" t="s">
        <v>212</v>
      </c>
      <c r="R668" s="20">
        <f>R666</f>
        <v>3.4</v>
      </c>
      <c r="T668" t="s">
        <v>239</v>
      </c>
    </row>
    <row r="669" spans="1:21" x14ac:dyDescent="0.25">
      <c r="A669" s="4" t="s">
        <v>47</v>
      </c>
      <c r="B669" s="6"/>
      <c r="C669" s="6"/>
      <c r="Q669" t="s">
        <v>213</v>
      </c>
      <c r="R669" s="20">
        <f>R667</f>
        <v>62</v>
      </c>
    </row>
    <row r="670" spans="1:21" x14ac:dyDescent="0.25">
      <c r="A670" t="s">
        <v>45</v>
      </c>
      <c r="Q670" t="s">
        <v>212</v>
      </c>
      <c r="R670">
        <v>0.31</v>
      </c>
    </row>
    <row r="671" spans="1:21" x14ac:dyDescent="0.25">
      <c r="A671" t="s">
        <v>45</v>
      </c>
      <c r="Q671" t="s">
        <v>213</v>
      </c>
      <c r="R671">
        <v>129</v>
      </c>
    </row>
    <row r="672" spans="1:21" x14ac:dyDescent="0.25">
      <c r="A672" t="s">
        <v>48</v>
      </c>
      <c r="Q672" t="s">
        <v>212</v>
      </c>
      <c r="R672">
        <v>0.62</v>
      </c>
      <c r="T672" t="s">
        <v>210</v>
      </c>
    </row>
    <row r="673" spans="1:20" x14ac:dyDescent="0.25">
      <c r="A673" t="s">
        <v>48</v>
      </c>
      <c r="Q673" t="s">
        <v>213</v>
      </c>
      <c r="R673">
        <v>98</v>
      </c>
    </row>
    <row r="674" spans="1:20" x14ac:dyDescent="0.25">
      <c r="A674" s="4" t="s">
        <v>52</v>
      </c>
      <c r="B674" s="6"/>
      <c r="C674" s="6"/>
      <c r="Q674" t="s">
        <v>212</v>
      </c>
      <c r="R674" s="20">
        <f>R672</f>
        <v>0.62</v>
      </c>
      <c r="T674" t="s">
        <v>240</v>
      </c>
    </row>
    <row r="675" spans="1:20" x14ac:dyDescent="0.25">
      <c r="A675" s="4" t="s">
        <v>52</v>
      </c>
      <c r="B675" s="6"/>
      <c r="C675" s="6"/>
      <c r="Q675" t="s">
        <v>213</v>
      </c>
      <c r="R675" s="20">
        <f>R673</f>
        <v>98</v>
      </c>
    </row>
    <row r="676" spans="1:20" x14ac:dyDescent="0.25">
      <c r="A676" s="4" t="s">
        <v>53</v>
      </c>
      <c r="Q676" t="s">
        <v>212</v>
      </c>
      <c r="R676" s="20">
        <f>R674</f>
        <v>0.62</v>
      </c>
      <c r="T676" t="s">
        <v>240</v>
      </c>
    </row>
    <row r="677" spans="1:20" x14ac:dyDescent="0.25">
      <c r="A677" s="4" t="s">
        <v>53</v>
      </c>
      <c r="Q677" t="s">
        <v>213</v>
      </c>
      <c r="R677" s="20">
        <f>R675</f>
        <v>98</v>
      </c>
    </row>
    <row r="678" spans="1:20" x14ac:dyDescent="0.25">
      <c r="A678" t="s">
        <v>49</v>
      </c>
      <c r="Q678" t="s">
        <v>212</v>
      </c>
      <c r="R678">
        <v>2</v>
      </c>
    </row>
    <row r="679" spans="1:20" x14ac:dyDescent="0.25">
      <c r="A679" t="s">
        <v>49</v>
      </c>
      <c r="Q679" t="s">
        <v>213</v>
      </c>
      <c r="R679">
        <v>120</v>
      </c>
    </row>
    <row r="680" spans="1:20" x14ac:dyDescent="0.25">
      <c r="A680" s="6" t="s">
        <v>50</v>
      </c>
      <c r="Q680" t="s">
        <v>212</v>
      </c>
    </row>
    <row r="681" spans="1:20" x14ac:dyDescent="0.25">
      <c r="A681" s="6" t="s">
        <v>50</v>
      </c>
      <c r="Q681" t="s">
        <v>213</v>
      </c>
    </row>
    <row r="682" spans="1:20" x14ac:dyDescent="0.25">
      <c r="A682" t="s">
        <v>51</v>
      </c>
      <c r="Q682" t="s">
        <v>212</v>
      </c>
      <c r="R682" s="20">
        <f>R680</f>
        <v>0</v>
      </c>
    </row>
    <row r="683" spans="1:20" x14ac:dyDescent="0.25">
      <c r="A683" t="s">
        <v>51</v>
      </c>
      <c r="Q683" t="s">
        <v>213</v>
      </c>
      <c r="R683" s="20">
        <f>R681</f>
        <v>0</v>
      </c>
    </row>
    <row r="685" spans="1:20" x14ac:dyDescent="0.25">
      <c r="A685" t="s">
        <v>67</v>
      </c>
      <c r="Q685" t="s">
        <v>213</v>
      </c>
      <c r="R685">
        <v>0</v>
      </c>
      <c r="T685" t="s">
        <v>211</v>
      </c>
    </row>
    <row r="686" spans="1:20" x14ac:dyDescent="0.25">
      <c r="A686" t="s">
        <v>70</v>
      </c>
      <c r="Q686" t="s">
        <v>213</v>
      </c>
      <c r="R686">
        <v>0</v>
      </c>
    </row>
    <row r="687" spans="1:20" x14ac:dyDescent="0.25">
      <c r="A687" t="s">
        <v>71</v>
      </c>
      <c r="Q687" t="s">
        <v>213</v>
      </c>
      <c r="R687">
        <v>0</v>
      </c>
    </row>
    <row r="688" spans="1:20" x14ac:dyDescent="0.25">
      <c r="A688" t="s">
        <v>43</v>
      </c>
      <c r="Q688" t="s">
        <v>213</v>
      </c>
      <c r="R688">
        <v>0</v>
      </c>
    </row>
    <row r="689" spans="1:21" x14ac:dyDescent="0.25">
      <c r="A689" t="s">
        <v>44</v>
      </c>
      <c r="Q689" t="s">
        <v>213</v>
      </c>
      <c r="R689">
        <v>0</v>
      </c>
    </row>
    <row r="691" spans="1:21" x14ac:dyDescent="0.25">
      <c r="A691" s="6" t="s">
        <v>29</v>
      </c>
      <c r="B691" s="6"/>
      <c r="C691" s="6"/>
    </row>
    <row r="692" spans="1:21" x14ac:dyDescent="0.25">
      <c r="A692" s="4" t="s">
        <v>31</v>
      </c>
      <c r="B692" s="6"/>
      <c r="C692" s="6"/>
      <c r="Q692" t="s">
        <v>213</v>
      </c>
      <c r="R692">
        <v>20</v>
      </c>
      <c r="U692" t="s">
        <v>286</v>
      </c>
    </row>
    <row r="693" spans="1:21" x14ac:dyDescent="0.25">
      <c r="A693" s="4" t="s">
        <v>37</v>
      </c>
      <c r="B693" s="6"/>
      <c r="C693" s="6"/>
      <c r="Q693" t="s">
        <v>213</v>
      </c>
      <c r="R693">
        <v>22.5</v>
      </c>
      <c r="T693" t="s">
        <v>255</v>
      </c>
      <c r="U693" t="s">
        <v>256</v>
      </c>
    </row>
    <row r="694" spans="1:21" x14ac:dyDescent="0.25">
      <c r="A694" s="6" t="s">
        <v>69</v>
      </c>
      <c r="B694" s="6"/>
      <c r="C694" s="6"/>
    </row>
    <row r="695" spans="1:21" x14ac:dyDescent="0.25">
      <c r="A695" s="6" t="s">
        <v>54</v>
      </c>
      <c r="B695" s="6"/>
      <c r="C695" s="6"/>
    </row>
    <row r="696" spans="1:21" x14ac:dyDescent="0.25">
      <c r="A696" s="6" t="s">
        <v>55</v>
      </c>
      <c r="B696" s="6"/>
      <c r="C696" s="6"/>
    </row>
    <row r="697" spans="1:21" x14ac:dyDescent="0.25">
      <c r="A697" s="4" t="s">
        <v>57</v>
      </c>
      <c r="B697" s="6"/>
      <c r="C697" s="6"/>
      <c r="Q697" t="s">
        <v>213</v>
      </c>
      <c r="R697">
        <v>105</v>
      </c>
      <c r="U697" s="25" t="s">
        <v>285</v>
      </c>
    </row>
    <row r="698" spans="1:21" x14ac:dyDescent="0.25">
      <c r="A698" s="4" t="s">
        <v>58</v>
      </c>
      <c r="B698" s="6"/>
      <c r="C698" s="6"/>
      <c r="Q698" t="s">
        <v>213</v>
      </c>
      <c r="R698" s="24">
        <f>R697</f>
        <v>105</v>
      </c>
      <c r="T698" t="s">
        <v>284</v>
      </c>
    </row>
    <row r="699" spans="1:21" x14ac:dyDescent="0.25">
      <c r="A699" s="4" t="s">
        <v>59</v>
      </c>
      <c r="B699" s="6"/>
      <c r="C699" s="6"/>
      <c r="Q699" t="s">
        <v>213</v>
      </c>
      <c r="R699" s="24">
        <f>R697</f>
        <v>105</v>
      </c>
      <c r="T699" t="s">
        <v>284</v>
      </c>
    </row>
    <row r="700" spans="1:21" x14ac:dyDescent="0.25">
      <c r="A700" s="6"/>
      <c r="B700" s="6"/>
      <c r="C700" s="6"/>
    </row>
    <row r="701" spans="1:21" x14ac:dyDescent="0.25">
      <c r="A701" s="4" t="s">
        <v>60</v>
      </c>
      <c r="B701" s="6"/>
      <c r="C701" s="6"/>
      <c r="Q701" t="s">
        <v>212</v>
      </c>
      <c r="R701">
        <v>5.6</v>
      </c>
      <c r="U701" t="s">
        <v>307</v>
      </c>
    </row>
    <row r="702" spans="1:21" x14ac:dyDescent="0.25">
      <c r="A702" s="4" t="s">
        <v>61</v>
      </c>
      <c r="B702" s="6"/>
      <c r="C702" s="6"/>
      <c r="Q702" t="s">
        <v>212</v>
      </c>
      <c r="R702" s="26">
        <v>3</v>
      </c>
      <c r="U702" t="s">
        <v>307</v>
      </c>
    </row>
    <row r="703" spans="1:21" x14ac:dyDescent="0.25">
      <c r="A703" s="4" t="s">
        <v>62</v>
      </c>
      <c r="B703" s="6"/>
      <c r="C703" s="6"/>
      <c r="Q703" t="s">
        <v>212</v>
      </c>
      <c r="R703" s="24">
        <f>AVERAGE(R701:R702)</f>
        <v>4.3</v>
      </c>
      <c r="T703" s="6" t="s">
        <v>306</v>
      </c>
    </row>
    <row r="704" spans="1:21" x14ac:dyDescent="0.25">
      <c r="A704" s="4" t="s">
        <v>63</v>
      </c>
      <c r="B704" s="6"/>
      <c r="C704" s="6"/>
      <c r="Q704" t="s">
        <v>212</v>
      </c>
      <c r="R704" s="24">
        <f>AVERAGE(R701:R702)</f>
        <v>4.3</v>
      </c>
    </row>
    <row r="705" spans="1:21" x14ac:dyDescent="0.25">
      <c r="A705" s="4" t="s">
        <v>64</v>
      </c>
      <c r="B705" s="6"/>
      <c r="C705" s="6"/>
      <c r="Q705" t="s">
        <v>212</v>
      </c>
      <c r="R705" s="24">
        <f>AVERAGE(R701:R702)</f>
        <v>4.3</v>
      </c>
    </row>
    <row r="706" spans="1:21" x14ac:dyDescent="0.25">
      <c r="A706" s="4" t="s">
        <v>65</v>
      </c>
      <c r="B706" s="6"/>
      <c r="C706" s="6"/>
      <c r="Q706" t="s">
        <v>212</v>
      </c>
      <c r="R706" s="24">
        <f>AVERAGE(R701:R702)</f>
        <v>4.3</v>
      </c>
    </row>
    <row r="707" spans="1:21" x14ac:dyDescent="0.25">
      <c r="A707" s="4" t="s">
        <v>66</v>
      </c>
      <c r="B707" s="6"/>
      <c r="C707" s="6"/>
      <c r="Q707" t="s">
        <v>212</v>
      </c>
      <c r="R707" s="24">
        <f>AVERAGE(R701:R702)</f>
        <v>4.3</v>
      </c>
    </row>
    <row r="708" spans="1:21" x14ac:dyDescent="0.25">
      <c r="A708" s="6"/>
      <c r="B708" s="6"/>
      <c r="C708" s="6"/>
    </row>
    <row r="709" spans="1:21" x14ac:dyDescent="0.25">
      <c r="A709" s="2" t="s">
        <v>281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3"/>
      <c r="U709" s="3"/>
    </row>
    <row r="711" spans="1:21" x14ac:dyDescent="0.25">
      <c r="Q711" s="5" t="s">
        <v>234</v>
      </c>
      <c r="R711" s="23">
        <v>1.2</v>
      </c>
      <c r="S711" s="5"/>
      <c r="T711" s="5" t="s">
        <v>313</v>
      </c>
    </row>
    <row r="713" spans="1:21" x14ac:dyDescent="0.25">
      <c r="A713" s="2" t="s">
        <v>164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</row>
    <row r="714" spans="1:21" x14ac:dyDescent="0.25">
      <c r="P714" s="5" t="s">
        <v>119</v>
      </c>
      <c r="Q714" s="5" t="s">
        <v>147</v>
      </c>
      <c r="R714" s="13">
        <v>0</v>
      </c>
      <c r="S714" s="5" t="s">
        <v>120</v>
      </c>
      <c r="T714" s="5" t="s">
        <v>151</v>
      </c>
    </row>
    <row r="715" spans="1:21" x14ac:dyDescent="0.25">
      <c r="A715" s="1" t="s">
        <v>152</v>
      </c>
      <c r="B715" s="1"/>
      <c r="C715" s="1"/>
      <c r="D715" s="1"/>
      <c r="P715" s="5"/>
      <c r="Q715" s="5"/>
      <c r="R715" s="13"/>
      <c r="S715" s="5"/>
      <c r="T715" s="5"/>
    </row>
    <row r="716" spans="1:21" x14ac:dyDescent="0.25">
      <c r="H716" t="s">
        <v>113</v>
      </c>
      <c r="P716" t="s">
        <v>119</v>
      </c>
      <c r="Q716" t="s">
        <v>147</v>
      </c>
      <c r="R716" s="11">
        <f>8/1000*(14/(1*14+3*2))*100</f>
        <v>0.55999999999999994</v>
      </c>
      <c r="S716" t="s">
        <v>120</v>
      </c>
      <c r="T716" s="4" t="s">
        <v>121</v>
      </c>
      <c r="U716" t="s">
        <v>264</v>
      </c>
    </row>
    <row r="717" spans="1:21" x14ac:dyDescent="0.25">
      <c r="H717" t="s">
        <v>114</v>
      </c>
      <c r="P717" t="s">
        <v>119</v>
      </c>
      <c r="Q717" t="s">
        <v>147</v>
      </c>
      <c r="R717" s="11">
        <f>15/1000*(14/(1*14+3*2))*100</f>
        <v>1.0499999999999998</v>
      </c>
      <c r="S717" t="s">
        <v>120</v>
      </c>
      <c r="U717" t="s">
        <v>264</v>
      </c>
    </row>
    <row r="718" spans="1:21" x14ac:dyDescent="0.25">
      <c r="H718" t="s">
        <v>215</v>
      </c>
      <c r="P718" t="s">
        <v>119</v>
      </c>
      <c r="Q718" t="s">
        <v>147</v>
      </c>
      <c r="R718" s="11">
        <f>50/1000*(14/(1*14+3*2))*100</f>
        <v>3.4999999999999996</v>
      </c>
      <c r="S718" t="s">
        <v>120</v>
      </c>
      <c r="U718" t="s">
        <v>264</v>
      </c>
    </row>
    <row r="719" spans="1:21" x14ac:dyDescent="0.25">
      <c r="A719" s="1" t="s">
        <v>153</v>
      </c>
      <c r="B719" s="1"/>
      <c r="C719" s="1"/>
      <c r="D719" s="1"/>
      <c r="E719" s="6" t="s">
        <v>172</v>
      </c>
    </row>
    <row r="720" spans="1:21" x14ac:dyDescent="0.25">
      <c r="J720" t="s">
        <v>126</v>
      </c>
      <c r="K720" t="s">
        <v>127</v>
      </c>
      <c r="L720" t="s">
        <v>128</v>
      </c>
      <c r="M720" t="s">
        <v>138</v>
      </c>
      <c r="P720" t="s">
        <v>119</v>
      </c>
      <c r="Q720" t="s">
        <v>147</v>
      </c>
      <c r="R720">
        <v>33</v>
      </c>
      <c r="S720" t="s">
        <v>120</v>
      </c>
      <c r="U720" t="s">
        <v>154</v>
      </c>
    </row>
    <row r="721" spans="10:21" x14ac:dyDescent="0.25">
      <c r="J721" t="s">
        <v>126</v>
      </c>
      <c r="K721" t="s">
        <v>127</v>
      </c>
      <c r="L721" t="s">
        <v>128</v>
      </c>
      <c r="M721" t="s">
        <v>139</v>
      </c>
      <c r="P721" t="s">
        <v>119</v>
      </c>
      <c r="Q721" t="s">
        <v>147</v>
      </c>
      <c r="R721">
        <v>38</v>
      </c>
      <c r="S721" t="s">
        <v>120</v>
      </c>
      <c r="U721" t="s">
        <v>154</v>
      </c>
    </row>
    <row r="722" spans="10:21" x14ac:dyDescent="0.25">
      <c r="J722" t="s">
        <v>126</v>
      </c>
      <c r="K722" t="s">
        <v>127</v>
      </c>
      <c r="L722" t="s">
        <v>128</v>
      </c>
      <c r="M722" t="s">
        <v>140</v>
      </c>
      <c r="P722" t="s">
        <v>119</v>
      </c>
      <c r="Q722" t="s">
        <v>147</v>
      </c>
      <c r="R722">
        <v>41</v>
      </c>
      <c r="S722" t="s">
        <v>120</v>
      </c>
      <c r="U722" t="s">
        <v>154</v>
      </c>
    </row>
    <row r="723" spans="10:21" x14ac:dyDescent="0.25">
      <c r="J723" t="s">
        <v>126</v>
      </c>
      <c r="K723" t="s">
        <v>127</v>
      </c>
      <c r="L723" t="s">
        <v>128</v>
      </c>
      <c r="M723" t="s">
        <v>187</v>
      </c>
      <c r="P723" t="s">
        <v>119</v>
      </c>
      <c r="Q723" t="s">
        <v>147</v>
      </c>
      <c r="R723">
        <v>33</v>
      </c>
      <c r="S723" t="s">
        <v>120</v>
      </c>
      <c r="U723" t="s">
        <v>154</v>
      </c>
    </row>
    <row r="724" spans="10:21" x14ac:dyDescent="0.25">
      <c r="J724" t="s">
        <v>126</v>
      </c>
      <c r="K724" t="s">
        <v>129</v>
      </c>
      <c r="L724" t="s">
        <v>128</v>
      </c>
      <c r="M724" t="s">
        <v>138</v>
      </c>
      <c r="P724" t="s">
        <v>119</v>
      </c>
      <c r="Q724" t="s">
        <v>147</v>
      </c>
      <c r="R724">
        <v>32</v>
      </c>
      <c r="S724" t="s">
        <v>120</v>
      </c>
      <c r="U724" t="s">
        <v>154</v>
      </c>
    </row>
    <row r="725" spans="10:21" x14ac:dyDescent="0.25">
      <c r="J725" t="s">
        <v>126</v>
      </c>
      <c r="K725" t="s">
        <v>129</v>
      </c>
      <c r="L725" t="s">
        <v>128</v>
      </c>
      <c r="M725" t="s">
        <v>139</v>
      </c>
      <c r="P725" t="s">
        <v>119</v>
      </c>
      <c r="Q725" t="s">
        <v>147</v>
      </c>
      <c r="R725">
        <v>39</v>
      </c>
      <c r="S725" t="s">
        <v>120</v>
      </c>
      <c r="U725" t="s">
        <v>154</v>
      </c>
    </row>
    <row r="726" spans="10:21" x14ac:dyDescent="0.25">
      <c r="J726" t="s">
        <v>126</v>
      </c>
      <c r="K726" t="s">
        <v>129</v>
      </c>
      <c r="L726" t="s">
        <v>128</v>
      </c>
      <c r="M726" t="s">
        <v>140</v>
      </c>
      <c r="P726" t="s">
        <v>119</v>
      </c>
      <c r="Q726" t="s">
        <v>147</v>
      </c>
      <c r="R726">
        <v>46</v>
      </c>
      <c r="S726" t="s">
        <v>120</v>
      </c>
      <c r="U726" t="s">
        <v>154</v>
      </c>
    </row>
    <row r="727" spans="10:21" x14ac:dyDescent="0.25">
      <c r="J727" t="s">
        <v>126</v>
      </c>
      <c r="K727" t="s">
        <v>129</v>
      </c>
      <c r="L727" t="s">
        <v>128</v>
      </c>
      <c r="M727" t="s">
        <v>187</v>
      </c>
      <c r="P727" t="s">
        <v>119</v>
      </c>
      <c r="Q727" t="s">
        <v>147</v>
      </c>
      <c r="R727">
        <v>32</v>
      </c>
      <c r="S727" t="s">
        <v>120</v>
      </c>
      <c r="U727" t="s">
        <v>154</v>
      </c>
    </row>
    <row r="728" spans="10:21" x14ac:dyDescent="0.25">
      <c r="J728" t="s">
        <v>126</v>
      </c>
      <c r="L728" t="s">
        <v>130</v>
      </c>
      <c r="M728" t="s">
        <v>138</v>
      </c>
      <c r="P728" t="s">
        <v>119</v>
      </c>
      <c r="Q728" t="s">
        <v>147</v>
      </c>
      <c r="R728">
        <v>32</v>
      </c>
      <c r="S728" t="s">
        <v>120</v>
      </c>
      <c r="U728" t="s">
        <v>154</v>
      </c>
    </row>
    <row r="729" spans="10:21" x14ac:dyDescent="0.25">
      <c r="J729" t="s">
        <v>126</v>
      </c>
      <c r="L729" t="s">
        <v>130</v>
      </c>
      <c r="M729" t="s">
        <v>139</v>
      </c>
      <c r="P729" t="s">
        <v>119</v>
      </c>
      <c r="Q729" t="s">
        <v>147</v>
      </c>
      <c r="R729">
        <v>38</v>
      </c>
      <c r="S729" t="s">
        <v>120</v>
      </c>
      <c r="U729" t="s">
        <v>154</v>
      </c>
    </row>
    <row r="730" spans="10:21" x14ac:dyDescent="0.25">
      <c r="J730" t="s">
        <v>126</v>
      </c>
      <c r="L730" t="s">
        <v>130</v>
      </c>
      <c r="M730" t="s">
        <v>140</v>
      </c>
      <c r="P730" t="s">
        <v>119</v>
      </c>
      <c r="Q730" t="s">
        <v>147</v>
      </c>
      <c r="R730">
        <v>47</v>
      </c>
      <c r="S730" t="s">
        <v>120</v>
      </c>
      <c r="U730" t="s">
        <v>154</v>
      </c>
    </row>
    <row r="731" spans="10:21" x14ac:dyDescent="0.25">
      <c r="J731" t="s">
        <v>126</v>
      </c>
      <c r="L731" t="s">
        <v>130</v>
      </c>
      <c r="M731" t="s">
        <v>187</v>
      </c>
      <c r="P731" t="s">
        <v>119</v>
      </c>
      <c r="Q731" t="s">
        <v>147</v>
      </c>
      <c r="R731">
        <v>32</v>
      </c>
      <c r="S731" t="s">
        <v>120</v>
      </c>
      <c r="U731" t="s">
        <v>154</v>
      </c>
    </row>
    <row r="732" spans="10:21" x14ac:dyDescent="0.25">
      <c r="J732" t="s">
        <v>126</v>
      </c>
      <c r="L732" t="s">
        <v>131</v>
      </c>
      <c r="M732" t="s">
        <v>138</v>
      </c>
      <c r="P732" t="s">
        <v>119</v>
      </c>
      <c r="Q732" t="s">
        <v>147</v>
      </c>
      <c r="R732">
        <v>33</v>
      </c>
      <c r="S732" t="s">
        <v>120</v>
      </c>
      <c r="U732" t="s">
        <v>154</v>
      </c>
    </row>
    <row r="733" spans="10:21" x14ac:dyDescent="0.25">
      <c r="J733" t="s">
        <v>126</v>
      </c>
      <c r="L733" t="s">
        <v>131</v>
      </c>
      <c r="M733" t="s">
        <v>139</v>
      </c>
      <c r="P733" t="s">
        <v>119</v>
      </c>
      <c r="Q733" t="s">
        <v>147</v>
      </c>
      <c r="R733">
        <v>39</v>
      </c>
      <c r="S733" t="s">
        <v>120</v>
      </c>
      <c r="U733" t="s">
        <v>154</v>
      </c>
    </row>
    <row r="734" spans="10:21" x14ac:dyDescent="0.25">
      <c r="J734" t="s">
        <v>126</v>
      </c>
      <c r="L734" t="s">
        <v>131</v>
      </c>
      <c r="M734" t="s">
        <v>140</v>
      </c>
      <c r="P734" t="s">
        <v>119</v>
      </c>
      <c r="Q734" t="s">
        <v>147</v>
      </c>
      <c r="R734">
        <v>47</v>
      </c>
      <c r="S734" t="s">
        <v>120</v>
      </c>
      <c r="U734" t="s">
        <v>154</v>
      </c>
    </row>
    <row r="735" spans="10:21" x14ac:dyDescent="0.25">
      <c r="J735" t="s">
        <v>126</v>
      </c>
      <c r="L735" t="s">
        <v>131</v>
      </c>
      <c r="M735" t="s">
        <v>187</v>
      </c>
      <c r="P735" t="s">
        <v>119</v>
      </c>
      <c r="Q735" t="s">
        <v>147</v>
      </c>
      <c r="R735">
        <v>33</v>
      </c>
      <c r="S735" t="s">
        <v>120</v>
      </c>
      <c r="U735" t="s">
        <v>154</v>
      </c>
    </row>
    <row r="736" spans="10:21" x14ac:dyDescent="0.25">
      <c r="J736" t="s">
        <v>126</v>
      </c>
      <c r="M736" t="s">
        <v>138</v>
      </c>
      <c r="P736" t="s">
        <v>119</v>
      </c>
      <c r="Q736" t="s">
        <v>147</v>
      </c>
      <c r="R736">
        <v>32</v>
      </c>
      <c r="S736" t="s">
        <v>120</v>
      </c>
      <c r="T736" t="s">
        <v>141</v>
      </c>
      <c r="U736" t="s">
        <v>154</v>
      </c>
    </row>
    <row r="737" spans="10:21" x14ac:dyDescent="0.25">
      <c r="J737" t="s">
        <v>126</v>
      </c>
      <c r="M737" t="s">
        <v>139</v>
      </c>
      <c r="P737" t="s">
        <v>119</v>
      </c>
      <c r="Q737" t="s">
        <v>147</v>
      </c>
      <c r="R737">
        <v>39</v>
      </c>
      <c r="S737" t="s">
        <v>120</v>
      </c>
      <c r="T737" t="s">
        <v>141</v>
      </c>
      <c r="U737" t="s">
        <v>154</v>
      </c>
    </row>
    <row r="738" spans="10:21" x14ac:dyDescent="0.25">
      <c r="J738" t="s">
        <v>126</v>
      </c>
      <c r="M738" t="s">
        <v>140</v>
      </c>
      <c r="P738" t="s">
        <v>119</v>
      </c>
      <c r="Q738" t="s">
        <v>147</v>
      </c>
      <c r="R738">
        <v>46</v>
      </c>
      <c r="S738" t="s">
        <v>120</v>
      </c>
      <c r="T738" t="s">
        <v>141</v>
      </c>
      <c r="U738" t="s">
        <v>154</v>
      </c>
    </row>
    <row r="739" spans="10:21" x14ac:dyDescent="0.25">
      <c r="J739" t="s">
        <v>126</v>
      </c>
      <c r="M739" t="s">
        <v>187</v>
      </c>
      <c r="P739" t="s">
        <v>119</v>
      </c>
      <c r="Q739" t="s">
        <v>147</v>
      </c>
      <c r="R739">
        <v>32</v>
      </c>
      <c r="S739" t="s">
        <v>120</v>
      </c>
      <c r="T739" t="s">
        <v>141</v>
      </c>
      <c r="U739" t="s">
        <v>154</v>
      </c>
    </row>
    <row r="740" spans="10:21" x14ac:dyDescent="0.25">
      <c r="J740" t="s">
        <v>126</v>
      </c>
      <c r="M740" t="s">
        <v>156</v>
      </c>
      <c r="P740" t="s">
        <v>119</v>
      </c>
      <c r="Q740" t="s">
        <v>147</v>
      </c>
      <c r="R740">
        <v>14</v>
      </c>
      <c r="S740" t="s">
        <v>120</v>
      </c>
      <c r="U740" t="s">
        <v>171</v>
      </c>
    </row>
    <row r="741" spans="10:21" x14ac:dyDescent="0.25">
      <c r="J741" t="s">
        <v>144</v>
      </c>
      <c r="M741" t="s">
        <v>139</v>
      </c>
      <c r="P741" t="s">
        <v>119</v>
      </c>
      <c r="Q741" t="s">
        <v>147</v>
      </c>
      <c r="R741">
        <v>43</v>
      </c>
      <c r="S741" t="s">
        <v>120</v>
      </c>
      <c r="U741" t="s">
        <v>154</v>
      </c>
    </row>
    <row r="742" spans="10:21" x14ac:dyDescent="0.25">
      <c r="J742" t="s">
        <v>144</v>
      </c>
      <c r="M742" t="s">
        <v>140</v>
      </c>
      <c r="P742" t="s">
        <v>119</v>
      </c>
      <c r="Q742" t="s">
        <v>147</v>
      </c>
      <c r="R742">
        <v>47</v>
      </c>
      <c r="S742" t="s">
        <v>120</v>
      </c>
      <c r="U742" t="s">
        <v>154</v>
      </c>
    </row>
    <row r="743" spans="10:21" x14ac:dyDescent="0.25">
      <c r="J743" t="s">
        <v>144</v>
      </c>
      <c r="M743" t="s">
        <v>188</v>
      </c>
      <c r="P743" t="s">
        <v>119</v>
      </c>
      <c r="Q743" t="s">
        <v>147</v>
      </c>
      <c r="R743">
        <v>43</v>
      </c>
      <c r="S743" t="s">
        <v>120</v>
      </c>
      <c r="U743" t="s">
        <v>154</v>
      </c>
    </row>
    <row r="744" spans="10:21" x14ac:dyDescent="0.25">
      <c r="J744" t="s">
        <v>144</v>
      </c>
      <c r="M744" t="s">
        <v>156</v>
      </c>
      <c r="P744" t="s">
        <v>119</v>
      </c>
      <c r="Q744" t="s">
        <v>147</v>
      </c>
      <c r="R744">
        <v>35</v>
      </c>
      <c r="S744" t="s">
        <v>120</v>
      </c>
      <c r="U744" t="s">
        <v>171</v>
      </c>
    </row>
    <row r="745" spans="10:21" x14ac:dyDescent="0.25">
      <c r="J745" t="s">
        <v>189</v>
      </c>
      <c r="M745" t="s">
        <v>139</v>
      </c>
      <c r="P745" t="s">
        <v>119</v>
      </c>
      <c r="Q745" t="s">
        <v>147</v>
      </c>
      <c r="R745">
        <v>43</v>
      </c>
      <c r="S745" t="s">
        <v>120</v>
      </c>
      <c r="U745" t="s">
        <v>154</v>
      </c>
    </row>
    <row r="746" spans="10:21" x14ac:dyDescent="0.25">
      <c r="J746" t="s">
        <v>189</v>
      </c>
      <c r="M746" t="s">
        <v>156</v>
      </c>
      <c r="P746" t="s">
        <v>119</v>
      </c>
      <c r="Q746" t="s">
        <v>147</v>
      </c>
      <c r="R746">
        <v>9</v>
      </c>
      <c r="S746" t="s">
        <v>120</v>
      </c>
      <c r="U746" t="s">
        <v>171</v>
      </c>
    </row>
    <row r="747" spans="10:21" x14ac:dyDescent="0.25">
      <c r="J747" t="s">
        <v>132</v>
      </c>
      <c r="L747" t="s">
        <v>133</v>
      </c>
      <c r="M747" t="s">
        <v>138</v>
      </c>
      <c r="P747" t="s">
        <v>119</v>
      </c>
      <c r="Q747" t="s">
        <v>147</v>
      </c>
      <c r="R747">
        <v>30</v>
      </c>
      <c r="S747" t="s">
        <v>120</v>
      </c>
      <c r="U747" t="s">
        <v>154</v>
      </c>
    </row>
    <row r="748" spans="10:21" x14ac:dyDescent="0.25">
      <c r="J748" t="s">
        <v>132</v>
      </c>
      <c r="L748" t="s">
        <v>133</v>
      </c>
      <c r="M748" t="s">
        <v>139</v>
      </c>
      <c r="P748" t="s">
        <v>119</v>
      </c>
      <c r="Q748" t="s">
        <v>147</v>
      </c>
      <c r="R748">
        <v>35</v>
      </c>
      <c r="S748" t="s">
        <v>120</v>
      </c>
      <c r="U748" t="s">
        <v>154</v>
      </c>
    </row>
    <row r="749" spans="10:21" x14ac:dyDescent="0.25">
      <c r="J749" t="s">
        <v>132</v>
      </c>
      <c r="L749" t="s">
        <v>133</v>
      </c>
      <c r="M749" t="s">
        <v>140</v>
      </c>
      <c r="P749" t="s">
        <v>119</v>
      </c>
      <c r="Q749" t="s">
        <v>147</v>
      </c>
      <c r="R749">
        <v>48</v>
      </c>
      <c r="S749" t="s">
        <v>120</v>
      </c>
      <c r="U749" t="s">
        <v>154</v>
      </c>
    </row>
    <row r="750" spans="10:21" x14ac:dyDescent="0.25">
      <c r="J750" t="s">
        <v>132</v>
      </c>
      <c r="L750" t="s">
        <v>133</v>
      </c>
      <c r="M750" t="s">
        <v>187</v>
      </c>
      <c r="P750" t="s">
        <v>119</v>
      </c>
      <c r="Q750" t="s">
        <v>147</v>
      </c>
      <c r="R750">
        <v>30</v>
      </c>
      <c r="S750" t="s">
        <v>120</v>
      </c>
      <c r="U750" t="s">
        <v>154</v>
      </c>
    </row>
    <row r="751" spans="10:21" x14ac:dyDescent="0.25">
      <c r="J751" t="s">
        <v>132</v>
      </c>
      <c r="L751" t="s">
        <v>136</v>
      </c>
      <c r="M751" t="s">
        <v>138</v>
      </c>
      <c r="P751" t="s">
        <v>119</v>
      </c>
      <c r="Q751" t="s">
        <v>147</v>
      </c>
      <c r="R751" s="12">
        <f>R747</f>
        <v>30</v>
      </c>
      <c r="S751" t="s">
        <v>120</v>
      </c>
      <c r="T751" t="s">
        <v>143</v>
      </c>
    </row>
    <row r="752" spans="10:21" x14ac:dyDescent="0.25">
      <c r="J752" t="s">
        <v>132</v>
      </c>
      <c r="L752" t="s">
        <v>136</v>
      </c>
      <c r="M752" t="s">
        <v>139</v>
      </c>
      <c r="P752" t="s">
        <v>119</v>
      </c>
      <c r="Q752" t="s">
        <v>147</v>
      </c>
      <c r="R752" s="12">
        <f>R748</f>
        <v>35</v>
      </c>
      <c r="S752" t="s">
        <v>120</v>
      </c>
      <c r="T752" t="s">
        <v>143</v>
      </c>
    </row>
    <row r="753" spans="10:21" x14ac:dyDescent="0.25">
      <c r="J753" t="s">
        <v>132</v>
      </c>
      <c r="L753" t="s">
        <v>136</v>
      </c>
      <c r="M753" t="s">
        <v>140</v>
      </c>
      <c r="P753" t="s">
        <v>119</v>
      </c>
      <c r="Q753" t="s">
        <v>147</v>
      </c>
      <c r="R753" s="12">
        <f>R749</f>
        <v>48</v>
      </c>
      <c r="S753" t="s">
        <v>120</v>
      </c>
      <c r="T753" t="s">
        <v>143</v>
      </c>
    </row>
    <row r="754" spans="10:21" x14ac:dyDescent="0.25">
      <c r="J754" t="s">
        <v>132</v>
      </c>
      <c r="L754" t="s">
        <v>136</v>
      </c>
      <c r="M754" t="s">
        <v>187</v>
      </c>
      <c r="P754" t="s">
        <v>119</v>
      </c>
      <c r="Q754" t="s">
        <v>147</v>
      </c>
      <c r="R754" s="12">
        <f>R750</f>
        <v>30</v>
      </c>
      <c r="S754" t="s">
        <v>120</v>
      </c>
      <c r="T754" t="s">
        <v>143</v>
      </c>
    </row>
    <row r="755" spans="10:21" x14ac:dyDescent="0.25">
      <c r="J755" t="s">
        <v>132</v>
      </c>
      <c r="L755" t="s">
        <v>134</v>
      </c>
      <c r="M755" t="s">
        <v>138</v>
      </c>
      <c r="P755" t="s">
        <v>119</v>
      </c>
      <c r="Q755" t="s">
        <v>147</v>
      </c>
      <c r="R755">
        <v>29</v>
      </c>
      <c r="S755" t="s">
        <v>120</v>
      </c>
      <c r="U755" t="s">
        <v>154</v>
      </c>
    </row>
    <row r="756" spans="10:21" x14ac:dyDescent="0.25">
      <c r="J756" t="s">
        <v>132</v>
      </c>
      <c r="L756" t="s">
        <v>134</v>
      </c>
      <c r="M756" t="s">
        <v>139</v>
      </c>
      <c r="P756" t="s">
        <v>119</v>
      </c>
      <c r="Q756" t="s">
        <v>147</v>
      </c>
      <c r="R756">
        <v>34</v>
      </c>
      <c r="S756" t="s">
        <v>120</v>
      </c>
      <c r="U756" t="s">
        <v>154</v>
      </c>
    </row>
    <row r="757" spans="10:21" x14ac:dyDescent="0.25">
      <c r="J757" t="s">
        <v>132</v>
      </c>
      <c r="L757" t="s">
        <v>134</v>
      </c>
      <c r="M757" t="s">
        <v>140</v>
      </c>
      <c r="P757" t="s">
        <v>119</v>
      </c>
      <c r="Q757" t="s">
        <v>147</v>
      </c>
      <c r="R757">
        <v>46</v>
      </c>
      <c r="S757" t="s">
        <v>120</v>
      </c>
      <c r="U757" t="s">
        <v>154</v>
      </c>
    </row>
    <row r="758" spans="10:21" x14ac:dyDescent="0.25">
      <c r="J758" t="s">
        <v>132</v>
      </c>
      <c r="L758" t="s">
        <v>134</v>
      </c>
      <c r="M758" t="s">
        <v>187</v>
      </c>
      <c r="P758" t="s">
        <v>119</v>
      </c>
      <c r="Q758" t="s">
        <v>147</v>
      </c>
      <c r="R758">
        <v>29</v>
      </c>
      <c r="S758" t="s">
        <v>120</v>
      </c>
      <c r="U758" t="s">
        <v>154</v>
      </c>
    </row>
    <row r="759" spans="10:21" x14ac:dyDescent="0.25">
      <c r="J759" t="s">
        <v>132</v>
      </c>
      <c r="L759" t="s">
        <v>135</v>
      </c>
      <c r="M759" t="s">
        <v>138</v>
      </c>
      <c r="P759" t="s">
        <v>119</v>
      </c>
      <c r="Q759" t="s">
        <v>147</v>
      </c>
      <c r="R759">
        <v>29</v>
      </c>
      <c r="S759" t="s">
        <v>120</v>
      </c>
      <c r="U759" t="s">
        <v>154</v>
      </c>
    </row>
    <row r="760" spans="10:21" x14ac:dyDescent="0.25">
      <c r="J760" t="s">
        <v>132</v>
      </c>
      <c r="L760" t="s">
        <v>135</v>
      </c>
      <c r="M760" t="s">
        <v>139</v>
      </c>
      <c r="P760" t="s">
        <v>119</v>
      </c>
      <c r="Q760" t="s">
        <v>147</v>
      </c>
      <c r="R760">
        <v>35</v>
      </c>
      <c r="S760" t="s">
        <v>120</v>
      </c>
      <c r="U760" t="s">
        <v>154</v>
      </c>
    </row>
    <row r="761" spans="10:21" x14ac:dyDescent="0.25">
      <c r="J761" t="s">
        <v>132</v>
      </c>
      <c r="L761" t="s">
        <v>135</v>
      </c>
      <c r="M761" t="s">
        <v>140</v>
      </c>
      <c r="P761" t="s">
        <v>119</v>
      </c>
      <c r="Q761" t="s">
        <v>147</v>
      </c>
      <c r="R761">
        <v>48</v>
      </c>
      <c r="S761" t="s">
        <v>120</v>
      </c>
      <c r="U761" t="s">
        <v>154</v>
      </c>
    </row>
    <row r="762" spans="10:21" x14ac:dyDescent="0.25">
      <c r="J762" t="s">
        <v>132</v>
      </c>
      <c r="L762" t="s">
        <v>135</v>
      </c>
      <c r="M762" t="s">
        <v>187</v>
      </c>
      <c r="P762" t="s">
        <v>119</v>
      </c>
      <c r="Q762" t="s">
        <v>147</v>
      </c>
      <c r="R762">
        <v>29</v>
      </c>
      <c r="S762" t="s">
        <v>120</v>
      </c>
      <c r="U762" t="s">
        <v>154</v>
      </c>
    </row>
    <row r="763" spans="10:21" x14ac:dyDescent="0.25">
      <c r="J763" t="s">
        <v>132</v>
      </c>
      <c r="M763" t="s">
        <v>138</v>
      </c>
      <c r="P763" t="s">
        <v>119</v>
      </c>
      <c r="Q763" t="s">
        <v>147</v>
      </c>
      <c r="R763">
        <v>29</v>
      </c>
      <c r="S763" t="s">
        <v>120</v>
      </c>
      <c r="T763" t="s">
        <v>142</v>
      </c>
      <c r="U763" t="s">
        <v>154</v>
      </c>
    </row>
    <row r="764" spans="10:21" x14ac:dyDescent="0.25">
      <c r="J764" t="s">
        <v>132</v>
      </c>
      <c r="M764" t="s">
        <v>139</v>
      </c>
      <c r="P764" t="s">
        <v>119</v>
      </c>
      <c r="Q764" t="s">
        <v>147</v>
      </c>
      <c r="R764">
        <v>35</v>
      </c>
      <c r="S764" t="s">
        <v>120</v>
      </c>
      <c r="T764" t="s">
        <v>142</v>
      </c>
      <c r="U764" t="s">
        <v>154</v>
      </c>
    </row>
    <row r="765" spans="10:21" x14ac:dyDescent="0.25">
      <c r="J765" t="s">
        <v>132</v>
      </c>
      <c r="M765" t="s">
        <v>140</v>
      </c>
      <c r="P765" t="s">
        <v>119</v>
      </c>
      <c r="Q765" t="s">
        <v>147</v>
      </c>
      <c r="R765">
        <v>44</v>
      </c>
      <c r="S765" t="s">
        <v>120</v>
      </c>
      <c r="T765" t="s">
        <v>142</v>
      </c>
      <c r="U765" t="s">
        <v>154</v>
      </c>
    </row>
    <row r="766" spans="10:21" x14ac:dyDescent="0.25">
      <c r="J766" t="s">
        <v>132</v>
      </c>
      <c r="M766" t="s">
        <v>187</v>
      </c>
      <c r="P766" t="s">
        <v>119</v>
      </c>
      <c r="Q766" t="s">
        <v>147</v>
      </c>
      <c r="R766">
        <v>29</v>
      </c>
      <c r="S766" t="s">
        <v>120</v>
      </c>
      <c r="T766" t="s">
        <v>142</v>
      </c>
      <c r="U766" t="s">
        <v>154</v>
      </c>
    </row>
    <row r="767" spans="10:21" x14ac:dyDescent="0.25">
      <c r="J767" t="s">
        <v>137</v>
      </c>
      <c r="M767" t="s">
        <v>138</v>
      </c>
      <c r="P767" t="s">
        <v>119</v>
      </c>
      <c r="Q767" t="s">
        <v>147</v>
      </c>
      <c r="R767">
        <v>29</v>
      </c>
      <c r="S767" t="s">
        <v>120</v>
      </c>
      <c r="U767" t="s">
        <v>154</v>
      </c>
    </row>
    <row r="768" spans="10:21" x14ac:dyDescent="0.25">
      <c r="J768" t="s">
        <v>137</v>
      </c>
      <c r="M768" t="s">
        <v>139</v>
      </c>
      <c r="P768" t="s">
        <v>119</v>
      </c>
      <c r="Q768" t="s">
        <v>147</v>
      </c>
      <c r="R768">
        <v>40</v>
      </c>
      <c r="S768" t="s">
        <v>120</v>
      </c>
      <c r="U768" t="s">
        <v>154</v>
      </c>
    </row>
    <row r="769" spans="1:21" x14ac:dyDescent="0.25">
      <c r="J769" t="s">
        <v>137</v>
      </c>
      <c r="M769" t="s">
        <v>140</v>
      </c>
      <c r="P769" t="s">
        <v>119</v>
      </c>
      <c r="Q769" t="s">
        <v>147</v>
      </c>
      <c r="R769">
        <v>56</v>
      </c>
      <c r="S769" t="s">
        <v>120</v>
      </c>
      <c r="U769" t="s">
        <v>154</v>
      </c>
    </row>
    <row r="770" spans="1:21" x14ac:dyDescent="0.25">
      <c r="J770" t="s">
        <v>137</v>
      </c>
      <c r="L770" t="s">
        <v>190</v>
      </c>
      <c r="M770" t="s">
        <v>138</v>
      </c>
      <c r="P770" t="s">
        <v>119</v>
      </c>
      <c r="Q770" t="s">
        <v>147</v>
      </c>
      <c r="R770">
        <v>30</v>
      </c>
      <c r="S770" t="s">
        <v>120</v>
      </c>
      <c r="U770" t="s">
        <v>154</v>
      </c>
    </row>
    <row r="771" spans="1:21" x14ac:dyDescent="0.25">
      <c r="J771" t="s">
        <v>137</v>
      </c>
      <c r="L771" t="s">
        <v>190</v>
      </c>
      <c r="M771" t="s">
        <v>139</v>
      </c>
      <c r="P771" t="s">
        <v>119</v>
      </c>
      <c r="Q771" t="s">
        <v>147</v>
      </c>
      <c r="R771">
        <v>41</v>
      </c>
      <c r="S771" t="s">
        <v>120</v>
      </c>
      <c r="U771" t="s">
        <v>154</v>
      </c>
    </row>
    <row r="772" spans="1:21" x14ac:dyDescent="0.25">
      <c r="J772" t="s">
        <v>137</v>
      </c>
      <c r="L772" t="s">
        <v>190</v>
      </c>
      <c r="M772" t="s">
        <v>140</v>
      </c>
      <c r="P772" t="s">
        <v>119</v>
      </c>
      <c r="Q772" t="s">
        <v>147</v>
      </c>
      <c r="R772">
        <v>56</v>
      </c>
      <c r="S772" t="s">
        <v>120</v>
      </c>
      <c r="U772" t="s">
        <v>154</v>
      </c>
    </row>
    <row r="773" spans="1:21" x14ac:dyDescent="0.25">
      <c r="J773" t="s">
        <v>137</v>
      </c>
      <c r="L773" t="s">
        <v>191</v>
      </c>
      <c r="M773" t="s">
        <v>139</v>
      </c>
      <c r="P773" t="s">
        <v>119</v>
      </c>
      <c r="Q773" t="s">
        <v>147</v>
      </c>
      <c r="R773">
        <v>41</v>
      </c>
      <c r="S773" t="s">
        <v>120</v>
      </c>
      <c r="U773" t="s">
        <v>154</v>
      </c>
    </row>
    <row r="774" spans="1:21" x14ac:dyDescent="0.25">
      <c r="J774" t="s">
        <v>137</v>
      </c>
      <c r="L774" t="s">
        <v>191</v>
      </c>
      <c r="M774" t="s">
        <v>140</v>
      </c>
      <c r="P774" t="s">
        <v>119</v>
      </c>
      <c r="Q774" t="s">
        <v>147</v>
      </c>
      <c r="R774">
        <v>41</v>
      </c>
      <c r="S774" t="s">
        <v>120</v>
      </c>
      <c r="U774" t="s">
        <v>154</v>
      </c>
    </row>
    <row r="776" spans="1:21" x14ac:dyDescent="0.25">
      <c r="A776" s="1" t="s">
        <v>262</v>
      </c>
    </row>
    <row r="777" spans="1:21" x14ac:dyDescent="0.25">
      <c r="I777" t="s">
        <v>187</v>
      </c>
      <c r="P777" t="s">
        <v>119</v>
      </c>
      <c r="Q777" t="s">
        <v>147</v>
      </c>
      <c r="R777" s="6">
        <v>30</v>
      </c>
      <c r="S777" t="s">
        <v>120</v>
      </c>
      <c r="T777" s="6" t="s">
        <v>265</v>
      </c>
    </row>
    <row r="779" spans="1:21" x14ac:dyDescent="0.25">
      <c r="A779" s="2" t="s">
        <v>165</v>
      </c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</row>
    <row r="781" spans="1:21" x14ac:dyDescent="0.25">
      <c r="P781" t="s">
        <v>155</v>
      </c>
      <c r="Q781" t="s">
        <v>166</v>
      </c>
      <c r="R781">
        <v>1</v>
      </c>
      <c r="S781" t="s">
        <v>115</v>
      </c>
      <c r="T781" t="s">
        <v>162</v>
      </c>
      <c r="U781" t="s">
        <v>158</v>
      </c>
    </row>
    <row r="782" spans="1:21" x14ac:dyDescent="0.25">
      <c r="P782" t="s">
        <v>155</v>
      </c>
      <c r="Q782" t="s">
        <v>168</v>
      </c>
      <c r="R782">
        <v>1</v>
      </c>
      <c r="S782" t="s">
        <v>115</v>
      </c>
      <c r="T782" t="s">
        <v>163</v>
      </c>
      <c r="U782" t="s">
        <v>158</v>
      </c>
    </row>
    <row r="783" spans="1:21" x14ac:dyDescent="0.25">
      <c r="J783" t="s">
        <v>126</v>
      </c>
      <c r="M783" t="s">
        <v>156</v>
      </c>
      <c r="P783" t="s">
        <v>155</v>
      </c>
      <c r="Q783" t="s">
        <v>168</v>
      </c>
      <c r="R783">
        <v>2</v>
      </c>
      <c r="S783" t="s">
        <v>115</v>
      </c>
      <c r="T783" t="s">
        <v>159</v>
      </c>
      <c r="U783" t="s">
        <v>157</v>
      </c>
    </row>
    <row r="784" spans="1:21" x14ac:dyDescent="0.25">
      <c r="M784" t="s">
        <v>156</v>
      </c>
      <c r="P784" t="s">
        <v>155</v>
      </c>
      <c r="Q784" t="s">
        <v>168</v>
      </c>
      <c r="R784">
        <v>1</v>
      </c>
      <c r="S784" t="s">
        <v>115</v>
      </c>
      <c r="T784" t="s">
        <v>160</v>
      </c>
      <c r="U784" t="s">
        <v>157</v>
      </c>
    </row>
    <row r="785" spans="1:21" x14ac:dyDescent="0.25">
      <c r="P785" t="s">
        <v>155</v>
      </c>
      <c r="Q785" t="s">
        <v>167</v>
      </c>
      <c r="R785">
        <v>1</v>
      </c>
      <c r="S785" t="s">
        <v>115</v>
      </c>
      <c r="T785" t="s">
        <v>170</v>
      </c>
      <c r="U785" t="s">
        <v>158</v>
      </c>
    </row>
    <row r="786" spans="1:21" x14ac:dyDescent="0.25">
      <c r="P786" t="s">
        <v>155</v>
      </c>
      <c r="Q786" t="s">
        <v>169</v>
      </c>
      <c r="R786">
        <v>1</v>
      </c>
      <c r="S786" t="s">
        <v>115</v>
      </c>
      <c r="T786" t="s">
        <v>161</v>
      </c>
      <c r="U786" t="s">
        <v>158</v>
      </c>
    </row>
    <row r="788" spans="1:21" x14ac:dyDescent="0.25">
      <c r="P788" t="s">
        <v>155</v>
      </c>
      <c r="Q788" t="s">
        <v>173</v>
      </c>
      <c r="R788">
        <v>0</v>
      </c>
      <c r="S788" t="s">
        <v>174</v>
      </c>
      <c r="T788" t="s">
        <v>314</v>
      </c>
    </row>
    <row r="789" spans="1:21" x14ac:dyDescent="0.25">
      <c r="D789" t="s">
        <v>182</v>
      </c>
      <c r="P789" t="s">
        <v>155</v>
      </c>
      <c r="Q789" t="s">
        <v>173</v>
      </c>
      <c r="R789">
        <v>13</v>
      </c>
      <c r="S789" t="s">
        <v>174</v>
      </c>
      <c r="U789" t="s">
        <v>158</v>
      </c>
    </row>
    <row r="791" spans="1:21" x14ac:dyDescent="0.25">
      <c r="A791" s="2" t="s">
        <v>176</v>
      </c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</row>
    <row r="793" spans="1:21" x14ac:dyDescent="0.25">
      <c r="D793" t="s">
        <v>182</v>
      </c>
      <c r="P793" t="s">
        <v>180</v>
      </c>
      <c r="Q793" t="s">
        <v>177</v>
      </c>
      <c r="R793">
        <v>0.24</v>
      </c>
      <c r="S793" t="s">
        <v>179</v>
      </c>
      <c r="U793" t="s">
        <v>178</v>
      </c>
    </row>
    <row r="794" spans="1:21" x14ac:dyDescent="0.25">
      <c r="D794" t="s">
        <v>183</v>
      </c>
      <c r="P794" t="s">
        <v>180</v>
      </c>
      <c r="Q794" t="s">
        <v>177</v>
      </c>
      <c r="R794">
        <v>0.24</v>
      </c>
      <c r="S794" t="s">
        <v>179</v>
      </c>
      <c r="U794" t="s">
        <v>178</v>
      </c>
    </row>
    <row r="795" spans="1:21" x14ac:dyDescent="0.25">
      <c r="D795" t="s">
        <v>184</v>
      </c>
      <c r="P795" t="s">
        <v>180</v>
      </c>
      <c r="Q795" t="s">
        <v>177</v>
      </c>
      <c r="R795">
        <v>0</v>
      </c>
      <c r="S795" t="s">
        <v>179</v>
      </c>
      <c r="T795" t="s">
        <v>185</v>
      </c>
    </row>
    <row r="797" spans="1:21" x14ac:dyDescent="0.25">
      <c r="A797" s="27" t="s">
        <v>315</v>
      </c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</row>
    <row r="799" spans="1:21" x14ac:dyDescent="0.25">
      <c r="H799" t="s">
        <v>335</v>
      </c>
      <c r="Q799" t="s">
        <v>333</v>
      </c>
      <c r="R799" s="11">
        <f>213/(213 + 60)*100</f>
        <v>78.021978021978029</v>
      </c>
      <c r="S799" t="s">
        <v>103</v>
      </c>
      <c r="U799" t="s">
        <v>334</v>
      </c>
    </row>
    <row r="800" spans="1:21" x14ac:dyDescent="0.25">
      <c r="H800" t="s">
        <v>336</v>
      </c>
      <c r="Q800" t="s">
        <v>333</v>
      </c>
      <c r="R800" s="11">
        <f>60/(213 + 60)*100</f>
        <v>21.978021978021978</v>
      </c>
      <c r="S800" t="s">
        <v>103</v>
      </c>
      <c r="U800" t="s">
        <v>334</v>
      </c>
    </row>
    <row r="802" spans="1:21" x14ac:dyDescent="0.25">
      <c r="H802" t="s">
        <v>335</v>
      </c>
      <c r="Q802" t="s">
        <v>337</v>
      </c>
      <c r="R802">
        <v>45</v>
      </c>
      <c r="S802" t="s">
        <v>103</v>
      </c>
      <c r="U802" t="s">
        <v>338</v>
      </c>
    </row>
    <row r="803" spans="1:21" x14ac:dyDescent="0.25">
      <c r="H803" t="s">
        <v>336</v>
      </c>
      <c r="Q803" t="s">
        <v>337</v>
      </c>
      <c r="R803">
        <v>48</v>
      </c>
      <c r="S803" t="s">
        <v>103</v>
      </c>
      <c r="U803" t="s">
        <v>338</v>
      </c>
    </row>
    <row r="805" spans="1:21" x14ac:dyDescent="0.25">
      <c r="Q805" t="s">
        <v>316</v>
      </c>
      <c r="R805" s="32">
        <f>R811</f>
        <v>-5.9999999999999995E-4</v>
      </c>
      <c r="S805" t="s">
        <v>319</v>
      </c>
      <c r="T805" t="s">
        <v>332</v>
      </c>
    </row>
    <row r="806" spans="1:21" x14ac:dyDescent="0.25">
      <c r="R806" s="32"/>
    </row>
    <row r="807" spans="1:21" x14ac:dyDescent="0.25">
      <c r="A807" t="s">
        <v>38</v>
      </c>
      <c r="Q807" t="s">
        <v>316</v>
      </c>
      <c r="R807" s="29">
        <f>-(45.5*0.2+10.7*0.8)/1000</f>
        <v>-1.7659999999999999E-2</v>
      </c>
      <c r="S807" t="s">
        <v>319</v>
      </c>
      <c r="U807" t="s">
        <v>323</v>
      </c>
    </row>
    <row r="808" spans="1:21" x14ac:dyDescent="0.25">
      <c r="A808" t="s">
        <v>39</v>
      </c>
      <c r="Q808" t="s">
        <v>316</v>
      </c>
      <c r="R808" s="29">
        <f>R807</f>
        <v>-1.7659999999999999E-2</v>
      </c>
      <c r="S808" t="s">
        <v>319</v>
      </c>
      <c r="U808" t="s">
        <v>323</v>
      </c>
    </row>
    <row r="809" spans="1:21" x14ac:dyDescent="0.25">
      <c r="A809" s="4" t="s">
        <v>41</v>
      </c>
      <c r="Q809" t="s">
        <v>316</v>
      </c>
      <c r="R809" s="6">
        <f>-10.7/1000</f>
        <v>-1.0699999999999999E-2</v>
      </c>
      <c r="S809" t="s">
        <v>319</v>
      </c>
      <c r="T809" t="s">
        <v>330</v>
      </c>
    </row>
    <row r="810" spans="1:21" x14ac:dyDescent="0.25">
      <c r="A810" s="4" t="s">
        <v>42</v>
      </c>
      <c r="Q810" t="s">
        <v>316</v>
      </c>
      <c r="R810" s="6">
        <f>-10.7/1000</f>
        <v>-1.0699999999999999E-2</v>
      </c>
      <c r="S810" t="s">
        <v>319</v>
      </c>
      <c r="T810" t="s">
        <v>330</v>
      </c>
    </row>
    <row r="811" spans="1:21" x14ac:dyDescent="0.25">
      <c r="B811" t="s">
        <v>233</v>
      </c>
      <c r="Q811" t="s">
        <v>316</v>
      </c>
      <c r="R811">
        <f>-0.6/1000</f>
        <v>-5.9999999999999995E-4</v>
      </c>
      <c r="S811" t="s">
        <v>319</v>
      </c>
      <c r="U811" t="s">
        <v>323</v>
      </c>
    </row>
    <row r="813" spans="1:21" x14ac:dyDescent="0.25">
      <c r="C813" t="s">
        <v>322</v>
      </c>
      <c r="Q813" t="s">
        <v>317</v>
      </c>
      <c r="R813">
        <f>-9.2/1000</f>
        <v>-9.1999999999999998E-3</v>
      </c>
      <c r="S813" t="s">
        <v>319</v>
      </c>
      <c r="U813" t="s">
        <v>323</v>
      </c>
    </row>
    <row r="816" spans="1:21" x14ac:dyDescent="0.25">
      <c r="H816" t="s">
        <v>113</v>
      </c>
      <c r="Q816" t="s">
        <v>325</v>
      </c>
      <c r="R816" s="33">
        <v>-0.5</v>
      </c>
      <c r="S816" t="s">
        <v>320</v>
      </c>
      <c r="U816" t="s">
        <v>329</v>
      </c>
    </row>
    <row r="817" spans="8:21" x14ac:dyDescent="0.25">
      <c r="H817" t="s">
        <v>114</v>
      </c>
      <c r="Q817" t="s">
        <v>325</v>
      </c>
      <c r="R817" s="33">
        <v>-1</v>
      </c>
      <c r="S817" t="s">
        <v>320</v>
      </c>
      <c r="U817" t="s">
        <v>329</v>
      </c>
    </row>
    <row r="818" spans="8:21" x14ac:dyDescent="0.25">
      <c r="H818" t="s">
        <v>215</v>
      </c>
      <c r="Q818" t="s">
        <v>325</v>
      </c>
      <c r="R818" s="31">
        <v>-1</v>
      </c>
      <c r="S818" t="s">
        <v>320</v>
      </c>
      <c r="T818" t="s">
        <v>331</v>
      </c>
    </row>
    <row r="820" spans="8:21" x14ac:dyDescent="0.25">
      <c r="Q820" t="s">
        <v>327</v>
      </c>
      <c r="R820" s="30">
        <v>0</v>
      </c>
      <c r="S820" t="s">
        <v>328</v>
      </c>
    </row>
    <row r="822" spans="8:21" x14ac:dyDescent="0.25">
      <c r="Q822" t="s">
        <v>326</v>
      </c>
      <c r="R822" s="30">
        <v>0</v>
      </c>
      <c r="S822" t="s">
        <v>328</v>
      </c>
    </row>
    <row r="824" spans="8:21" x14ac:dyDescent="0.25">
      <c r="Q824" t="s">
        <v>318</v>
      </c>
      <c r="R824" s="33">
        <f>3/5</f>
        <v>0.6</v>
      </c>
      <c r="S824" t="s">
        <v>320</v>
      </c>
      <c r="T824" t="s">
        <v>324</v>
      </c>
      <c r="U824" t="s">
        <v>323</v>
      </c>
    </row>
  </sheetData>
  <hyperlinks>
    <hyperlink ref="U473" r:id="rId1"/>
    <hyperlink ref="U697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93</v>
      </c>
    </row>
    <row r="2" spans="1:2" x14ac:dyDescent="0.25">
      <c r="A2">
        <v>111</v>
      </c>
      <c r="B2" t="s">
        <v>85</v>
      </c>
    </row>
    <row r="3" spans="1:2" x14ac:dyDescent="0.25">
      <c r="A3">
        <v>112</v>
      </c>
      <c r="B3" t="s">
        <v>85</v>
      </c>
    </row>
    <row r="4" spans="1:2" x14ac:dyDescent="0.25">
      <c r="A4">
        <v>311</v>
      </c>
      <c r="B4" t="s">
        <v>85</v>
      </c>
    </row>
    <row r="5" spans="1:2" x14ac:dyDescent="0.25">
      <c r="A5">
        <v>312</v>
      </c>
      <c r="B5" t="s">
        <v>85</v>
      </c>
    </row>
    <row r="6" spans="1:2" x14ac:dyDescent="0.25">
      <c r="A6">
        <v>321</v>
      </c>
      <c r="B6" t="s">
        <v>85</v>
      </c>
    </row>
    <row r="7" spans="1:2" x14ac:dyDescent="0.25">
      <c r="A7">
        <v>322</v>
      </c>
      <c r="B7" t="s">
        <v>85</v>
      </c>
    </row>
    <row r="8" spans="1:2" x14ac:dyDescent="0.25">
      <c r="A8">
        <v>411</v>
      </c>
      <c r="B8" t="s">
        <v>85</v>
      </c>
    </row>
    <row r="9" spans="1:2" x14ac:dyDescent="0.25">
      <c r="A9">
        <v>421</v>
      </c>
      <c r="B9" t="s">
        <v>85</v>
      </c>
    </row>
    <row r="10" spans="1:2" x14ac:dyDescent="0.25">
      <c r="A10">
        <v>422</v>
      </c>
      <c r="B10" t="s">
        <v>85</v>
      </c>
    </row>
    <row r="11" spans="1:2" x14ac:dyDescent="0.25">
      <c r="A11">
        <v>431</v>
      </c>
      <c r="B11" t="s">
        <v>85</v>
      </c>
    </row>
    <row r="12" spans="1:2" x14ac:dyDescent="0.25">
      <c r="A12">
        <v>511</v>
      </c>
      <c r="B12" t="s">
        <v>86</v>
      </c>
    </row>
    <row r="13" spans="1:2" x14ac:dyDescent="0.25">
      <c r="A13">
        <v>512</v>
      </c>
      <c r="B13" t="s">
        <v>86</v>
      </c>
    </row>
    <row r="14" spans="1:2" x14ac:dyDescent="0.25">
      <c r="A14">
        <v>513</v>
      </c>
      <c r="B14" t="s">
        <v>87</v>
      </c>
    </row>
    <row r="15" spans="1:2" x14ac:dyDescent="0.25">
      <c r="A15">
        <v>514</v>
      </c>
      <c r="B15" t="s">
        <v>87</v>
      </c>
    </row>
    <row r="16" spans="1:2" x14ac:dyDescent="0.25">
      <c r="A16">
        <v>515</v>
      </c>
      <c r="B16" t="s">
        <v>87</v>
      </c>
    </row>
    <row r="17" spans="1:2" x14ac:dyDescent="0.25">
      <c r="A17">
        <v>521</v>
      </c>
      <c r="B17" t="s">
        <v>88</v>
      </c>
    </row>
    <row r="18" spans="1:2" x14ac:dyDescent="0.25">
      <c r="A18">
        <v>611</v>
      </c>
      <c r="B18" t="s">
        <v>86</v>
      </c>
    </row>
    <row r="19" spans="1:2" x14ac:dyDescent="0.25">
      <c r="A19">
        <v>612</v>
      </c>
      <c r="B19" t="s">
        <v>86</v>
      </c>
    </row>
    <row r="20" spans="1:2" x14ac:dyDescent="0.25">
      <c r="A20">
        <v>621</v>
      </c>
      <c r="B20" t="s">
        <v>86</v>
      </c>
    </row>
    <row r="21" spans="1:2" x14ac:dyDescent="0.25">
      <c r="A21">
        <v>622</v>
      </c>
      <c r="B21" t="s">
        <v>86</v>
      </c>
    </row>
    <row r="22" spans="1:2" x14ac:dyDescent="0.25">
      <c r="A22">
        <v>711</v>
      </c>
      <c r="B22" t="s">
        <v>86</v>
      </c>
    </row>
    <row r="23" spans="1:2" x14ac:dyDescent="0.25">
      <c r="A23">
        <v>731</v>
      </c>
      <c r="B23" t="s">
        <v>86</v>
      </c>
    </row>
    <row r="24" spans="1:2" x14ac:dyDescent="0.25">
      <c r="A24">
        <v>811</v>
      </c>
      <c r="B24" t="s">
        <v>89</v>
      </c>
    </row>
    <row r="25" spans="1:2" x14ac:dyDescent="0.25">
      <c r="A25">
        <v>812</v>
      </c>
      <c r="B25" t="s">
        <v>89</v>
      </c>
    </row>
    <row r="26" spans="1:2" x14ac:dyDescent="0.25">
      <c r="A26">
        <v>813</v>
      </c>
      <c r="B26" t="s">
        <v>86</v>
      </c>
    </row>
    <row r="27" spans="1:2" x14ac:dyDescent="0.25">
      <c r="A27">
        <v>814</v>
      </c>
      <c r="B27" t="s">
        <v>86</v>
      </c>
    </row>
    <row r="28" spans="1:2" x14ac:dyDescent="0.25">
      <c r="A28">
        <v>821</v>
      </c>
      <c r="B28" t="s">
        <v>86</v>
      </c>
    </row>
    <row r="29" spans="1:2" x14ac:dyDescent="0.25">
      <c r="A29">
        <v>831</v>
      </c>
      <c r="B29" t="s">
        <v>86</v>
      </c>
    </row>
    <row r="30" spans="1:2" x14ac:dyDescent="0.25">
      <c r="A30">
        <v>911</v>
      </c>
      <c r="B30" t="s">
        <v>89</v>
      </c>
    </row>
    <row r="31" spans="1:2" x14ac:dyDescent="0.25">
      <c r="A31">
        <v>912</v>
      </c>
      <c r="B31" t="s">
        <v>89</v>
      </c>
    </row>
    <row r="32" spans="1:2" x14ac:dyDescent="0.25">
      <c r="A32">
        <v>913</v>
      </c>
      <c r="B32" t="s">
        <v>89</v>
      </c>
    </row>
    <row r="33" spans="1:2" x14ac:dyDescent="0.25">
      <c r="A33">
        <v>1011</v>
      </c>
      <c r="B33" t="s">
        <v>89</v>
      </c>
    </row>
    <row r="34" spans="1:2" x14ac:dyDescent="0.25">
      <c r="A34">
        <v>1111</v>
      </c>
      <c r="B34" t="s">
        <v>89</v>
      </c>
    </row>
    <row r="35" spans="1:2" x14ac:dyDescent="0.25">
      <c r="A35">
        <v>1112</v>
      </c>
      <c r="B35" t="s">
        <v>89</v>
      </c>
    </row>
    <row r="36" spans="1:2" x14ac:dyDescent="0.25">
      <c r="A36">
        <v>1121</v>
      </c>
      <c r="B36" t="s">
        <v>90</v>
      </c>
    </row>
    <row r="37" spans="1:2" x14ac:dyDescent="0.25">
      <c r="A37">
        <v>1122</v>
      </c>
      <c r="B37" t="s">
        <v>89</v>
      </c>
    </row>
    <row r="38" spans="1:2" x14ac:dyDescent="0.25">
      <c r="A38">
        <v>1123</v>
      </c>
      <c r="B38" t="s">
        <v>90</v>
      </c>
    </row>
    <row r="39" spans="1:2" x14ac:dyDescent="0.25">
      <c r="A39">
        <v>1124</v>
      </c>
      <c r="B39" t="s">
        <v>86</v>
      </c>
    </row>
    <row r="40" spans="1:2" x14ac:dyDescent="0.25">
      <c r="A40">
        <v>1131</v>
      </c>
      <c r="B40" t="s">
        <v>86</v>
      </c>
    </row>
    <row r="41" spans="1:2" x14ac:dyDescent="0.25">
      <c r="A41">
        <v>1211</v>
      </c>
      <c r="B41" t="s">
        <v>90</v>
      </c>
    </row>
    <row r="42" spans="1:2" x14ac:dyDescent="0.25">
      <c r="A42">
        <v>1212</v>
      </c>
      <c r="B42" t="s">
        <v>90</v>
      </c>
    </row>
    <row r="43" spans="1:2" x14ac:dyDescent="0.25">
      <c r="A43">
        <v>1213</v>
      </c>
      <c r="B43" t="s">
        <v>89</v>
      </c>
    </row>
    <row r="44" spans="1:2" x14ac:dyDescent="0.25">
      <c r="A44">
        <v>1214</v>
      </c>
      <c r="B44" t="s">
        <v>90</v>
      </c>
    </row>
    <row r="45" spans="1:2" x14ac:dyDescent="0.25">
      <c r="A45">
        <v>1215</v>
      </c>
      <c r="B45" t="s">
        <v>89</v>
      </c>
    </row>
    <row r="46" spans="1:2" x14ac:dyDescent="0.25">
      <c r="A46">
        <v>1216</v>
      </c>
      <c r="B46" t="s">
        <v>90</v>
      </c>
    </row>
    <row r="47" spans="1:2" x14ac:dyDescent="0.25">
      <c r="A47">
        <v>1221</v>
      </c>
      <c r="B47" t="s">
        <v>86</v>
      </c>
    </row>
    <row r="48" spans="1:2" x14ac:dyDescent="0.25">
      <c r="A48">
        <v>1222</v>
      </c>
      <c r="B48" t="s">
        <v>90</v>
      </c>
    </row>
    <row r="49" spans="1:2" x14ac:dyDescent="0.25">
      <c r="A49">
        <v>1311</v>
      </c>
      <c r="B49" t="s">
        <v>90</v>
      </c>
    </row>
    <row r="50" spans="1:2" x14ac:dyDescent="0.25">
      <c r="A50">
        <v>1321</v>
      </c>
      <c r="B50" t="s">
        <v>90</v>
      </c>
    </row>
    <row r="51" spans="1:2" x14ac:dyDescent="0.25">
      <c r="A51">
        <v>1322</v>
      </c>
      <c r="B51" t="s">
        <v>86</v>
      </c>
    </row>
    <row r="52" spans="1:2" x14ac:dyDescent="0.25">
      <c r="A52">
        <v>1331</v>
      </c>
      <c r="B52" t="s">
        <v>86</v>
      </c>
    </row>
    <row r="53" spans="1:2" x14ac:dyDescent="0.25">
      <c r="A53">
        <v>1411</v>
      </c>
      <c r="B53" t="s">
        <v>86</v>
      </c>
    </row>
    <row r="54" spans="1:2" x14ac:dyDescent="0.25">
      <c r="A54">
        <v>1412</v>
      </c>
      <c r="B54" t="s">
        <v>86</v>
      </c>
    </row>
    <row r="55" spans="1:2" x14ac:dyDescent="0.25">
      <c r="A55">
        <v>1421</v>
      </c>
      <c r="B55" t="s">
        <v>86</v>
      </c>
    </row>
    <row r="56" spans="1:2" x14ac:dyDescent="0.25">
      <c r="A56">
        <v>1511</v>
      </c>
      <c r="B56" t="s">
        <v>86</v>
      </c>
    </row>
    <row r="57" spans="1:2" x14ac:dyDescent="0.25">
      <c r="A57">
        <v>1512</v>
      </c>
      <c r="B57" t="s">
        <v>87</v>
      </c>
    </row>
    <row r="58" spans="1:2" x14ac:dyDescent="0.25">
      <c r="A58">
        <v>1521</v>
      </c>
      <c r="B58" t="s">
        <v>86</v>
      </c>
    </row>
    <row r="59" spans="1:2" x14ac:dyDescent="0.25">
      <c r="A59">
        <v>1522</v>
      </c>
      <c r="B59" t="s">
        <v>86</v>
      </c>
    </row>
    <row r="60" spans="1:2" x14ac:dyDescent="0.25">
      <c r="A60">
        <v>1611</v>
      </c>
      <c r="B60" t="s">
        <v>86</v>
      </c>
    </row>
    <row r="61" spans="1:2" x14ac:dyDescent="0.25">
      <c r="A61">
        <v>1612</v>
      </c>
      <c r="B61" t="s">
        <v>87</v>
      </c>
    </row>
    <row r="62" spans="1:2" x14ac:dyDescent="0.25">
      <c r="A62">
        <v>1613</v>
      </c>
      <c r="B62" t="s">
        <v>87</v>
      </c>
    </row>
    <row r="63" spans="1:2" x14ac:dyDescent="0.25">
      <c r="A63">
        <v>1614</v>
      </c>
      <c r="B63" t="s">
        <v>87</v>
      </c>
    </row>
    <row r="64" spans="1:2" x14ac:dyDescent="0.25">
      <c r="A64">
        <v>1615</v>
      </c>
      <c r="B64" t="s">
        <v>87</v>
      </c>
    </row>
    <row r="65" spans="1:2" x14ac:dyDescent="0.25">
      <c r="A65">
        <v>1616</v>
      </c>
      <c r="B65" t="s">
        <v>87</v>
      </c>
    </row>
    <row r="66" spans="1:2" x14ac:dyDescent="0.25">
      <c r="A66">
        <v>1617</v>
      </c>
      <c r="B66" t="s">
        <v>88</v>
      </c>
    </row>
    <row r="67" spans="1:2" x14ac:dyDescent="0.25">
      <c r="A67">
        <v>1621</v>
      </c>
      <c r="B67" t="s">
        <v>87</v>
      </c>
    </row>
    <row r="68" spans="1:2" x14ac:dyDescent="0.25">
      <c r="A68">
        <v>1622</v>
      </c>
      <c r="B68" t="s">
        <v>87</v>
      </c>
    </row>
    <row r="69" spans="1:2" x14ac:dyDescent="0.25">
      <c r="A69">
        <v>1623</v>
      </c>
      <c r="B69" t="s">
        <v>87</v>
      </c>
    </row>
    <row r="70" spans="1:2" x14ac:dyDescent="0.25">
      <c r="A70">
        <v>1711</v>
      </c>
      <c r="B70" t="s">
        <v>85</v>
      </c>
    </row>
    <row r="71" spans="1:2" x14ac:dyDescent="0.25">
      <c r="A71">
        <v>1712</v>
      </c>
      <c r="B71" t="s">
        <v>85</v>
      </c>
    </row>
    <row r="72" spans="1:2" x14ac:dyDescent="0.25">
      <c r="A72">
        <v>1713</v>
      </c>
      <c r="B72" t="s">
        <v>88</v>
      </c>
    </row>
    <row r="73" spans="1:2" x14ac:dyDescent="0.25">
      <c r="A73">
        <v>1721</v>
      </c>
      <c r="B73" t="s">
        <v>88</v>
      </c>
    </row>
    <row r="74" spans="1:2" x14ac:dyDescent="0.25">
      <c r="A74">
        <v>1722</v>
      </c>
      <c r="B74" t="s">
        <v>85</v>
      </c>
    </row>
    <row r="75" spans="1:2" x14ac:dyDescent="0.25">
      <c r="A75">
        <v>1723</v>
      </c>
      <c r="B75" t="s">
        <v>88</v>
      </c>
    </row>
    <row r="76" spans="1:2" x14ac:dyDescent="0.25">
      <c r="A76">
        <v>1724</v>
      </c>
      <c r="B76" t="s">
        <v>91</v>
      </c>
    </row>
    <row r="77" spans="1:2" x14ac:dyDescent="0.25">
      <c r="A77">
        <v>1811</v>
      </c>
      <c r="B77" t="s">
        <v>88</v>
      </c>
    </row>
    <row r="78" spans="1:2" x14ac:dyDescent="0.25">
      <c r="A78">
        <v>1812</v>
      </c>
      <c r="B78" t="s">
        <v>85</v>
      </c>
    </row>
    <row r="79" spans="1:2" x14ac:dyDescent="0.25">
      <c r="A79">
        <v>1813</v>
      </c>
      <c r="B79" t="s">
        <v>88</v>
      </c>
    </row>
    <row r="80" spans="1:2" x14ac:dyDescent="0.25">
      <c r="A80">
        <v>1821</v>
      </c>
      <c r="B80" t="s">
        <v>85</v>
      </c>
    </row>
    <row r="81" spans="1:2" x14ac:dyDescent="0.25">
      <c r="A81">
        <v>1911</v>
      </c>
      <c r="B81" t="s">
        <v>85</v>
      </c>
    </row>
    <row r="82" spans="1:2" x14ac:dyDescent="0.25">
      <c r="A82">
        <v>1912</v>
      </c>
      <c r="B82" t="s">
        <v>85</v>
      </c>
    </row>
    <row r="83" spans="1:2" x14ac:dyDescent="0.25">
      <c r="A83">
        <v>1921</v>
      </c>
      <c r="B83" t="s">
        <v>85</v>
      </c>
    </row>
    <row r="84" spans="1:2" x14ac:dyDescent="0.25">
      <c r="A84">
        <v>1922</v>
      </c>
      <c r="B84" t="s">
        <v>85</v>
      </c>
    </row>
    <row r="85" spans="1:2" x14ac:dyDescent="0.25">
      <c r="A85">
        <v>2011</v>
      </c>
      <c r="B85" t="s">
        <v>88</v>
      </c>
    </row>
    <row r="86" spans="1:2" x14ac:dyDescent="0.25">
      <c r="A86">
        <v>2012</v>
      </c>
      <c r="B86" t="s">
        <v>91</v>
      </c>
    </row>
    <row r="87" spans="1:2" x14ac:dyDescent="0.25">
      <c r="A87">
        <v>2019</v>
      </c>
      <c r="B87" t="s">
        <v>92</v>
      </c>
    </row>
    <row r="88" spans="1:2" x14ac:dyDescent="0.25">
      <c r="A88">
        <v>2111</v>
      </c>
      <c r="B88" t="s">
        <v>91</v>
      </c>
    </row>
    <row r="89" spans="1:2" x14ac:dyDescent="0.25">
      <c r="A89">
        <v>2121</v>
      </c>
      <c r="B89" t="s">
        <v>88</v>
      </c>
    </row>
    <row r="90" spans="1:2" x14ac:dyDescent="0.25">
      <c r="A90">
        <v>2122</v>
      </c>
      <c r="B90" t="s">
        <v>88</v>
      </c>
    </row>
    <row r="91" spans="1:2" x14ac:dyDescent="0.25">
      <c r="A91">
        <v>2211</v>
      </c>
      <c r="B91" t="s">
        <v>91</v>
      </c>
    </row>
    <row r="92" spans="1:2" x14ac:dyDescent="0.25">
      <c r="A92">
        <v>2212</v>
      </c>
      <c r="B92" t="s">
        <v>91</v>
      </c>
    </row>
    <row r="93" spans="1:2" x14ac:dyDescent="0.25">
      <c r="A93">
        <v>2221</v>
      </c>
      <c r="B93" t="s">
        <v>91</v>
      </c>
    </row>
    <row r="94" spans="1:2" x14ac:dyDescent="0.25">
      <c r="A94">
        <v>2311</v>
      </c>
      <c r="B94" t="s">
        <v>91</v>
      </c>
    </row>
    <row r="95" spans="1:2" x14ac:dyDescent="0.25">
      <c r="A95">
        <v>2312</v>
      </c>
      <c r="B95" t="s">
        <v>91</v>
      </c>
    </row>
    <row r="96" spans="1:2" x14ac:dyDescent="0.25">
      <c r="A96">
        <v>2319</v>
      </c>
      <c r="B96" t="s">
        <v>92</v>
      </c>
    </row>
    <row r="97" spans="1:2" x14ac:dyDescent="0.25">
      <c r="A97">
        <v>2331</v>
      </c>
      <c r="B97" t="s">
        <v>92</v>
      </c>
    </row>
    <row r="98" spans="1:2" x14ac:dyDescent="0.25">
      <c r="A98">
        <v>2411</v>
      </c>
      <c r="B98" t="s">
        <v>92</v>
      </c>
    </row>
    <row r="99" spans="1:2" x14ac:dyDescent="0.25">
      <c r="A99">
        <v>2412</v>
      </c>
      <c r="B99" t="s">
        <v>92</v>
      </c>
    </row>
    <row r="100" spans="1:2" x14ac:dyDescent="0.25">
      <c r="A100">
        <v>2413</v>
      </c>
      <c r="B100" t="s">
        <v>92</v>
      </c>
    </row>
    <row r="101" spans="1:2" x14ac:dyDescent="0.25">
      <c r="A101">
        <v>2414</v>
      </c>
      <c r="B101" t="s">
        <v>92</v>
      </c>
    </row>
    <row r="102" spans="1:2" x14ac:dyDescent="0.25">
      <c r="A102">
        <v>2415</v>
      </c>
      <c r="B102" t="s">
        <v>92</v>
      </c>
    </row>
    <row r="103" spans="1:2" x14ac:dyDescent="0.25">
      <c r="A103">
        <v>2419</v>
      </c>
      <c r="B103" t="s">
        <v>92</v>
      </c>
    </row>
    <row r="104" spans="1:2" x14ac:dyDescent="0.25">
      <c r="A104">
        <v>2511</v>
      </c>
      <c r="B104" t="s">
        <v>92</v>
      </c>
    </row>
    <row r="105" spans="1:2" x14ac:dyDescent="0.25">
      <c r="A105">
        <v>2512</v>
      </c>
      <c r="B105" t="s">
        <v>92</v>
      </c>
    </row>
    <row r="106" spans="1:2" x14ac:dyDescent="0.25">
      <c r="A106">
        <v>2519</v>
      </c>
      <c r="B106" t="s">
        <v>92</v>
      </c>
    </row>
    <row r="107" spans="1:2" x14ac:dyDescent="0.25">
      <c r="A107">
        <v>2521</v>
      </c>
      <c r="B107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2024-10-28T12:24:36Z</dcterms:modified>
</cp:coreProperties>
</file>