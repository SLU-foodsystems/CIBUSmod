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22260" windowHeight="12645"/>
  </bookViews>
  <sheets>
    <sheet name="default" sheetId="1" r:id="rId1"/>
    <sheet name="referenc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0" i="1" l="1"/>
  <c r="I88" i="1" l="1"/>
  <c r="I60" i="1" l="1"/>
  <c r="I59" i="1"/>
  <c r="I58" i="1"/>
  <c r="I46" i="1"/>
  <c r="I53" i="1" s="1"/>
  <c r="I45" i="1"/>
  <c r="I52" i="1" s="1"/>
  <c r="I44" i="1"/>
  <c r="I51" i="1" s="1"/>
  <c r="I39" i="1"/>
  <c r="I38" i="1"/>
  <c r="I37" i="1"/>
  <c r="I50" i="1"/>
  <c r="I84" i="1" l="1"/>
  <c r="I48" i="1" l="1"/>
  <c r="I49" i="1"/>
</calcChain>
</file>

<file path=xl/sharedStrings.xml><?xml version="1.0" encoding="utf-8"?>
<sst xmlns="http://schemas.openxmlformats.org/spreadsheetml/2006/main" count="288" uniqueCount="103">
  <si>
    <t>parameter</t>
  </si>
  <si>
    <t>value</t>
  </si>
  <si>
    <t>unit</t>
  </si>
  <si>
    <t>description</t>
  </si>
  <si>
    <t>source</t>
  </si>
  <si>
    <t>f_waste_level</t>
  </si>
  <si>
    <t>f_waste_treatment</t>
  </si>
  <si>
    <t>treatment_share</t>
  </si>
  <si>
    <t>household</t>
  </si>
  <si>
    <t>retail</t>
  </si>
  <si>
    <t>processing</t>
  </si>
  <si>
    <t>carcasses</t>
  </si>
  <si>
    <t>%</t>
  </si>
  <si>
    <t>fallback</t>
  </si>
  <si>
    <t>anaerobic digestion</t>
  </si>
  <si>
    <t>composting</t>
  </si>
  <si>
    <t>incineration</t>
  </si>
  <si>
    <t>landfill</t>
  </si>
  <si>
    <t>WASTE TREATMENT SHARES</t>
  </si>
  <si>
    <t>Livsmedelsavfall i Sverige 2022</t>
  </si>
  <si>
    <t>&gt;40% rötning &lt;50% rötning+kompostering</t>
  </si>
  <si>
    <t>Ley, biogas feedstock</t>
  </si>
  <si>
    <t>Non-waste feedstocks</t>
  </si>
  <si>
    <t>WASTE COMPOSITION</t>
  </si>
  <si>
    <t>waste_VS</t>
  </si>
  <si>
    <t>waste_N</t>
  </si>
  <si>
    <t>waste_P</t>
  </si>
  <si>
    <t>waste_K</t>
  </si>
  <si>
    <t>kg C/kg VS</t>
  </si>
  <si>
    <t>f_waste</t>
  </si>
  <si>
    <t>f_waste_group</t>
  </si>
  <si>
    <t>waste_DM</t>
  </si>
  <si>
    <t>kg DM/kg</t>
  </si>
  <si>
    <t>kg VS/kg DM</t>
  </si>
  <si>
    <t>kg N/kg DM</t>
  </si>
  <si>
    <t>kg P/kg DM</t>
  </si>
  <si>
    <t>kg K/kg DM</t>
  </si>
  <si>
    <t>waste_C</t>
  </si>
  <si>
    <t>ANAEROBIC DIGESTION</t>
  </si>
  <si>
    <t>biogas_CH4_frac</t>
  </si>
  <si>
    <t>Källsorterat matavfall - hushåll</t>
  </si>
  <si>
    <t>Assumed same as retail</t>
  </si>
  <si>
    <t>Avfall Sverige. (2009). Substrathandbok för biogasproduktion. RAPPORT U2009:14. BILAGA 1 – SUBSTRATLISTA</t>
  </si>
  <si>
    <t>Nm3 CH4/kg VS</t>
  </si>
  <si>
    <t>biogas_CH4_yield</t>
  </si>
  <si>
    <t>primary</t>
  </si>
  <si>
    <t>manure</t>
  </si>
  <si>
    <t>f_MMS</t>
  </si>
  <si>
    <t>Avfall Sverige (2009)</t>
  </si>
  <si>
    <t>waste_B0</t>
  </si>
  <si>
    <t>biogas_flare_frac</t>
  </si>
  <si>
    <t>biogas_flare_slip</t>
  </si>
  <si>
    <t>biogas_CH4_slip</t>
  </si>
  <si>
    <t>% of CH4 prod</t>
  </si>
  <si>
    <t>% of CH4 to flare</t>
  </si>
  <si>
    <t>biogas_electricity_use</t>
  </si>
  <si>
    <t>biogas_heat_use</t>
  </si>
  <si>
    <t>kWh/Nm3 CH4</t>
  </si>
  <si>
    <t>Samrötningsanläggningar med förbehandling av matavfall</t>
  </si>
  <si>
    <t>HBK Biogasredovisning, ver 4.2</t>
  </si>
  <si>
    <t>HBK Biogasredovisning, ver 4.2. https://www.energigas.se/publikationer/hallbarhetskriterier-for-biodrivmedel-och-biobranslen/excel-verktyg-for-hbk-redovisning-och-berakning-av-vaxthusgasutslapp-for-biogas-och-biogasol/</t>
  </si>
  <si>
    <t>crop feedstock</t>
  </si>
  <si>
    <t>Lindfors &amp; Feiz (2023)</t>
  </si>
  <si>
    <t>Lindfors, A. &amp; Feiz, R. (2023). The current Nordic biogas and biofertilizer potential: An inventory of established feedstock and current technology. Biogas Solutions Research Center, Linköping University. https://doi.org/10.3384/9789180752558</t>
  </si>
  <si>
    <t>Share of B0 yielded as biogas</t>
  </si>
  <si>
    <t>see FeedMgmt</t>
  </si>
  <si>
    <t>Note: This report states that N, P and K contents are given as "kg/ton DM" but should be "kg/ton wet weight" according to pers. comm. with Lindfors</t>
  </si>
  <si>
    <t>digestate_B0</t>
  </si>
  <si>
    <t>digestate_TAN_share</t>
  </si>
  <si>
    <t>% of total N</t>
  </si>
  <si>
    <t>Nilsson, J., Ernfors, M., Prade, T., &amp; Hansson, P. A. (2024). Cover crop cultivation strategies in a Scandinavian context for climate change mitigation and biogas production–Insights from a life cycle perspective. Science of The Total Environment, 170629.</t>
  </si>
  <si>
    <t>Nilsson et al (2024)</t>
  </si>
  <si>
    <t>vol. %</t>
  </si>
  <si>
    <t>GENERAL</t>
  </si>
  <si>
    <t>CH4_density</t>
  </si>
  <si>
    <t>kg/Nm3</t>
  </si>
  <si>
    <t>CO2_density</t>
  </si>
  <si>
    <t>CH4_energy</t>
  </si>
  <si>
    <t>MJ/kg</t>
  </si>
  <si>
    <t>digestate_MCF</t>
  </si>
  <si>
    <t>% of B0</t>
  </si>
  <si>
    <t>Same for "Nötflytgödsel" and "Svinflytgödsel"</t>
  </si>
  <si>
    <t>"Vall"</t>
  </si>
  <si>
    <t>f_element</t>
  </si>
  <si>
    <t>f_compound</t>
  </si>
  <si>
    <t>N</t>
  </si>
  <si>
    <t>digestate_loss_storage</t>
  </si>
  <si>
    <t>NH3-N</t>
  </si>
  <si>
    <t>NOx-N</t>
  </si>
  <si>
    <t>N2O-N</t>
  </si>
  <si>
    <t>N2</t>
  </si>
  <si>
    <t>% of TAN</t>
  </si>
  <si>
    <t>P</t>
  </si>
  <si>
    <t>K</t>
  </si>
  <si>
    <t>% of P</t>
  </si>
  <si>
    <t>% of K</t>
  </si>
  <si>
    <t>biogas_upgrading_electricity_use</t>
  </si>
  <si>
    <t>kWh/Nm3 raw biogas</t>
  </si>
  <si>
    <t>biogas_upgrading_CH4_slip</t>
  </si>
  <si>
    <t>biogas_upgrading_share</t>
  </si>
  <si>
    <t>Share of biogas upgraded</t>
  </si>
  <si>
    <t>Biogas stat. Tabell 6</t>
  </si>
  <si>
    <t>% of CH4 to upgrading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</si>
</sst>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6" formatCode="0.0"/>
  </numFmts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/>
    <xf numFmtId="0" fontId="6" fillId="0" borderId="0" xfId="0" applyFont="1"/>
    <xf numFmtId="0" fontId="1" fillId="0" borderId="0" xfId="0" applyFont="1"/>
    <xf numFmtId="164" fontId="0" fillId="0" borderId="0" xfId="0" applyNumberFormat="1"/>
    <xf numFmtId="164" fontId="6" fillId="0" borderId="0" xfId="0" applyNumberFormat="1" applyFont="1"/>
    <xf numFmtId="2" fontId="5" fillId="0" borderId="0" xfId="0" applyNumberFormat="1" applyFont="1"/>
    <xf numFmtId="164" fontId="5" fillId="0" borderId="0" xfId="0" applyNumberFormat="1" applyFont="1"/>
    <xf numFmtId="166" fontId="5" fillId="0" borderId="0" xfId="0" applyNumberFormat="1" applyFont="1"/>
    <xf numFmtId="1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98"/>
  <sheetViews>
    <sheetView tabSelected="1" zoomScale="80" zoomScaleNormal="80" workbookViewId="0">
      <pane ySplit="1" topLeftCell="A55" activePane="bottomLeft" state="frozen"/>
      <selection pane="bottomLeft" activeCell="H87" sqref="H87"/>
    </sheetView>
  </sheetViews>
  <sheetFormatPr defaultRowHeight="15" x14ac:dyDescent="0.25"/>
  <cols>
    <col min="1" max="1" width="15.42578125" customWidth="1"/>
    <col min="2" max="2" width="16.28515625" customWidth="1"/>
    <col min="3" max="3" width="22" bestFit="1" customWidth="1"/>
    <col min="4" max="4" width="14" customWidth="1"/>
    <col min="5" max="5" width="21.28515625" bestFit="1" customWidth="1"/>
    <col min="6" max="7" width="21.28515625" customWidth="1"/>
    <col min="8" max="8" width="25.7109375" customWidth="1"/>
    <col min="10" max="10" width="16.7109375" bestFit="1" customWidth="1"/>
    <col min="11" max="11" width="32.42578125" customWidth="1"/>
    <col min="12" max="12" width="20.7109375" customWidth="1"/>
  </cols>
  <sheetData>
    <row r="1" spans="1:12" x14ac:dyDescent="0.25">
      <c r="A1" s="1" t="s">
        <v>29</v>
      </c>
      <c r="B1" s="1" t="s">
        <v>30</v>
      </c>
      <c r="C1" s="1" t="s">
        <v>5</v>
      </c>
      <c r="D1" s="1" t="s">
        <v>47</v>
      </c>
      <c r="E1" s="1" t="s">
        <v>6</v>
      </c>
      <c r="F1" s="1" t="s">
        <v>83</v>
      </c>
      <c r="G1" s="1" t="s">
        <v>84</v>
      </c>
      <c r="H1" s="1" t="s">
        <v>0</v>
      </c>
      <c r="I1" s="1" t="s">
        <v>1</v>
      </c>
      <c r="J1" s="1" t="s">
        <v>2</v>
      </c>
      <c r="K1" s="1" t="s">
        <v>3</v>
      </c>
      <c r="L1" s="1" t="s">
        <v>4</v>
      </c>
    </row>
    <row r="3" spans="1:12" x14ac:dyDescent="0.25">
      <c r="A3" s="2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5" spans="1:12" x14ac:dyDescent="0.25">
      <c r="H5" s="3" t="s">
        <v>7</v>
      </c>
      <c r="I5" s="3">
        <v>0</v>
      </c>
      <c r="J5" s="3" t="s">
        <v>12</v>
      </c>
      <c r="K5" s="3" t="s">
        <v>13</v>
      </c>
    </row>
    <row r="7" spans="1:12" x14ac:dyDescent="0.25">
      <c r="C7" t="s">
        <v>8</v>
      </c>
      <c r="E7" t="s">
        <v>14</v>
      </c>
      <c r="H7" t="s">
        <v>7</v>
      </c>
      <c r="I7">
        <v>40</v>
      </c>
      <c r="J7" t="s">
        <v>12</v>
      </c>
      <c r="K7" t="s">
        <v>20</v>
      </c>
      <c r="L7" t="s">
        <v>19</v>
      </c>
    </row>
    <row r="8" spans="1:12" x14ac:dyDescent="0.25">
      <c r="C8" t="s">
        <v>8</v>
      </c>
      <c r="E8" t="s">
        <v>15</v>
      </c>
      <c r="H8" t="s">
        <v>7</v>
      </c>
      <c r="I8">
        <v>5</v>
      </c>
      <c r="J8" t="s">
        <v>12</v>
      </c>
    </row>
    <row r="9" spans="1:12" x14ac:dyDescent="0.25">
      <c r="C9" t="s">
        <v>8</v>
      </c>
      <c r="E9" t="s">
        <v>16</v>
      </c>
      <c r="H9" t="s">
        <v>7</v>
      </c>
      <c r="I9">
        <v>50</v>
      </c>
      <c r="J9" t="s">
        <v>12</v>
      </c>
    </row>
    <row r="10" spans="1:12" x14ac:dyDescent="0.25">
      <c r="C10" t="s">
        <v>8</v>
      </c>
      <c r="E10" t="s">
        <v>17</v>
      </c>
      <c r="H10" t="s">
        <v>7</v>
      </c>
      <c r="I10">
        <v>5</v>
      </c>
      <c r="J10" t="s">
        <v>12</v>
      </c>
    </row>
    <row r="12" spans="1:12" x14ac:dyDescent="0.25">
      <c r="C12" t="s">
        <v>9</v>
      </c>
      <c r="E12" t="s">
        <v>14</v>
      </c>
      <c r="H12" t="s">
        <v>7</v>
      </c>
      <c r="I12">
        <v>40</v>
      </c>
      <c r="J12" t="s">
        <v>12</v>
      </c>
      <c r="K12" t="s">
        <v>20</v>
      </c>
      <c r="L12" t="s">
        <v>19</v>
      </c>
    </row>
    <row r="13" spans="1:12" x14ac:dyDescent="0.25">
      <c r="C13" t="s">
        <v>9</v>
      </c>
      <c r="E13" t="s">
        <v>15</v>
      </c>
      <c r="H13" t="s">
        <v>7</v>
      </c>
      <c r="I13">
        <v>5</v>
      </c>
      <c r="J13" t="s">
        <v>12</v>
      </c>
    </row>
    <row r="14" spans="1:12" x14ac:dyDescent="0.25">
      <c r="C14" t="s">
        <v>9</v>
      </c>
      <c r="E14" t="s">
        <v>16</v>
      </c>
      <c r="H14" t="s">
        <v>7</v>
      </c>
      <c r="I14">
        <v>50</v>
      </c>
      <c r="J14" t="s">
        <v>12</v>
      </c>
    </row>
    <row r="15" spans="1:12" x14ac:dyDescent="0.25">
      <c r="C15" t="s">
        <v>9</v>
      </c>
      <c r="E15" t="s">
        <v>17</v>
      </c>
      <c r="H15" t="s">
        <v>7</v>
      </c>
      <c r="I15">
        <v>5</v>
      </c>
      <c r="J15" t="s">
        <v>12</v>
      </c>
    </row>
    <row r="17" spans="1:12" x14ac:dyDescent="0.25">
      <c r="C17" t="s">
        <v>10</v>
      </c>
      <c r="E17" t="s">
        <v>14</v>
      </c>
      <c r="H17" t="s">
        <v>7</v>
      </c>
      <c r="I17">
        <v>40</v>
      </c>
      <c r="J17" t="s">
        <v>12</v>
      </c>
      <c r="K17" t="s">
        <v>20</v>
      </c>
      <c r="L17" t="s">
        <v>19</v>
      </c>
    </row>
    <row r="18" spans="1:12" x14ac:dyDescent="0.25">
      <c r="C18" t="s">
        <v>10</v>
      </c>
      <c r="E18" t="s">
        <v>15</v>
      </c>
      <c r="H18" t="s">
        <v>7</v>
      </c>
      <c r="I18">
        <v>5</v>
      </c>
      <c r="J18" t="s">
        <v>12</v>
      </c>
    </row>
    <row r="19" spans="1:12" x14ac:dyDescent="0.25">
      <c r="C19" t="s">
        <v>10</v>
      </c>
      <c r="E19" t="s">
        <v>16</v>
      </c>
      <c r="H19" t="s">
        <v>7</v>
      </c>
      <c r="I19">
        <v>50</v>
      </c>
      <c r="J19" t="s">
        <v>12</v>
      </c>
    </row>
    <row r="20" spans="1:12" x14ac:dyDescent="0.25">
      <c r="C20" t="s">
        <v>10</v>
      </c>
      <c r="E20" t="s">
        <v>17</v>
      </c>
      <c r="H20" t="s">
        <v>7</v>
      </c>
      <c r="I20">
        <v>5</v>
      </c>
      <c r="J20" t="s">
        <v>12</v>
      </c>
    </row>
    <row r="22" spans="1:12" x14ac:dyDescent="0.25">
      <c r="B22" t="s">
        <v>11</v>
      </c>
      <c r="C22" t="s">
        <v>45</v>
      </c>
      <c r="E22" t="s">
        <v>14</v>
      </c>
      <c r="H22" t="s">
        <v>7</v>
      </c>
      <c r="I22">
        <v>100</v>
      </c>
      <c r="J22" t="s">
        <v>12</v>
      </c>
    </row>
    <row r="24" spans="1:12" x14ac:dyDescent="0.25">
      <c r="C24" t="s">
        <v>46</v>
      </c>
      <c r="E24" t="s">
        <v>14</v>
      </c>
      <c r="H24" t="s">
        <v>7</v>
      </c>
      <c r="I24">
        <v>100</v>
      </c>
      <c r="J24" t="s">
        <v>12</v>
      </c>
    </row>
    <row r="26" spans="1:12" x14ac:dyDescent="0.25">
      <c r="A26" s="5" t="s">
        <v>22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</row>
    <row r="28" spans="1:12" x14ac:dyDescent="0.25">
      <c r="A28" s="4" t="s">
        <v>21</v>
      </c>
      <c r="B28" s="4"/>
      <c r="C28" t="s">
        <v>61</v>
      </c>
      <c r="E28" t="s">
        <v>14</v>
      </c>
      <c r="H28" t="s">
        <v>7</v>
      </c>
      <c r="I28">
        <v>100</v>
      </c>
      <c r="J28" t="s">
        <v>12</v>
      </c>
    </row>
    <row r="30" spans="1:12" x14ac:dyDescent="0.25">
      <c r="A30" s="2" t="s">
        <v>23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2" spans="1:12" x14ac:dyDescent="0.25">
      <c r="H32" s="3" t="s">
        <v>37</v>
      </c>
      <c r="I32" s="3">
        <v>0.5</v>
      </c>
      <c r="J32" s="3" t="s">
        <v>28</v>
      </c>
      <c r="K32" s="3" t="s">
        <v>13</v>
      </c>
    </row>
    <row r="34" spans="1:13" x14ac:dyDescent="0.25">
      <c r="A34" s="4"/>
      <c r="B34" s="4"/>
      <c r="C34" t="s">
        <v>8</v>
      </c>
      <c r="H34" t="s">
        <v>31</v>
      </c>
      <c r="I34">
        <v>0.33</v>
      </c>
      <c r="J34" t="s">
        <v>32</v>
      </c>
      <c r="K34" t="s">
        <v>40</v>
      </c>
      <c r="L34" t="s">
        <v>48</v>
      </c>
    </row>
    <row r="35" spans="1:13" x14ac:dyDescent="0.25">
      <c r="A35" s="4"/>
      <c r="B35" s="4"/>
      <c r="C35" t="s">
        <v>8</v>
      </c>
      <c r="H35" t="s">
        <v>24</v>
      </c>
      <c r="I35">
        <v>0.85</v>
      </c>
      <c r="J35" t="s">
        <v>33</v>
      </c>
      <c r="L35" t="s">
        <v>48</v>
      </c>
    </row>
    <row r="36" spans="1:13" x14ac:dyDescent="0.25">
      <c r="C36" t="s">
        <v>8</v>
      </c>
      <c r="H36" t="s">
        <v>49</v>
      </c>
      <c r="I36">
        <v>0.46100000000000002</v>
      </c>
      <c r="J36" t="s">
        <v>43</v>
      </c>
      <c r="L36" t="s">
        <v>48</v>
      </c>
    </row>
    <row r="37" spans="1:13" x14ac:dyDescent="0.25">
      <c r="A37" s="4"/>
      <c r="B37" s="4"/>
      <c r="C37" t="s">
        <v>8</v>
      </c>
      <c r="H37" t="s">
        <v>25</v>
      </c>
      <c r="I37" s="8">
        <f>8.3/1000/0.33</f>
        <v>2.515151515151515E-2</v>
      </c>
      <c r="J37" t="s">
        <v>34</v>
      </c>
      <c r="L37" t="s">
        <v>62</v>
      </c>
      <c r="M37" t="s">
        <v>66</v>
      </c>
    </row>
    <row r="38" spans="1:13" x14ac:dyDescent="0.25">
      <c r="A38" s="4"/>
      <c r="B38" s="4"/>
      <c r="C38" t="s">
        <v>8</v>
      </c>
      <c r="H38" t="s">
        <v>26</v>
      </c>
      <c r="I38" s="8">
        <f>1/1000/0.33</f>
        <v>3.0303030303030303E-3</v>
      </c>
      <c r="J38" t="s">
        <v>35</v>
      </c>
      <c r="L38" t="s">
        <v>62</v>
      </c>
    </row>
    <row r="39" spans="1:13" x14ac:dyDescent="0.25">
      <c r="A39" s="4"/>
      <c r="B39" s="4"/>
      <c r="C39" t="s">
        <v>8</v>
      </c>
      <c r="H39" t="s">
        <v>27</v>
      </c>
      <c r="I39" s="8">
        <f>2.6/1000/0.33</f>
        <v>7.8787878787878775E-3</v>
      </c>
      <c r="J39" t="s">
        <v>36</v>
      </c>
      <c r="L39" t="s">
        <v>62</v>
      </c>
    </row>
    <row r="41" spans="1:13" x14ac:dyDescent="0.25">
      <c r="A41" s="4"/>
      <c r="B41" s="4"/>
      <c r="C41" t="s">
        <v>9</v>
      </c>
      <c r="H41" t="s">
        <v>31</v>
      </c>
      <c r="I41">
        <v>0.15</v>
      </c>
      <c r="J41" t="s">
        <v>32</v>
      </c>
      <c r="L41" t="s">
        <v>62</v>
      </c>
    </row>
    <row r="42" spans="1:13" x14ac:dyDescent="0.25">
      <c r="A42" s="4"/>
      <c r="B42" s="4"/>
      <c r="C42" t="s">
        <v>9</v>
      </c>
      <c r="H42" t="s">
        <v>24</v>
      </c>
      <c r="I42" s="10">
        <v>0.9</v>
      </c>
      <c r="J42" t="s">
        <v>33</v>
      </c>
      <c r="K42" s="7"/>
      <c r="L42" t="s">
        <v>62</v>
      </c>
    </row>
    <row r="43" spans="1:13" x14ac:dyDescent="0.25">
      <c r="C43" t="s">
        <v>9</v>
      </c>
      <c r="H43" t="s">
        <v>49</v>
      </c>
      <c r="I43" s="8">
        <v>0.55000000000000004</v>
      </c>
      <c r="J43" t="s">
        <v>43</v>
      </c>
      <c r="L43" t="s">
        <v>62</v>
      </c>
    </row>
    <row r="44" spans="1:13" x14ac:dyDescent="0.25">
      <c r="A44" s="4"/>
      <c r="B44" s="4"/>
      <c r="C44" t="s">
        <v>9</v>
      </c>
      <c r="H44" t="s">
        <v>25</v>
      </c>
      <c r="I44" s="8">
        <f>3.8/1000/0.15</f>
        <v>2.5333333333333333E-2</v>
      </c>
      <c r="J44" t="s">
        <v>34</v>
      </c>
      <c r="L44" t="s">
        <v>62</v>
      </c>
    </row>
    <row r="45" spans="1:13" x14ac:dyDescent="0.25">
      <c r="A45" s="4"/>
      <c r="B45" s="4"/>
      <c r="C45" t="s">
        <v>9</v>
      </c>
      <c r="H45" t="s">
        <v>26</v>
      </c>
      <c r="I45" s="8">
        <f>0.5/1000/0.15</f>
        <v>3.3333333333333335E-3</v>
      </c>
      <c r="J45" t="s">
        <v>35</v>
      </c>
      <c r="L45" t="s">
        <v>62</v>
      </c>
    </row>
    <row r="46" spans="1:13" x14ac:dyDescent="0.25">
      <c r="A46" s="4"/>
      <c r="B46" s="4"/>
      <c r="C46" t="s">
        <v>9</v>
      </c>
      <c r="H46" t="s">
        <v>27</v>
      </c>
      <c r="I46" s="8">
        <f>1.2/1000/0.15</f>
        <v>8.0000000000000002E-3</v>
      </c>
      <c r="J46" t="s">
        <v>36</v>
      </c>
      <c r="L46" t="s">
        <v>62</v>
      </c>
    </row>
    <row r="48" spans="1:13" x14ac:dyDescent="0.25">
      <c r="A48" s="4"/>
      <c r="B48" s="4"/>
      <c r="C48" t="s">
        <v>10</v>
      </c>
      <c r="H48" t="s">
        <v>31</v>
      </c>
      <c r="I48" s="6">
        <f t="shared" ref="I48:I53" si="0">I41</f>
        <v>0.15</v>
      </c>
      <c r="J48" t="s">
        <v>32</v>
      </c>
      <c r="K48" s="7" t="s">
        <v>41</v>
      </c>
    </row>
    <row r="49" spans="1:12" x14ac:dyDescent="0.25">
      <c r="A49" s="4"/>
      <c r="B49" s="4"/>
      <c r="C49" t="s">
        <v>10</v>
      </c>
      <c r="H49" t="s">
        <v>24</v>
      </c>
      <c r="I49" s="6">
        <f t="shared" si="0"/>
        <v>0.9</v>
      </c>
      <c r="J49" t="s">
        <v>33</v>
      </c>
    </row>
    <row r="50" spans="1:12" x14ac:dyDescent="0.25">
      <c r="A50" s="4"/>
      <c r="B50" s="4"/>
      <c r="C50" t="s">
        <v>10</v>
      </c>
      <c r="H50" t="s">
        <v>49</v>
      </c>
      <c r="I50" s="9">
        <f t="shared" si="0"/>
        <v>0.55000000000000004</v>
      </c>
      <c r="J50" t="s">
        <v>43</v>
      </c>
    </row>
    <row r="51" spans="1:12" x14ac:dyDescent="0.25">
      <c r="A51" s="4"/>
      <c r="B51" s="4"/>
      <c r="C51" t="s">
        <v>10</v>
      </c>
      <c r="H51" t="s">
        <v>25</v>
      </c>
      <c r="I51" s="9">
        <f t="shared" si="0"/>
        <v>2.5333333333333333E-2</v>
      </c>
      <c r="J51" t="s">
        <v>34</v>
      </c>
    </row>
    <row r="52" spans="1:12" x14ac:dyDescent="0.25">
      <c r="A52" s="4"/>
      <c r="B52" s="4"/>
      <c r="C52" t="s">
        <v>10</v>
      </c>
      <c r="H52" t="s">
        <v>26</v>
      </c>
      <c r="I52" s="9">
        <f t="shared" si="0"/>
        <v>3.3333333333333335E-3</v>
      </c>
      <c r="J52" t="s">
        <v>35</v>
      </c>
    </row>
    <row r="53" spans="1:12" x14ac:dyDescent="0.25">
      <c r="A53" s="4"/>
      <c r="B53" s="4"/>
      <c r="C53" t="s">
        <v>10</v>
      </c>
      <c r="H53" t="s">
        <v>27</v>
      </c>
      <c r="I53" s="9">
        <f t="shared" si="0"/>
        <v>8.0000000000000002E-3</v>
      </c>
      <c r="J53" t="s">
        <v>36</v>
      </c>
    </row>
    <row r="55" spans="1:12" x14ac:dyDescent="0.25">
      <c r="A55" s="4" t="s">
        <v>21</v>
      </c>
      <c r="B55" s="4"/>
      <c r="C55" t="s">
        <v>61</v>
      </c>
      <c r="H55" t="s">
        <v>31</v>
      </c>
      <c r="I55">
        <v>1</v>
      </c>
      <c r="J55" t="s">
        <v>32</v>
      </c>
    </row>
    <row r="56" spans="1:12" x14ac:dyDescent="0.25">
      <c r="A56" s="4" t="s">
        <v>21</v>
      </c>
      <c r="B56" s="4"/>
      <c r="C56" t="s">
        <v>61</v>
      </c>
      <c r="H56" t="s">
        <v>24</v>
      </c>
      <c r="I56">
        <v>0.88</v>
      </c>
      <c r="J56" t="s">
        <v>33</v>
      </c>
      <c r="L56" t="s">
        <v>48</v>
      </c>
    </row>
    <row r="57" spans="1:12" x14ac:dyDescent="0.25">
      <c r="A57" s="4" t="s">
        <v>21</v>
      </c>
      <c r="B57" s="4"/>
      <c r="C57" t="s">
        <v>61</v>
      </c>
      <c r="H57" t="s">
        <v>49</v>
      </c>
      <c r="I57" s="8">
        <v>0.3</v>
      </c>
      <c r="J57" t="s">
        <v>43</v>
      </c>
      <c r="L57" t="s">
        <v>48</v>
      </c>
    </row>
    <row r="58" spans="1:12" x14ac:dyDescent="0.25">
      <c r="A58" s="4" t="s">
        <v>21</v>
      </c>
      <c r="B58" s="4"/>
      <c r="C58" t="s">
        <v>61</v>
      </c>
      <c r="H58" t="s">
        <v>25</v>
      </c>
      <c r="I58" s="4">
        <f>2.1/100</f>
        <v>2.1000000000000001E-2</v>
      </c>
      <c r="J58" t="s">
        <v>34</v>
      </c>
      <c r="L58" t="s">
        <v>65</v>
      </c>
    </row>
    <row r="59" spans="1:12" x14ac:dyDescent="0.25">
      <c r="A59" s="4" t="s">
        <v>21</v>
      </c>
      <c r="B59" s="4"/>
      <c r="C59" t="s">
        <v>61</v>
      </c>
      <c r="H59" t="s">
        <v>26</v>
      </c>
      <c r="I59" s="11">
        <f>0.27/100</f>
        <v>2.7000000000000001E-3</v>
      </c>
      <c r="J59" t="s">
        <v>35</v>
      </c>
      <c r="L59" t="s">
        <v>65</v>
      </c>
    </row>
    <row r="60" spans="1:12" x14ac:dyDescent="0.25">
      <c r="A60" s="4" t="s">
        <v>21</v>
      </c>
      <c r="B60" s="4"/>
      <c r="C60" t="s">
        <v>61</v>
      </c>
      <c r="H60" t="s">
        <v>27</v>
      </c>
      <c r="I60" s="11">
        <f>2.34/100</f>
        <v>2.3399999999999997E-2</v>
      </c>
      <c r="J60" t="s">
        <v>36</v>
      </c>
      <c r="L60" t="s">
        <v>65</v>
      </c>
    </row>
    <row r="61" spans="1:12" x14ac:dyDescent="0.25">
      <c r="A61" s="4"/>
      <c r="B61" s="4"/>
      <c r="I61" s="11"/>
    </row>
    <row r="62" spans="1:12" x14ac:dyDescent="0.25">
      <c r="A62" s="2" t="s">
        <v>73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</row>
    <row r="64" spans="1:12" x14ac:dyDescent="0.25">
      <c r="A64" s="4"/>
      <c r="B64" s="4"/>
      <c r="H64" t="s">
        <v>74</v>
      </c>
      <c r="I64" s="11">
        <v>0.71750000000000003</v>
      </c>
      <c r="J64" t="s">
        <v>75</v>
      </c>
      <c r="L64" t="s">
        <v>59</v>
      </c>
    </row>
    <row r="65" spans="1:12" x14ac:dyDescent="0.25">
      <c r="A65" s="4"/>
      <c r="B65" s="4"/>
      <c r="H65" t="s">
        <v>76</v>
      </c>
      <c r="I65" s="11">
        <v>1.9496</v>
      </c>
      <c r="J65" t="s">
        <v>75</v>
      </c>
      <c r="L65" t="s">
        <v>59</v>
      </c>
    </row>
    <row r="66" spans="1:12" x14ac:dyDescent="0.25">
      <c r="A66" s="4"/>
      <c r="B66" s="4"/>
      <c r="H66" t="s">
        <v>77</v>
      </c>
      <c r="I66" s="13">
        <v>50</v>
      </c>
      <c r="J66" t="s">
        <v>78</v>
      </c>
      <c r="L66" t="s">
        <v>59</v>
      </c>
    </row>
    <row r="68" spans="1:12" x14ac:dyDescent="0.25">
      <c r="A68" s="2" t="s">
        <v>38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70" spans="1:12" x14ac:dyDescent="0.25">
      <c r="H70" t="s">
        <v>44</v>
      </c>
      <c r="I70" s="4">
        <v>90</v>
      </c>
      <c r="J70" s="4" t="s">
        <v>12</v>
      </c>
      <c r="K70" s="4" t="s">
        <v>64</v>
      </c>
      <c r="L70" t="s">
        <v>62</v>
      </c>
    </row>
    <row r="71" spans="1:12" x14ac:dyDescent="0.25">
      <c r="H71" t="s">
        <v>52</v>
      </c>
      <c r="I71" s="4">
        <v>0.22</v>
      </c>
      <c r="J71" s="4" t="s">
        <v>53</v>
      </c>
      <c r="K71" s="7"/>
      <c r="L71" t="s">
        <v>71</v>
      </c>
    </row>
    <row r="72" spans="1:12" x14ac:dyDescent="0.25">
      <c r="H72" t="s">
        <v>50</v>
      </c>
      <c r="I72" s="4">
        <v>3.4</v>
      </c>
      <c r="J72" s="4" t="s">
        <v>53</v>
      </c>
      <c r="K72" s="7"/>
      <c r="L72" t="s">
        <v>101</v>
      </c>
    </row>
    <row r="73" spans="1:12" x14ac:dyDescent="0.25">
      <c r="H73" t="s">
        <v>51</v>
      </c>
      <c r="I73" s="4">
        <v>5</v>
      </c>
      <c r="J73" s="4" t="s">
        <v>54</v>
      </c>
      <c r="K73" s="7"/>
      <c r="L73" t="s">
        <v>71</v>
      </c>
    </row>
    <row r="74" spans="1:12" x14ac:dyDescent="0.25">
      <c r="I74" s="4"/>
      <c r="J74" s="4"/>
      <c r="K74" s="7"/>
    </row>
    <row r="75" spans="1:12" x14ac:dyDescent="0.25">
      <c r="H75" t="s">
        <v>55</v>
      </c>
      <c r="I75" s="4">
        <v>0.61</v>
      </c>
      <c r="J75" s="4" t="s">
        <v>57</v>
      </c>
      <c r="K75" s="4" t="s">
        <v>58</v>
      </c>
      <c r="L75" t="s">
        <v>59</v>
      </c>
    </row>
    <row r="76" spans="1:12" x14ac:dyDescent="0.25">
      <c r="H76" t="s">
        <v>56</v>
      </c>
      <c r="I76" s="4">
        <v>0.99</v>
      </c>
      <c r="J76" s="4" t="s">
        <v>57</v>
      </c>
      <c r="K76" s="7"/>
      <c r="L76" t="s">
        <v>59</v>
      </c>
    </row>
    <row r="77" spans="1:12" x14ac:dyDescent="0.25">
      <c r="I77" s="4"/>
      <c r="J77" s="4"/>
      <c r="K77" s="7"/>
    </row>
    <row r="78" spans="1:12" x14ac:dyDescent="0.25">
      <c r="H78" t="s">
        <v>99</v>
      </c>
      <c r="I78" s="4">
        <v>94</v>
      </c>
      <c r="J78" s="4" t="s">
        <v>12</v>
      </c>
      <c r="K78" s="4" t="s">
        <v>100</v>
      </c>
      <c r="L78" t="s">
        <v>101</v>
      </c>
    </row>
    <row r="79" spans="1:12" x14ac:dyDescent="0.25">
      <c r="H79" t="s">
        <v>98</v>
      </c>
      <c r="I79" s="4">
        <v>0.5</v>
      </c>
      <c r="J79" s="4" t="s">
        <v>102</v>
      </c>
      <c r="K79" s="7"/>
      <c r="L79" t="s">
        <v>71</v>
      </c>
    </row>
    <row r="80" spans="1:12" x14ac:dyDescent="0.25">
      <c r="H80" t="s">
        <v>96</v>
      </c>
      <c r="I80" s="4">
        <f>0.9*(1/3.6)</f>
        <v>0.25</v>
      </c>
      <c r="J80" s="4" t="s">
        <v>97</v>
      </c>
      <c r="K80" s="7"/>
      <c r="L80" t="s">
        <v>71</v>
      </c>
    </row>
    <row r="82" spans="1:12" x14ac:dyDescent="0.25">
      <c r="C82" t="s">
        <v>8</v>
      </c>
      <c r="H82" t="s">
        <v>39</v>
      </c>
      <c r="I82">
        <v>63</v>
      </c>
      <c r="J82" t="s">
        <v>72</v>
      </c>
      <c r="L82" t="s">
        <v>48</v>
      </c>
    </row>
    <row r="83" spans="1:12" x14ac:dyDescent="0.25">
      <c r="C83" t="s">
        <v>9</v>
      </c>
      <c r="H83" t="s">
        <v>39</v>
      </c>
      <c r="I83">
        <v>59</v>
      </c>
      <c r="J83" t="s">
        <v>72</v>
      </c>
      <c r="L83" t="s">
        <v>48</v>
      </c>
    </row>
    <row r="84" spans="1:12" x14ac:dyDescent="0.25">
      <c r="C84" t="s">
        <v>10</v>
      </c>
      <c r="H84" t="s">
        <v>39</v>
      </c>
      <c r="I84" s="6">
        <f>I83</f>
        <v>59</v>
      </c>
      <c r="J84" t="s">
        <v>72</v>
      </c>
      <c r="K84" s="7" t="s">
        <v>41</v>
      </c>
    </row>
    <row r="85" spans="1:12" x14ac:dyDescent="0.25">
      <c r="A85" s="4" t="s">
        <v>21</v>
      </c>
      <c r="B85" s="4"/>
      <c r="C85" t="s">
        <v>61</v>
      </c>
      <c r="H85" t="s">
        <v>39</v>
      </c>
      <c r="I85">
        <v>56</v>
      </c>
      <c r="J85" t="s">
        <v>72</v>
      </c>
      <c r="K85" t="s">
        <v>82</v>
      </c>
      <c r="L85" t="s">
        <v>48</v>
      </c>
    </row>
    <row r="86" spans="1:12" x14ac:dyDescent="0.25">
      <c r="C86" t="s">
        <v>46</v>
      </c>
      <c r="H86" t="s">
        <v>39</v>
      </c>
      <c r="I86" s="4">
        <v>65</v>
      </c>
      <c r="J86" t="s">
        <v>72</v>
      </c>
      <c r="K86" t="s">
        <v>81</v>
      </c>
      <c r="L86" t="s">
        <v>48</v>
      </c>
    </row>
    <row r="87" spans="1:12" x14ac:dyDescent="0.25">
      <c r="I87" s="4"/>
      <c r="J87" s="4"/>
      <c r="K87" s="7"/>
    </row>
    <row r="88" spans="1:12" x14ac:dyDescent="0.25">
      <c r="H88" t="s">
        <v>67</v>
      </c>
      <c r="I88" s="11">
        <f>238/0.74/1000</f>
        <v>0.32162162162162161</v>
      </c>
      <c r="J88" s="4" t="s">
        <v>43</v>
      </c>
      <c r="K88" s="7"/>
      <c r="L88" t="s">
        <v>71</v>
      </c>
    </row>
    <row r="89" spans="1:12" x14ac:dyDescent="0.25">
      <c r="H89" t="s">
        <v>79</v>
      </c>
      <c r="I89" s="12">
        <v>1.5</v>
      </c>
      <c r="J89" s="4" t="s">
        <v>80</v>
      </c>
      <c r="K89" s="7"/>
      <c r="L89" t="s">
        <v>71</v>
      </c>
    </row>
    <row r="90" spans="1:12" x14ac:dyDescent="0.25">
      <c r="H90" t="s">
        <v>68</v>
      </c>
      <c r="I90" s="13">
        <v>60</v>
      </c>
      <c r="J90" s="4" t="s">
        <v>69</v>
      </c>
      <c r="K90" s="7"/>
      <c r="L90" t="s">
        <v>71</v>
      </c>
    </row>
    <row r="92" spans="1:12" x14ac:dyDescent="0.25">
      <c r="F92" t="s">
        <v>85</v>
      </c>
      <c r="G92" t="s">
        <v>87</v>
      </c>
      <c r="H92" t="s">
        <v>86</v>
      </c>
      <c r="I92">
        <v>2.75</v>
      </c>
      <c r="J92" t="s">
        <v>69</v>
      </c>
    </row>
    <row r="93" spans="1:12" x14ac:dyDescent="0.25">
      <c r="F93" t="s">
        <v>85</v>
      </c>
      <c r="G93" t="s">
        <v>88</v>
      </c>
      <c r="H93" t="s">
        <v>86</v>
      </c>
      <c r="I93">
        <v>0</v>
      </c>
      <c r="J93" t="s">
        <v>91</v>
      </c>
    </row>
    <row r="94" spans="1:12" x14ac:dyDescent="0.25">
      <c r="F94" t="s">
        <v>85</v>
      </c>
      <c r="G94" t="s">
        <v>89</v>
      </c>
      <c r="H94" t="s">
        <v>86</v>
      </c>
      <c r="I94">
        <v>0</v>
      </c>
      <c r="J94" t="s">
        <v>69</v>
      </c>
    </row>
    <row r="95" spans="1:12" x14ac:dyDescent="0.25">
      <c r="F95" t="s">
        <v>85</v>
      </c>
      <c r="G95" t="s">
        <v>90</v>
      </c>
      <c r="H95" t="s">
        <v>86</v>
      </c>
      <c r="I95">
        <v>0</v>
      </c>
      <c r="J95" t="s">
        <v>91</v>
      </c>
    </row>
    <row r="97" spans="6:10" x14ac:dyDescent="0.25">
      <c r="F97" t="s">
        <v>92</v>
      </c>
      <c r="G97" t="s">
        <v>92</v>
      </c>
      <c r="H97" t="s">
        <v>86</v>
      </c>
      <c r="I97">
        <v>0</v>
      </c>
      <c r="J97" t="s">
        <v>94</v>
      </c>
    </row>
    <row r="98" spans="6:10" x14ac:dyDescent="0.25">
      <c r="F98" t="s">
        <v>93</v>
      </c>
      <c r="G98" t="s">
        <v>93</v>
      </c>
      <c r="H98" t="s">
        <v>86</v>
      </c>
      <c r="I98">
        <v>0</v>
      </c>
      <c r="J98" t="s">
        <v>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A5"/>
  <sheetViews>
    <sheetView workbookViewId="0">
      <selection activeCell="B37" sqref="B37"/>
    </sheetView>
  </sheetViews>
  <sheetFormatPr defaultRowHeight="15" x14ac:dyDescent="0.25"/>
  <sheetData>
    <row r="2" spans="1:1" x14ac:dyDescent="0.25">
      <c r="A2" t="s">
        <v>42</v>
      </c>
    </row>
    <row r="3" spans="1:1" x14ac:dyDescent="0.25">
      <c r="A3" t="s">
        <v>60</v>
      </c>
    </row>
    <row r="4" spans="1:1" x14ac:dyDescent="0.25">
      <c r="A4" t="s">
        <v>63</v>
      </c>
    </row>
    <row r="5" spans="1:1" x14ac:dyDescent="0.25">
      <c r="A5" t="s">
        <v>70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Johan Karlsson</cp:lastModifiedBy>
  <dcterms:created xsi:type="dcterms:W3CDTF">2024-04-29T08:57:31Z</dcterms:created>
  <dcterms:modified xsi:type="dcterms:W3CDTF">2024-05-02T20:10:05Z</dcterms:modified>
</cp:coreProperties>
</file>