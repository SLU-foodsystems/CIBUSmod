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4370" windowHeight="10650"/>
  </bookViews>
  <sheets>
    <sheet name="default" sheetId="1" r:id="rId1"/>
    <sheet name="energy stables" sheetId="3" r:id="rId2"/>
    <sheet name="Sheet1" sheetId="4" r:id="rId3"/>
    <sheet name="Sheet2" sheetId="5" r:id="rId4"/>
    <sheet name="references" sheetId="2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68" i="1" l="1"/>
  <c r="N153" i="1" l="1"/>
  <c r="N216" i="1" l="1"/>
  <c r="N215" i="1"/>
  <c r="N214" i="1"/>
  <c r="N213" i="1"/>
  <c r="N212" i="1"/>
  <c r="N211" i="1"/>
  <c r="Q43" i="3" l="1"/>
  <c r="G54" i="3"/>
  <c r="G50" i="3"/>
  <c r="F54" i="3"/>
  <c r="F50" i="3"/>
  <c r="D55" i="3"/>
  <c r="H54" i="3" s="1"/>
  <c r="D54" i="3"/>
  <c r="D53" i="3"/>
  <c r="D51" i="3"/>
  <c r="H50" i="3" s="1"/>
  <c r="D50" i="3"/>
  <c r="D49" i="3"/>
  <c r="O43" i="3"/>
  <c r="N43" i="3"/>
  <c r="M43" i="3"/>
  <c r="D44" i="3"/>
  <c r="P51" i="3"/>
  <c r="O51" i="3"/>
  <c r="N51" i="3"/>
  <c r="M51" i="3"/>
  <c r="N209" i="1" l="1"/>
  <c r="N208" i="1"/>
  <c r="N207" i="1"/>
  <c r="I12" i="3" l="1"/>
  <c r="H12" i="3"/>
  <c r="F12" i="3"/>
  <c r="E12" i="3"/>
  <c r="I10" i="3"/>
  <c r="D29" i="3" s="1"/>
  <c r="N204" i="1" s="1"/>
  <c r="H10" i="3"/>
  <c r="F10" i="3"/>
  <c r="E10" i="3"/>
  <c r="E24" i="3" l="1"/>
  <c r="N200" i="1" s="1"/>
  <c r="H14" i="3"/>
  <c r="I17" i="3"/>
  <c r="E14" i="3"/>
  <c r="E27" i="3" s="1"/>
  <c r="N202" i="1" s="1"/>
  <c r="G17" i="3"/>
  <c r="G19" i="3" s="1"/>
  <c r="D17" i="3"/>
  <c r="D19" i="3" s="1"/>
  <c r="E17" i="3" l="1"/>
  <c r="I15" i="3"/>
  <c r="I11" i="3"/>
  <c r="I13" i="3"/>
  <c r="E13" i="3"/>
  <c r="E15" i="3"/>
  <c r="E11" i="3"/>
  <c r="F17" i="3"/>
  <c r="H17" i="3"/>
  <c r="N48" i="1"/>
  <c r="N51" i="1" s="1"/>
  <c r="N47" i="1"/>
  <c r="N50" i="1" s="1"/>
  <c r="N46" i="1"/>
  <c r="I18" i="3" l="1"/>
  <c r="I19" i="3" s="1"/>
  <c r="F13" i="3"/>
  <c r="F15" i="3"/>
  <c r="F11" i="3"/>
  <c r="E18" i="3"/>
  <c r="E19" i="3" s="1"/>
  <c r="H15" i="3"/>
  <c r="H13" i="3"/>
  <c r="H11" i="3"/>
  <c r="H18" i="3" s="1"/>
  <c r="H19" i="3" s="1"/>
  <c r="N4" i="1"/>
  <c r="N5" i="1" s="1"/>
  <c r="D31" i="3" l="1"/>
  <c r="N205" i="1" s="1"/>
  <c r="F18" i="3"/>
  <c r="F19" i="3" s="1"/>
  <c r="D26" i="3"/>
  <c r="N201" i="1" s="1"/>
</calcChain>
</file>

<file path=xl/comments1.xml><?xml version="1.0" encoding="utf-8"?>
<comments xmlns="http://schemas.openxmlformats.org/spreadsheetml/2006/main">
  <authors>
    <author>Author</author>
  </authors>
  <commentList>
    <comment ref="M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N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O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P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M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N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O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M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N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G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I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G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H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G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sharedStrings.xml><?xml version="1.0" encoding="utf-8"?>
<sst xmlns="http://schemas.openxmlformats.org/spreadsheetml/2006/main" count="1017" uniqueCount="359">
  <si>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</si>
  <si>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</si>
  <si>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</si>
  <si>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</si>
  <si>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</si>
  <si>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</si>
  <si>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</si>
  <si>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</si>
  <si>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</si>
  <si>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</si>
  <si>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</si>
  <si>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</si>
  <si>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</si>
  <si>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</si>
  <si>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</si>
  <si>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</si>
  <si>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</si>
  <si>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</si>
  <si>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</si>
  <si>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</si>
  <si>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</si>
  <si>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</si>
  <si>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</si>
  <si>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</si>
  <si>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</si>
  <si>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</si>
  <si>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</si>
  <si>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</si>
  <si>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</si>
  <si>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</si>
  <si>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</si>
  <si>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</si>
  <si>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</si>
  <si>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</si>
  <si>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</si>
  <si>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</si>
  <si>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</si>
  <si>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</si>
  <si>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</si>
  <si>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</si>
  <si>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</si>
  <si>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</si>
  <si>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</si>
  <si>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</si>
  <si>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</si>
  <si>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</si>
  <si>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</si>
  <si>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</si>
  <si>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Flytgödsel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</si>
  <si>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</si>
  <si>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</si>
  <si>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</si>
  <si>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</si>
  <si>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</si>
  <si>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</si>
  <si>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</si>
  <si>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</si>
  <si>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</si>
  <si>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</si>
  <si>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</si>
  <si>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</si>
  <si>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</si>
  <si>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</si>
  <si>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</si>
  <si>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</si>
  <si>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</si>
  <si>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</si>
  <si>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</si>
  <si>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liquid manure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</si>
  <si>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</si>
  <si>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</si>
  <si>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</si>
  <si>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</si>
  <si>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</si>
  <si>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</si>
  <si>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</si>
  <si>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</si>
  <si>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</si>
  <si>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</si>
  <si>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</si>
  <si>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</si>
  <si>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</si>
  <si>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</si>
  <si>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Field cultivator</t>
  </si>
  <si>
    <t>Disc harrow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</si>
  <si>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</si>
  <si>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</si>
  <si>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</si>
  <si>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</si>
  <si>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</si>
  <si>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</si>
  <si>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</si>
  <si>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</si>
  <si>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</si>
  <si>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</si>
  <si>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</si>
  <si>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</si>
  <si>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semi-solid manure</t>
  </si>
  <si>
    <t>Kletgödselspridning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</si>
  <si>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</si>
  <si>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</si>
  <si>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</si>
  <si>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</si>
  <si>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</si>
  <si>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</si>
  <si>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</si>
  <si>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</si>
  <si>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</si>
  <si>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</si>
  <si>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</si>
  <si>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</si>
  <si>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</si>
  <si>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</si>
  <si>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</si>
  <si>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</si>
  <si>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</si>
  <si>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</si>
  <si>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</si>
  <si>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</si>
  <si>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</si>
  <si>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</si>
  <si>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</si>
  <si>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</si>
  <si>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</si>
  <si>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</si>
  <si>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</si>
  <si>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</si>
  <si>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</si>
  <si>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</si>
  <si>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</si>
  <si>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</si>
  <si>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</si>
  <si>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</si>
  <si>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</si>
  <si>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</si>
  <si>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</si>
  <si>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</si>
  <si>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</si>
  <si>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</si>
  <si>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</si>
  <si>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</si>
  <si>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</si>
  <si>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</si>
  <si>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</si>
  <si>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</si>
  <si>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</si>
  <si>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SAE. (2000). Agricultural Machinery Management Data. In. ASABE, St. Joseph, MI, USA: American Society of Agricultural Engineers</t>
  </si>
  <si>
    <t>f_energy_source</t>
  </si>
  <si>
    <t>electricity</t>
  </si>
  <si>
    <t>f_activity</t>
  </si>
  <si>
    <t>field machinery</t>
  </si>
  <si>
    <t>fuel oil</t>
  </si>
  <si>
    <t>woody biofuels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</si>
  <si>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</si>
  <si>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</si>
  <si>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</si>
  <si>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</si>
  <si>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</si>
  <si>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</si>
  <si>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</si>
  <si>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</si>
  <si>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</si>
  <si>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</si>
  <si>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</si>
  <si>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</si>
  <si>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</si>
  <si>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</si>
  <si>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</si>
  <si>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</si>
  <si>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</si>
  <si>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</si>
  <si>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</si>
  <si>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</si>
  <si>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</si>
  <si>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</si>
  <si>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</si>
  <si>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</si>
  <si>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</si>
  <si>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</si>
  <si>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</si>
  <si>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</si>
  <si>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</si>
  <si>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</si>
  <si>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</si>
  <si>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</si>
  <si>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</si>
  <si>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</si>
  <si>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</si>
  <si>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</si>
  <si>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</si>
  <si>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</si>
  <si>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</si>
  <si>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</si>
  <si>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compounds?)</t>
    </r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</si>
  <si>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</si>
  <si>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</si>
  <si>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</si>
  <si>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</si>
  <si>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</si>
  <si>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</si>
  <si>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</si>
  <si>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</si>
  <si>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</si>
  <si>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</si>
  <si>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</si>
  <si>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</si>
  <si>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</si>
  <si>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</si>
  <si>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</si>
  <si>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</si>
  <si>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</si>
  <si>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</si>
  <si>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</si>
  <si>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</si>
  <si>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</si>
  <si>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</si>
  <si>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</si>
  <si>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</si>
  <si>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</si>
  <si>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</si>
  <si>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</si>
  <si>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</si>
  <si>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</si>
  <si>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</si>
  <si>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</si>
  <si>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</si>
  <si>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</si>
  <si>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</si>
  <si>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</si>
  <si>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</si>
  <si>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</si>
  <si>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</si>
  <si>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</si>
  <si>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</si>
  <si>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</si>
  <si>
    <t>poultry</t>
  </si>
  <si>
    <t>broiler</t>
  </si>
  <si>
    <t>feeding, manure</t>
  </si>
  <si>
    <t>lighting, ventilation</t>
  </si>
  <si>
    <r>
      <t>feeding |</t>
    </r>
    <r>
      <rPr>
        <sz val="11"/>
        <color rgb="FFFF0000"/>
        <rFont val="Calibri"/>
        <family val="2"/>
        <scheme val="minor"/>
      </rPr>
      <t xml:space="preserve"> based on energy use for dairy recruitement animals</t>
    </r>
  </si>
  <si>
    <r>
      <t xml:space="preserve">manure, lighting, ventilation, etc. | </t>
    </r>
    <r>
      <rPr>
        <sz val="11"/>
        <color rgb="FFFF0000"/>
        <rFont val="Calibri"/>
        <family val="2"/>
        <scheme val="minor"/>
      </rPr>
      <t>based on energy use for dairy recruitement animals</t>
    </r>
  </si>
  <si>
    <t>broilers</t>
  </si>
  <si>
    <t>pigs</t>
  </si>
  <si>
    <t>Pigs</t>
  </si>
  <si>
    <t>Baky, A., Sundberg, M., Brown, N. (2010). Kartläggning av jordbrukets energianvändning - Ett projekt utfört på uppdrag av Jordbruksverket. JTI Rapport</t>
  </si>
  <si>
    <t>Fördelning energislag, kWh</t>
  </si>
  <si>
    <t>E01</t>
  </si>
  <si>
    <t>Per smågris</t>
  </si>
  <si>
    <t>Per slaktgris</t>
  </si>
  <si>
    <t>Total energi</t>
  </si>
  <si>
    <t>El</t>
  </si>
  <si>
    <t>Biobränsle</t>
  </si>
  <si>
    <t>Diesel</t>
  </si>
  <si>
    <t>Landquist et al (2020)</t>
  </si>
  <si>
    <t>Beskrivning</t>
  </si>
  <si>
    <t>Uppvärmning värmkälla</t>
  </si>
  <si>
    <t>Ej spec värmepump</t>
  </si>
  <si>
    <t>Övrigt</t>
  </si>
  <si>
    <t>Utfodring</t>
  </si>
  <si>
    <t>Ventilation</t>
  </si>
  <si>
    <t>9,6</t>
  </si>
  <si>
    <t>Ej spec</t>
  </si>
  <si>
    <t>Utgödsling</t>
  </si>
  <si>
    <t>0,1</t>
  </si>
  <si>
    <t>43,2</t>
  </si>
  <si>
    <t>992
olja</t>
  </si>
  <si>
    <t>93
värmepump</t>
  </si>
  <si>
    <t>4,2
olja (före insättning)</t>
  </si>
  <si>
    <t>Vatten</t>
  </si>
  <si>
    <r>
      <t xml:space="preserve">Ingår i
</t>
    </r>
    <r>
      <rPr>
        <i/>
        <sz val="11"/>
        <color indexed="8"/>
        <rFont val="Times New Roman"/>
        <family val="1"/>
        <charset val="204"/>
      </rPr>
      <t>Övrigt</t>
    </r>
  </si>
  <si>
    <t>Ingår ej</t>
  </si>
  <si>
    <t>Ingår</t>
  </si>
  <si>
    <t>Tvätt</t>
  </si>
  <si>
    <t>0,7</t>
  </si>
  <si>
    <t>Rekrytering, totalt</t>
  </si>
  <si>
    <t>Personal</t>
  </si>
  <si>
    <r>
      <t xml:space="preserve">Ingår i </t>
    </r>
    <r>
      <rPr>
        <i/>
        <sz val="11"/>
        <color indexed="8"/>
        <rFont val="Times New Roman"/>
        <family val="1"/>
        <charset val="204"/>
      </rPr>
      <t>Övrigt</t>
    </r>
  </si>
  <si>
    <t>1,0</t>
  </si>
  <si>
    <t>Summa</t>
  </si>
  <si>
    <t>19,7</t>
  </si>
  <si>
    <t>Därav el</t>
  </si>
  <si>
    <t>15,5</t>
  </si>
  <si>
    <t>Övrig utrustning                  23
Drankpump</t>
  </si>
  <si>
    <t>38
Kvarn</t>
  </si>
  <si>
    <t>-                                  Kvarn ingår i
utfodringen</t>
  </si>
  <si>
    <t>Betäcknings avd</t>
  </si>
  <si>
    <t>Isolerad</t>
  </si>
  <si>
    <t>Sin avd Slaktgris
Byggår</t>
  </si>
  <si>
    <t>Isolerad Isolerad
1998</t>
  </si>
  <si>
    <t>Oisolerad
1999</t>
  </si>
  <si>
    <t>-
Isolerad 1998</t>
  </si>
  <si>
    <t>Isolerad Isolerad
2008</t>
  </si>
  <si>
    <t>Belysning</t>
  </si>
  <si>
    <t>2441)</t>
  </si>
  <si>
    <t>782)</t>
  </si>
  <si>
    <t>1,83)</t>
  </si>
  <si>
    <t>3404)</t>
  </si>
  <si>
    <t>Övrig utrustning</t>
  </si>
  <si>
    <t>Gård</t>
  </si>
  <si>
    <t>Hel intergrerad
FTS-system
96 SIP*
kWh/SIP*, år</t>
  </si>
  <si>
    <t>Enhetsbox
480 SIP*
kWh/SIP*, år</t>
  </si>
  <si>
    <t>Slaktgris
1160 platser
kWh/djurpl, omg</t>
  </si>
  <si>
    <t>Hel integrerad
Tillväxtboxsyst.
254 SIP*
kWh/SIP*, år</t>
  </si>
  <si>
    <t>Gård F</t>
  </si>
  <si>
    <t>Gård G</t>
  </si>
  <si>
    <t>Gård H</t>
  </si>
  <si>
    <t>Gård Y</t>
  </si>
  <si>
    <t>Kvarn ingår i
utfodringen</t>
  </si>
  <si>
    <t>Sin avd</t>
  </si>
  <si>
    <t>Slaktgris</t>
  </si>
  <si>
    <t>Byggår</t>
  </si>
  <si>
    <t>Oisolerad</t>
  </si>
  <si>
    <t xml:space="preserve"> </t>
  </si>
  <si>
    <t>Kvarn ingår i utfodringen</t>
  </si>
  <si>
    <t>Därav ej el</t>
  </si>
  <si>
    <t>kWh/head/year</t>
  </si>
  <si>
    <t>Per SIP</t>
  </si>
  <si>
    <t>kWh</t>
  </si>
  <si>
    <t>piglets</t>
  </si>
  <si>
    <t>Energy source</t>
  </si>
  <si>
    <t>Used values</t>
  </si>
  <si>
    <t>growing pigs</t>
  </si>
  <si>
    <t>kWh per</t>
  </si>
  <si>
    <t>ins. animal</t>
  </si>
  <si>
    <t>kWh/inserted head</t>
  </si>
  <si>
    <t>stable_energy_use_per_inserted_head</t>
  </si>
  <si>
    <t>Biodiesel</t>
  </si>
  <si>
    <t>Hydrogen</t>
  </si>
  <si>
    <t>Electricity</t>
  </si>
  <si>
    <t>Fuel oil</t>
  </si>
  <si>
    <t>Woody biofuels</t>
  </si>
  <si>
    <t>Geothermal</t>
  </si>
  <si>
    <t>District heating</t>
  </si>
  <si>
    <t>Natural gas</t>
  </si>
  <si>
    <t>kWh/ton DM</t>
  </si>
  <si>
    <t>Adjusted to dry matter. Transport halm</t>
  </si>
  <si>
    <t>dryer_efficiency</t>
  </si>
  <si>
    <t>Share of energy in fuel recovered as usefull energy for drying</t>
  </si>
  <si>
    <t>water_content_at_harvest</t>
  </si>
  <si>
    <t>water_content_after_drying</t>
  </si>
  <si>
    <t>f_crop_group:crop</t>
  </si>
  <si>
    <t>Cereals, winter</t>
  </si>
  <si>
    <t>Cereals, spring</t>
  </si>
  <si>
    <t>Grain legumes</t>
  </si>
  <si>
    <t>Brassicaceae</t>
  </si>
  <si>
    <t>water_content_at_harvest=-99 gives no drying assumed</t>
  </si>
  <si>
    <t>Edström et al 2005, p. 14</t>
  </si>
  <si>
    <t>dryer_auxiliary_energy</t>
  </si>
  <si>
    <t>grain dryers</t>
  </si>
  <si>
    <t>grain dryers auxiliary energy</t>
  </si>
  <si>
    <t>Petersson 2016</t>
  </si>
  <si>
    <t>kWh/kg water removed</t>
  </si>
  <si>
    <t>Usefull energy per mass of water removed. Calculated from 0.16 L oil/kg (0.14-0.17) water assuming 10.36 kWh/L and a dryer efficiency of 90%</t>
  </si>
  <si>
    <t>SJV 2010</t>
  </si>
  <si>
    <t>Törner &amp; Norup 2009, p.5</t>
  </si>
  <si>
    <t>Electricity use for fans, conveyers etc. Per kg harvest. Calculated from 75-90 kWh/ha divided by an average yield of cereals, grain legumes and oil crops of ~5200 kg/ha (2016-2020)</t>
  </si>
  <si>
    <t>Energy use for grain dryers</t>
  </si>
  <si>
    <t>dryer_energy_per_mass_water</t>
  </si>
  <si>
    <t>Törner &amp; Norup 2009, p.11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</si>
</sst>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i/>
      <sz val="11"/>
      <color theme="5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95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5" fontId="0" fillId="0" borderId="0" xfId="0" applyNumberFormat="1"/>
    <xf numFmtId="0" fontId="13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3" fillId="0" borderId="0" xfId="0" applyNumberFormat="1" applyFont="1" applyBorder="1"/>
    <xf numFmtId="1" fontId="13" fillId="0" borderId="8" xfId="0" applyNumberFormat="1" applyFont="1" applyBorder="1"/>
    <xf numFmtId="1" fontId="0" fillId="0" borderId="0" xfId="0" applyNumberFormat="1" applyBorder="1"/>
    <xf numFmtId="0" fontId="1" fillId="0" borderId="7" xfId="0" applyFont="1" applyBorder="1"/>
    <xf numFmtId="0" fontId="1" fillId="0" borderId="0" xfId="0" applyFont="1" applyBorder="1"/>
    <xf numFmtId="1" fontId="1" fillId="0" borderId="0" xfId="0" applyNumberFormat="1" applyFont="1" applyBorder="1"/>
    <xf numFmtId="1" fontId="1" fillId="0" borderId="8" xfId="0" applyNumberFormat="1" applyFont="1" applyBorder="1"/>
    <xf numFmtId="9" fontId="14" fillId="0" borderId="0" xfId="1" applyFont="1" applyBorder="1"/>
    <xf numFmtId="9" fontId="14" fillId="0" borderId="8" xfId="1" applyFont="1" applyBorder="1"/>
    <xf numFmtId="0" fontId="0" fillId="0" borderId="9" xfId="0" applyBorder="1"/>
    <xf numFmtId="0" fontId="0" fillId="0" borderId="10" xfId="0" applyBorder="1"/>
    <xf numFmtId="0" fontId="12" fillId="0" borderId="8" xfId="0" applyFont="1" applyBorder="1"/>
    <xf numFmtId="0" fontId="12" fillId="0" borderId="10" xfId="0" applyFont="1" applyBorder="1"/>
    <xf numFmtId="0" fontId="1" fillId="0" borderId="4" xfId="0" applyFont="1" applyBorder="1"/>
    <xf numFmtId="9" fontId="14" fillId="0" borderId="7" xfId="1" applyFont="1" applyBorder="1"/>
    <xf numFmtId="0" fontId="0" fillId="0" borderId="11" xfId="0" applyFill="1" applyBorder="1"/>
    <xf numFmtId="0" fontId="1" fillId="0" borderId="0" xfId="0" applyFont="1"/>
    <xf numFmtId="0" fontId="1" fillId="0" borderId="6" xfId="0" applyFont="1" applyBorder="1"/>
    <xf numFmtId="0" fontId="15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0" xfId="0" applyFont="1" applyFill="1"/>
    <xf numFmtId="0" fontId="0" fillId="0" borderId="12" xfId="0" applyBorder="1"/>
    <xf numFmtId="0" fontId="0" fillId="0" borderId="13" xfId="0" applyBorder="1"/>
    <xf numFmtId="0" fontId="0" fillId="0" borderId="14" xfId="0" applyBorder="1"/>
    <xf numFmtId="9" fontId="13" fillId="0" borderId="0" xfId="1" applyFont="1"/>
    <xf numFmtId="0" fontId="19" fillId="0" borderId="1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3" fillId="0" borderId="9" xfId="0" applyFont="1" applyBorder="1"/>
    <xf numFmtId="0" fontId="13" fillId="0" borderId="10" xfId="0" applyFont="1" applyBorder="1"/>
    <xf numFmtId="0" fontId="13" fillId="0" borderId="1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20" fillId="0" borderId="0" xfId="0" applyFont="1"/>
    <xf numFmtId="1" fontId="20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 applyBorder="1"/>
    <xf numFmtId="165" fontId="23" fillId="0" borderId="8" xfId="0" applyNumberFormat="1" applyFont="1" applyBorder="1"/>
    <xf numFmtId="0" fontId="23" fillId="0" borderId="8" xfId="0" applyFont="1" applyBorder="1"/>
    <xf numFmtId="1" fontId="23" fillId="0" borderId="0" xfId="0" applyNumberFormat="1" applyFont="1" applyBorder="1"/>
    <xf numFmtId="0" fontId="23" fillId="0" borderId="1" xfId="0" applyFont="1" applyBorder="1"/>
    <xf numFmtId="0" fontId="23" fillId="0" borderId="10" xfId="0" applyFont="1" applyBorder="1"/>
    <xf numFmtId="1" fontId="23" fillId="0" borderId="8" xfId="0" applyNumberFormat="1" applyFont="1" applyBorder="1"/>
    <xf numFmtId="0" fontId="13" fillId="0" borderId="12" xfId="0" applyFont="1" applyBorder="1"/>
    <xf numFmtId="0" fontId="13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0" fillId="0" borderId="1" xfId="0" applyFill="1" applyBorder="1"/>
    <xf numFmtId="0" fontId="0" fillId="0" borderId="10" xfId="0" applyFill="1" applyBorder="1"/>
    <xf numFmtId="0" fontId="7" fillId="0" borderId="4" xfId="0" applyFont="1" applyBorder="1"/>
    <xf numFmtId="0" fontId="0" fillId="0" borderId="15" xfId="0" applyBorder="1"/>
    <xf numFmtId="0" fontId="0" fillId="0" borderId="16" xfId="0" applyBorder="1"/>
    <xf numFmtId="0" fontId="23" fillId="0" borderId="11" xfId="0" applyFont="1" applyBorder="1"/>
    <xf numFmtId="164" fontId="23" fillId="0" borderId="11" xfId="0" applyNumberFormat="1" applyFont="1" applyBorder="1"/>
    <xf numFmtId="2" fontId="23" fillId="0" borderId="11" xfId="0" applyNumberFormat="1" applyFont="1" applyBorder="1"/>
    <xf numFmtId="2" fontId="23" fillId="0" borderId="16" xfId="0" applyNumberFormat="1" applyFont="1" applyBorder="1"/>
    <xf numFmtId="9" fontId="13" fillId="0" borderId="0" xfId="0" applyNumberFormat="1" applyFont="1"/>
    <xf numFmtId="0" fontId="1" fillId="0" borderId="1" xfId="0" applyFont="1" applyBorder="1"/>
    <xf numFmtId="1" fontId="8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16"/>
  <sheetViews>
    <sheetView tabSelected="1" workbookViewId="0">
      <pane ySplit="1" topLeftCell="A134" activePane="bottomLeft" state="frozen"/>
      <selection pane="bottomLeft" activeCell="O167" sqref="O167"/>
    </sheetView>
  </sheetViews>
  <sheetFormatPr defaultRowHeight="15" x14ac:dyDescent="0.25"/>
  <cols>
    <col min="8" max="12" width="12.28515625" customWidth="1"/>
    <col min="13" max="13" width="36.42578125" bestFit="1" customWidth="1"/>
    <col min="14" max="14" width="9.28515625" customWidth="1"/>
    <col min="15" max="15" width="19.140625" bestFit="1" customWidth="1"/>
    <col min="16" max="16" width="58.7109375" customWidth="1"/>
    <col min="17" max="17" width="22.7109375" customWidth="1"/>
  </cols>
  <sheetData>
    <row r="1" spans="1:17" x14ac:dyDescent="0.25">
      <c r="A1" s="49" t="s">
        <v>149</v>
      </c>
      <c r="B1" s="93" t="s">
        <v>0</v>
      </c>
      <c r="C1" s="93" t="s">
        <v>340</v>
      </c>
      <c r="D1" s="93" t="s">
        <v>194</v>
      </c>
      <c r="E1" s="93" t="s">
        <v>202</v>
      </c>
      <c r="F1" s="93" t="s">
        <v>203</v>
      </c>
      <c r="G1" s="93" t="s">
        <v>227</v>
      </c>
      <c r="H1" s="93" t="s">
        <v>147</v>
      </c>
      <c r="I1" s="93" t="s">
        <v>52</v>
      </c>
      <c r="J1" s="93" t="s">
        <v>44</v>
      </c>
      <c r="K1" s="93" t="s">
        <v>129</v>
      </c>
      <c r="L1" s="93" t="s">
        <v>175</v>
      </c>
      <c r="M1" s="93" t="s">
        <v>1</v>
      </c>
      <c r="N1" s="93" t="s">
        <v>2</v>
      </c>
      <c r="O1" s="93" t="s">
        <v>3</v>
      </c>
      <c r="P1" s="93" t="s">
        <v>4</v>
      </c>
      <c r="Q1" s="93" t="s">
        <v>5</v>
      </c>
    </row>
    <row r="2" spans="1:17" x14ac:dyDescent="0.25">
      <c r="M2" s="20" t="s">
        <v>154</v>
      </c>
      <c r="N2" s="9">
        <v>0</v>
      </c>
      <c r="O2" s="9" t="s">
        <v>128</v>
      </c>
      <c r="P2" s="9" t="s">
        <v>53</v>
      </c>
    </row>
    <row r="4" spans="1:17" x14ac:dyDescent="0.25">
      <c r="A4" t="s">
        <v>150</v>
      </c>
      <c r="H4" s="4" t="s">
        <v>252</v>
      </c>
      <c r="M4" s="6" t="s">
        <v>154</v>
      </c>
      <c r="N4" s="18">
        <f>(241822577+237201100)/(241822577+237201100+5856000+8368914)*100</f>
        <v>97.116076100458642</v>
      </c>
      <c r="O4" t="s">
        <v>128</v>
      </c>
      <c r="Q4" t="s">
        <v>172</v>
      </c>
    </row>
    <row r="5" spans="1:17" x14ac:dyDescent="0.25">
      <c r="A5" t="s">
        <v>150</v>
      </c>
      <c r="H5" s="4" t="s">
        <v>326</v>
      </c>
      <c r="M5" s="6" t="s">
        <v>154</v>
      </c>
      <c r="N5" s="18">
        <f>100-N4</f>
        <v>2.8839238995413581</v>
      </c>
      <c r="O5" t="s">
        <v>128</v>
      </c>
      <c r="Q5" t="s">
        <v>173</v>
      </c>
    </row>
    <row r="6" spans="1:17" x14ac:dyDescent="0.25">
      <c r="A6" t="s">
        <v>150</v>
      </c>
      <c r="H6" s="4" t="s">
        <v>327</v>
      </c>
      <c r="M6" s="6" t="s">
        <v>154</v>
      </c>
      <c r="N6" s="10">
        <v>0</v>
      </c>
      <c r="O6" t="s">
        <v>128</v>
      </c>
    </row>
    <row r="7" spans="1:17" x14ac:dyDescent="0.25">
      <c r="A7" t="s">
        <v>150</v>
      </c>
      <c r="H7" s="6" t="s">
        <v>328</v>
      </c>
      <c r="M7" s="6" t="s">
        <v>154</v>
      </c>
      <c r="N7" s="10">
        <v>0</v>
      </c>
      <c r="O7" t="s">
        <v>128</v>
      </c>
    </row>
    <row r="8" spans="1:17" x14ac:dyDescent="0.25">
      <c r="H8" s="6"/>
      <c r="M8" s="6"/>
      <c r="N8" s="10"/>
    </row>
    <row r="9" spans="1:17" x14ac:dyDescent="0.25">
      <c r="A9" t="s">
        <v>197</v>
      </c>
      <c r="D9" t="s">
        <v>195</v>
      </c>
      <c r="H9" s="4" t="s">
        <v>252</v>
      </c>
      <c r="M9" s="6" t="s">
        <v>154</v>
      </c>
      <c r="N9" s="10">
        <v>100</v>
      </c>
      <c r="O9" t="s">
        <v>128</v>
      </c>
    </row>
    <row r="10" spans="1:17" x14ac:dyDescent="0.25">
      <c r="A10" t="s">
        <v>198</v>
      </c>
      <c r="D10" t="s">
        <v>195</v>
      </c>
      <c r="H10" s="4"/>
      <c r="M10" s="6"/>
      <c r="N10" s="10"/>
    </row>
    <row r="11" spans="1:17" x14ac:dyDescent="0.25">
      <c r="A11" t="s">
        <v>201</v>
      </c>
      <c r="D11" t="s">
        <v>195</v>
      </c>
      <c r="H11" s="6" t="s">
        <v>328</v>
      </c>
      <c r="M11" s="6" t="s">
        <v>154</v>
      </c>
      <c r="N11" s="10">
        <v>100</v>
      </c>
      <c r="O11" t="s">
        <v>128</v>
      </c>
    </row>
    <row r="12" spans="1:17" x14ac:dyDescent="0.25">
      <c r="A12" t="s">
        <v>199</v>
      </c>
      <c r="D12" t="s">
        <v>195</v>
      </c>
      <c r="H12" s="6" t="s">
        <v>328</v>
      </c>
      <c r="M12" s="6" t="s">
        <v>154</v>
      </c>
      <c r="N12" s="10">
        <v>100</v>
      </c>
      <c r="O12" t="s">
        <v>128</v>
      </c>
    </row>
    <row r="13" spans="1:17" x14ac:dyDescent="0.25">
      <c r="H13" s="6"/>
      <c r="M13" s="6"/>
      <c r="N13" s="10"/>
    </row>
    <row r="14" spans="1:17" x14ac:dyDescent="0.25">
      <c r="A14" t="s">
        <v>197</v>
      </c>
      <c r="D14" t="s">
        <v>235</v>
      </c>
      <c r="E14" t="s">
        <v>236</v>
      </c>
      <c r="H14" s="4" t="s">
        <v>252</v>
      </c>
      <c r="M14" s="6" t="s">
        <v>154</v>
      </c>
      <c r="N14" s="10">
        <v>100</v>
      </c>
      <c r="O14" t="s">
        <v>128</v>
      </c>
    </row>
    <row r="15" spans="1:17" x14ac:dyDescent="0.25">
      <c r="A15" t="s">
        <v>198</v>
      </c>
      <c r="D15" t="s">
        <v>235</v>
      </c>
      <c r="E15" t="s">
        <v>236</v>
      </c>
      <c r="H15" s="6" t="s">
        <v>329</v>
      </c>
      <c r="M15" s="6" t="s">
        <v>154</v>
      </c>
      <c r="N15" s="10">
        <v>100</v>
      </c>
      <c r="O15" t="s">
        <v>128</v>
      </c>
    </row>
    <row r="16" spans="1:17" x14ac:dyDescent="0.25">
      <c r="A16" t="s">
        <v>201</v>
      </c>
      <c r="D16" t="s">
        <v>235</v>
      </c>
      <c r="E16" t="s">
        <v>236</v>
      </c>
      <c r="H16" s="6" t="s">
        <v>328</v>
      </c>
      <c r="M16" s="6" t="s">
        <v>154</v>
      </c>
      <c r="N16" s="10">
        <v>100</v>
      </c>
      <c r="O16" t="s">
        <v>128</v>
      </c>
    </row>
    <row r="17" spans="1:17" x14ac:dyDescent="0.25">
      <c r="H17" s="6"/>
      <c r="M17" s="6"/>
      <c r="N17" s="10"/>
    </row>
    <row r="18" spans="1:17" x14ac:dyDescent="0.25">
      <c r="A18" t="s">
        <v>197</v>
      </c>
      <c r="D18" t="s">
        <v>242</v>
      </c>
      <c r="F18" t="s">
        <v>318</v>
      </c>
      <c r="H18" s="4" t="s">
        <v>252</v>
      </c>
      <c r="M18" s="6" t="s">
        <v>154</v>
      </c>
      <c r="N18" s="10">
        <v>100</v>
      </c>
      <c r="O18" t="s">
        <v>128</v>
      </c>
      <c r="Q18" t="s">
        <v>253</v>
      </c>
    </row>
    <row r="19" spans="1:17" x14ac:dyDescent="0.25">
      <c r="A19" t="s">
        <v>198</v>
      </c>
      <c r="D19" t="s">
        <v>242</v>
      </c>
      <c r="F19" t="s">
        <v>318</v>
      </c>
      <c r="H19" s="6" t="s">
        <v>329</v>
      </c>
      <c r="M19" s="6" t="s">
        <v>154</v>
      </c>
      <c r="N19">
        <v>4</v>
      </c>
      <c r="O19" t="s">
        <v>128</v>
      </c>
      <c r="Q19" t="s">
        <v>253</v>
      </c>
    </row>
    <row r="20" spans="1:17" x14ac:dyDescent="0.25">
      <c r="A20" t="s">
        <v>198</v>
      </c>
      <c r="D20" t="s">
        <v>242</v>
      </c>
      <c r="F20" t="s">
        <v>318</v>
      </c>
      <c r="H20" s="6" t="s">
        <v>330</v>
      </c>
      <c r="M20" s="6" t="s">
        <v>154</v>
      </c>
      <c r="N20">
        <v>76</v>
      </c>
      <c r="O20" t="s">
        <v>128</v>
      </c>
      <c r="Q20" t="s">
        <v>253</v>
      </c>
    </row>
    <row r="21" spans="1:17" x14ac:dyDescent="0.25">
      <c r="A21" t="s">
        <v>198</v>
      </c>
      <c r="D21" t="s">
        <v>242</v>
      </c>
      <c r="F21" t="s">
        <v>318</v>
      </c>
      <c r="H21" s="6" t="s">
        <v>328</v>
      </c>
      <c r="M21" s="6" t="s">
        <v>154</v>
      </c>
      <c r="N21">
        <v>20</v>
      </c>
      <c r="O21" t="s">
        <v>128</v>
      </c>
      <c r="Q21" t="s">
        <v>253</v>
      </c>
    </row>
    <row r="22" spans="1:17" x14ac:dyDescent="0.25">
      <c r="A22" t="s">
        <v>201</v>
      </c>
      <c r="D22" t="s">
        <v>242</v>
      </c>
      <c r="F22" t="s">
        <v>318</v>
      </c>
      <c r="H22" s="6" t="s">
        <v>328</v>
      </c>
      <c r="M22" s="6" t="s">
        <v>154</v>
      </c>
      <c r="N22" s="10">
        <v>100</v>
      </c>
      <c r="O22" t="s">
        <v>128</v>
      </c>
      <c r="Q22" t="s">
        <v>253</v>
      </c>
    </row>
    <row r="23" spans="1:17" x14ac:dyDescent="0.25">
      <c r="A23" t="s">
        <v>197</v>
      </c>
      <c r="D23" t="s">
        <v>242</v>
      </c>
      <c r="F23" t="s">
        <v>321</v>
      </c>
      <c r="H23" s="4" t="s">
        <v>252</v>
      </c>
      <c r="M23" s="6" t="s">
        <v>154</v>
      </c>
      <c r="N23" s="10">
        <v>100</v>
      </c>
      <c r="O23" t="s">
        <v>128</v>
      </c>
      <c r="Q23" t="s">
        <v>253</v>
      </c>
    </row>
    <row r="24" spans="1:17" x14ac:dyDescent="0.25">
      <c r="A24" t="s">
        <v>198</v>
      </c>
      <c r="D24" t="s">
        <v>242</v>
      </c>
      <c r="F24" t="s">
        <v>321</v>
      </c>
      <c r="H24" s="6" t="s">
        <v>329</v>
      </c>
      <c r="M24" s="6" t="s">
        <v>154</v>
      </c>
      <c r="N24">
        <v>20</v>
      </c>
      <c r="O24" t="s">
        <v>128</v>
      </c>
      <c r="Q24" t="s">
        <v>253</v>
      </c>
    </row>
    <row r="25" spans="1:17" x14ac:dyDescent="0.25">
      <c r="A25" t="s">
        <v>198</v>
      </c>
      <c r="D25" t="s">
        <v>242</v>
      </c>
      <c r="F25" t="s">
        <v>321</v>
      </c>
      <c r="H25" s="6" t="s">
        <v>330</v>
      </c>
      <c r="M25" s="6" t="s">
        <v>154</v>
      </c>
      <c r="N25">
        <v>60</v>
      </c>
      <c r="O25" t="s">
        <v>128</v>
      </c>
      <c r="Q25" t="s">
        <v>253</v>
      </c>
    </row>
    <row r="26" spans="1:17" x14ac:dyDescent="0.25">
      <c r="A26" t="s">
        <v>198</v>
      </c>
      <c r="D26" t="s">
        <v>242</v>
      </c>
      <c r="F26" t="s">
        <v>321</v>
      </c>
      <c r="H26" s="6" t="s">
        <v>328</v>
      </c>
      <c r="M26" s="6" t="s">
        <v>154</v>
      </c>
      <c r="N26">
        <v>20.000000000000018</v>
      </c>
      <c r="O26" t="s">
        <v>128</v>
      </c>
      <c r="Q26" t="s">
        <v>253</v>
      </c>
    </row>
    <row r="27" spans="1:17" x14ac:dyDescent="0.25">
      <c r="A27" t="s">
        <v>201</v>
      </c>
      <c r="D27" t="s">
        <v>242</v>
      </c>
      <c r="F27" t="s">
        <v>321</v>
      </c>
      <c r="H27" s="6" t="s">
        <v>328</v>
      </c>
      <c r="M27" s="6" t="s">
        <v>154</v>
      </c>
      <c r="N27" s="10">
        <v>100</v>
      </c>
      <c r="O27" t="s">
        <v>128</v>
      </c>
      <c r="Q27" t="s">
        <v>253</v>
      </c>
    </row>
    <row r="28" spans="1:17" x14ac:dyDescent="0.25">
      <c r="H28" s="6"/>
      <c r="M28" s="6"/>
      <c r="N28" s="15"/>
    </row>
    <row r="29" spans="1:17" x14ac:dyDescent="0.25">
      <c r="A29" t="s">
        <v>153</v>
      </c>
      <c r="H29" s="6" t="s">
        <v>329</v>
      </c>
      <c r="M29" s="6" t="s">
        <v>154</v>
      </c>
      <c r="N29" s="11">
        <v>6.4777062142923141</v>
      </c>
      <c r="O29" t="s">
        <v>128</v>
      </c>
      <c r="Q29" t="s">
        <v>167</v>
      </c>
    </row>
    <row r="30" spans="1:17" x14ac:dyDescent="0.25">
      <c r="A30" t="s">
        <v>153</v>
      </c>
      <c r="H30" s="6" t="s">
        <v>333</v>
      </c>
      <c r="M30" s="6" t="s">
        <v>154</v>
      </c>
      <c r="N30" s="11">
        <v>8.7567853491111922</v>
      </c>
      <c r="O30" t="s">
        <v>128</v>
      </c>
      <c r="P30" t="s">
        <v>170</v>
      </c>
      <c r="Q30" t="s">
        <v>168</v>
      </c>
    </row>
    <row r="31" spans="1:17" x14ac:dyDescent="0.25">
      <c r="A31" t="s">
        <v>153</v>
      </c>
      <c r="H31" s="6" t="s">
        <v>330</v>
      </c>
      <c r="M31" s="6" t="s">
        <v>154</v>
      </c>
      <c r="N31" s="18">
        <v>59.671114354829328</v>
      </c>
      <c r="O31" t="s">
        <v>128</v>
      </c>
      <c r="P31" s="19" t="s">
        <v>171</v>
      </c>
      <c r="Q31" t="s">
        <v>169</v>
      </c>
    </row>
    <row r="32" spans="1:17" x14ac:dyDescent="0.25">
      <c r="A32" t="s">
        <v>153</v>
      </c>
      <c r="H32" s="6" t="s">
        <v>328</v>
      </c>
      <c r="M32" s="6" t="s">
        <v>154</v>
      </c>
      <c r="N32" s="18">
        <v>16.802918820320372</v>
      </c>
      <c r="O32" t="s">
        <v>128</v>
      </c>
    </row>
    <row r="33" spans="1:17" x14ac:dyDescent="0.25">
      <c r="A33" t="s">
        <v>153</v>
      </c>
      <c r="H33" s="6" t="s">
        <v>332</v>
      </c>
      <c r="M33" s="6" t="s">
        <v>154</v>
      </c>
      <c r="N33" s="11">
        <v>7.4851294970113242</v>
      </c>
      <c r="O33" t="s">
        <v>128</v>
      </c>
    </row>
    <row r="34" spans="1:17" x14ac:dyDescent="0.25">
      <c r="A34" t="s">
        <v>153</v>
      </c>
      <c r="H34" s="6" t="s">
        <v>331</v>
      </c>
      <c r="M34" s="6" t="s">
        <v>154</v>
      </c>
      <c r="N34" s="11">
        <v>0.80634576443547301</v>
      </c>
      <c r="O34" t="s">
        <v>128</v>
      </c>
    </row>
    <row r="35" spans="1:17" x14ac:dyDescent="0.25">
      <c r="H35" s="6"/>
      <c r="M35" s="6"/>
      <c r="N35" s="11"/>
    </row>
    <row r="36" spans="1:17" x14ac:dyDescent="0.25">
      <c r="A36" t="s">
        <v>348</v>
      </c>
      <c r="H36" s="6" t="s">
        <v>330</v>
      </c>
      <c r="M36" s="6" t="s">
        <v>154</v>
      </c>
      <c r="N36" s="94">
        <v>10</v>
      </c>
      <c r="O36" t="s">
        <v>128</v>
      </c>
    </row>
    <row r="37" spans="1:17" x14ac:dyDescent="0.25">
      <c r="A37" t="s">
        <v>348</v>
      </c>
      <c r="H37" s="6" t="s">
        <v>329</v>
      </c>
      <c r="M37" s="6" t="s">
        <v>154</v>
      </c>
      <c r="N37" s="94">
        <v>90</v>
      </c>
      <c r="O37" t="s">
        <v>128</v>
      </c>
    </row>
    <row r="38" spans="1:17" x14ac:dyDescent="0.25">
      <c r="A38" t="s">
        <v>349</v>
      </c>
      <c r="H38" s="6" t="s">
        <v>328</v>
      </c>
      <c r="M38" s="6" t="s">
        <v>154</v>
      </c>
      <c r="N38" s="18">
        <v>100</v>
      </c>
      <c r="O38" s="10" t="s">
        <v>128</v>
      </c>
    </row>
    <row r="39" spans="1:17" x14ac:dyDescent="0.25">
      <c r="H39" s="6"/>
    </row>
    <row r="40" spans="1:17" x14ac:dyDescent="0.25">
      <c r="K40" t="s">
        <v>121</v>
      </c>
      <c r="M40" t="s">
        <v>130</v>
      </c>
      <c r="N40" s="15">
        <v>80</v>
      </c>
      <c r="O40" t="s">
        <v>128</v>
      </c>
    </row>
    <row r="41" spans="1:17" x14ac:dyDescent="0.25">
      <c r="K41" t="s">
        <v>122</v>
      </c>
      <c r="M41" t="s">
        <v>130</v>
      </c>
      <c r="N41" s="15">
        <v>10</v>
      </c>
      <c r="O41" t="s">
        <v>128</v>
      </c>
    </row>
    <row r="42" spans="1:17" x14ac:dyDescent="0.25">
      <c r="K42" t="s">
        <v>123</v>
      </c>
      <c r="M42" t="s">
        <v>130</v>
      </c>
      <c r="N42" s="15">
        <v>10</v>
      </c>
      <c r="O42" t="s">
        <v>128</v>
      </c>
    </row>
    <row r="43" spans="1:17" x14ac:dyDescent="0.25">
      <c r="A43" s="1" t="s">
        <v>193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H44" s="4"/>
      <c r="M44" s="9" t="s">
        <v>176</v>
      </c>
      <c r="N44" s="23">
        <v>0</v>
      </c>
      <c r="O44" s="9"/>
      <c r="P44" s="9" t="s">
        <v>191</v>
      </c>
    </row>
    <row r="45" spans="1:17" x14ac:dyDescent="0.25">
      <c r="H45" s="4"/>
      <c r="N45" s="18"/>
    </row>
    <row r="46" spans="1:17" x14ac:dyDescent="0.25">
      <c r="H46" s="4" t="s">
        <v>252</v>
      </c>
      <c r="L46" t="s">
        <v>177</v>
      </c>
      <c r="M46" t="s">
        <v>176</v>
      </c>
      <c r="N46" s="18">
        <f>74100</f>
        <v>74100</v>
      </c>
      <c r="O46" t="s">
        <v>186</v>
      </c>
      <c r="P46" t="s">
        <v>180</v>
      </c>
      <c r="Q46" t="s">
        <v>179</v>
      </c>
    </row>
    <row r="47" spans="1:17" x14ac:dyDescent="0.25">
      <c r="H47" s="4" t="s">
        <v>252</v>
      </c>
      <c r="L47" t="s">
        <v>184</v>
      </c>
      <c r="M47" t="s">
        <v>176</v>
      </c>
      <c r="N47" s="11">
        <f>3.9</f>
        <v>3.9</v>
      </c>
      <c r="O47" t="s">
        <v>186</v>
      </c>
      <c r="Q47" t="s">
        <v>181</v>
      </c>
    </row>
    <row r="48" spans="1:17" x14ac:dyDescent="0.25">
      <c r="H48" s="4" t="s">
        <v>252</v>
      </c>
      <c r="L48" t="s">
        <v>178</v>
      </c>
      <c r="M48" t="s">
        <v>176</v>
      </c>
      <c r="N48" s="11">
        <f>3.9</f>
        <v>3.9</v>
      </c>
      <c r="O48" t="s">
        <v>186</v>
      </c>
      <c r="Q48" t="s">
        <v>181</v>
      </c>
    </row>
    <row r="49" spans="8:17" x14ac:dyDescent="0.25">
      <c r="H49" s="4" t="s">
        <v>326</v>
      </c>
      <c r="L49" t="s">
        <v>177</v>
      </c>
      <c r="M49" t="s">
        <v>176</v>
      </c>
      <c r="N49" s="18">
        <v>0</v>
      </c>
      <c r="O49" t="s">
        <v>186</v>
      </c>
    </row>
    <row r="50" spans="8:17" x14ac:dyDescent="0.25">
      <c r="H50" s="4" t="s">
        <v>326</v>
      </c>
      <c r="L50" t="s">
        <v>185</v>
      </c>
      <c r="M50" t="s">
        <v>176</v>
      </c>
      <c r="N50" s="22">
        <f t="shared" ref="N50:N51" si="0">N47</f>
        <v>3.9</v>
      </c>
      <c r="O50" t="s">
        <v>186</v>
      </c>
      <c r="P50" t="s">
        <v>182</v>
      </c>
    </row>
    <row r="51" spans="8:17" x14ac:dyDescent="0.25">
      <c r="H51" s="4" t="s">
        <v>326</v>
      </c>
      <c r="L51" t="s">
        <v>178</v>
      </c>
      <c r="M51" t="s">
        <v>176</v>
      </c>
      <c r="N51" s="22">
        <f t="shared" si="0"/>
        <v>3.9</v>
      </c>
      <c r="O51" t="s">
        <v>186</v>
      </c>
      <c r="P51" t="s">
        <v>182</v>
      </c>
    </row>
    <row r="52" spans="8:17" x14ac:dyDescent="0.25">
      <c r="H52" s="6" t="s">
        <v>329</v>
      </c>
      <c r="L52" t="s">
        <v>177</v>
      </c>
      <c r="M52" t="s">
        <v>176</v>
      </c>
      <c r="N52" s="18">
        <v>73300</v>
      </c>
      <c r="O52" t="s">
        <v>186</v>
      </c>
      <c r="P52" t="s">
        <v>189</v>
      </c>
      <c r="Q52" t="s">
        <v>190</v>
      </c>
    </row>
    <row r="53" spans="8:17" x14ac:dyDescent="0.25">
      <c r="H53" s="6" t="s">
        <v>329</v>
      </c>
      <c r="L53" t="s">
        <v>184</v>
      </c>
      <c r="M53" t="s">
        <v>176</v>
      </c>
      <c r="N53">
        <v>10</v>
      </c>
      <c r="O53" t="s">
        <v>186</v>
      </c>
      <c r="Q53" t="s">
        <v>190</v>
      </c>
    </row>
    <row r="54" spans="8:17" x14ac:dyDescent="0.25">
      <c r="H54" s="6" t="s">
        <v>329</v>
      </c>
      <c r="L54" t="s">
        <v>178</v>
      </c>
      <c r="M54" t="s">
        <v>176</v>
      </c>
      <c r="N54">
        <v>0.6</v>
      </c>
      <c r="O54" t="s">
        <v>186</v>
      </c>
      <c r="Q54" t="s">
        <v>190</v>
      </c>
    </row>
    <row r="55" spans="8:17" x14ac:dyDescent="0.25">
      <c r="H55" s="6" t="s">
        <v>333</v>
      </c>
      <c r="L55" t="s">
        <v>177</v>
      </c>
      <c r="M55" t="s">
        <v>176</v>
      </c>
      <c r="N55" s="18">
        <v>56100</v>
      </c>
      <c r="O55" t="s">
        <v>186</v>
      </c>
      <c r="P55" t="s">
        <v>188</v>
      </c>
      <c r="Q55" t="s">
        <v>190</v>
      </c>
    </row>
    <row r="56" spans="8:17" x14ac:dyDescent="0.25">
      <c r="H56" s="6" t="s">
        <v>333</v>
      </c>
      <c r="L56" t="s">
        <v>184</v>
      </c>
      <c r="M56" t="s">
        <v>176</v>
      </c>
      <c r="N56">
        <v>5</v>
      </c>
      <c r="O56" t="s">
        <v>186</v>
      </c>
      <c r="Q56" t="s">
        <v>190</v>
      </c>
    </row>
    <row r="57" spans="8:17" x14ac:dyDescent="0.25">
      <c r="H57" s="6" t="s">
        <v>333</v>
      </c>
      <c r="L57" t="s">
        <v>178</v>
      </c>
      <c r="M57" t="s">
        <v>176</v>
      </c>
      <c r="N57">
        <v>0.1</v>
      </c>
      <c r="O57" t="s">
        <v>186</v>
      </c>
      <c r="Q57" t="s">
        <v>190</v>
      </c>
    </row>
    <row r="58" spans="8:17" x14ac:dyDescent="0.25">
      <c r="H58" s="6" t="s">
        <v>330</v>
      </c>
      <c r="L58" t="s">
        <v>177</v>
      </c>
      <c r="M58" t="s">
        <v>176</v>
      </c>
      <c r="N58" s="18">
        <v>0</v>
      </c>
      <c r="O58" t="s">
        <v>186</v>
      </c>
      <c r="P58" t="s">
        <v>187</v>
      </c>
      <c r="Q58" t="s">
        <v>190</v>
      </c>
    </row>
    <row r="59" spans="8:17" x14ac:dyDescent="0.25">
      <c r="H59" s="6" t="s">
        <v>330</v>
      </c>
      <c r="L59" t="s">
        <v>185</v>
      </c>
      <c r="M59" t="s">
        <v>176</v>
      </c>
      <c r="N59" s="18">
        <v>300</v>
      </c>
      <c r="O59" t="s">
        <v>186</v>
      </c>
      <c r="Q59" t="s">
        <v>190</v>
      </c>
    </row>
    <row r="60" spans="8:17" x14ac:dyDescent="0.25">
      <c r="H60" s="6" t="s">
        <v>330</v>
      </c>
      <c r="L60" t="s">
        <v>178</v>
      </c>
      <c r="M60" t="s">
        <v>176</v>
      </c>
      <c r="N60" s="18">
        <v>4</v>
      </c>
      <c r="O60" t="s">
        <v>186</v>
      </c>
      <c r="Q60" t="s">
        <v>190</v>
      </c>
    </row>
    <row r="61" spans="8:17" x14ac:dyDescent="0.25">
      <c r="H61" s="6" t="s">
        <v>332</v>
      </c>
      <c r="M61" t="s">
        <v>176</v>
      </c>
      <c r="N61" s="18">
        <v>0</v>
      </c>
      <c r="O61" t="s">
        <v>186</v>
      </c>
      <c r="P61" s="15"/>
    </row>
    <row r="62" spans="8:17" x14ac:dyDescent="0.25">
      <c r="H62" s="6" t="s">
        <v>331</v>
      </c>
      <c r="M62" t="s">
        <v>176</v>
      </c>
      <c r="N62" s="18">
        <v>0</v>
      </c>
      <c r="O62" t="s">
        <v>186</v>
      </c>
      <c r="P62" s="15"/>
    </row>
    <row r="63" spans="8:17" x14ac:dyDescent="0.25">
      <c r="H63" s="4" t="s">
        <v>327</v>
      </c>
      <c r="M63" t="s">
        <v>176</v>
      </c>
      <c r="N63" s="18">
        <v>0</v>
      </c>
      <c r="O63" t="s">
        <v>186</v>
      </c>
      <c r="P63" s="15" t="s">
        <v>183</v>
      </c>
    </row>
    <row r="64" spans="8:17" x14ac:dyDescent="0.25">
      <c r="H64" s="6" t="s">
        <v>328</v>
      </c>
      <c r="M64" t="s">
        <v>176</v>
      </c>
      <c r="N64" s="18">
        <v>0</v>
      </c>
      <c r="O64" t="s">
        <v>186</v>
      </c>
      <c r="P64" s="15"/>
    </row>
    <row r="65" spans="1:17" x14ac:dyDescent="0.25">
      <c r="H65" s="6"/>
      <c r="N65" s="18"/>
      <c r="P65" s="15"/>
    </row>
    <row r="66" spans="1:17" x14ac:dyDescent="0.25">
      <c r="A66" s="1" t="s">
        <v>6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 s="2" t="s">
        <v>7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3"/>
      <c r="N67" s="3"/>
      <c r="O67" s="3"/>
      <c r="P67" s="3"/>
      <c r="Q67" s="3"/>
    </row>
    <row r="68" spans="1:17" x14ac:dyDescent="0.25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 t="s">
        <v>9</v>
      </c>
      <c r="N68">
        <v>10800</v>
      </c>
      <c r="O68" t="s">
        <v>11</v>
      </c>
      <c r="P68" s="4" t="s">
        <v>10</v>
      </c>
    </row>
    <row r="69" spans="1:17" x14ac:dyDescent="0.25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 t="s">
        <v>22</v>
      </c>
      <c r="N69">
        <v>5</v>
      </c>
      <c r="O69" t="s">
        <v>13</v>
      </c>
      <c r="P69" s="4" t="s">
        <v>12</v>
      </c>
    </row>
    <row r="70" spans="1:17" x14ac:dyDescent="0.25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6" t="s">
        <v>125</v>
      </c>
      <c r="N70">
        <v>2</v>
      </c>
      <c r="O70" t="s">
        <v>126</v>
      </c>
      <c r="P70" s="7"/>
    </row>
    <row r="71" spans="1:17" x14ac:dyDescent="0.25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 t="s">
        <v>23</v>
      </c>
      <c r="N71">
        <v>0.2</v>
      </c>
      <c r="O71" t="s">
        <v>15</v>
      </c>
      <c r="P71" s="4" t="s">
        <v>14</v>
      </c>
    </row>
    <row r="72" spans="1:17" x14ac:dyDescent="0.25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 t="s">
        <v>24</v>
      </c>
      <c r="N72">
        <v>3.5000000000000003E-2</v>
      </c>
      <c r="O72" t="s">
        <v>17</v>
      </c>
      <c r="P72" s="5" t="s">
        <v>16</v>
      </c>
    </row>
    <row r="73" spans="1:17" x14ac:dyDescent="0.25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6" t="s">
        <v>25</v>
      </c>
      <c r="N73">
        <v>250</v>
      </c>
      <c r="O73" t="s">
        <v>19</v>
      </c>
      <c r="P73" s="5" t="s">
        <v>18</v>
      </c>
    </row>
    <row r="74" spans="1:17" x14ac:dyDescent="0.25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20" t="s">
        <v>50</v>
      </c>
      <c r="N74" s="9">
        <v>1</v>
      </c>
      <c r="O74" s="9"/>
      <c r="P74" s="21" t="s">
        <v>53</v>
      </c>
    </row>
    <row r="75" spans="1:17" ht="18" x14ac:dyDescent="0.35">
      <c r="B75" s="4"/>
      <c r="C75" s="4"/>
      <c r="D75" s="4"/>
      <c r="E75" s="4"/>
      <c r="F75" s="4"/>
      <c r="G75" s="4"/>
      <c r="H75" s="4" t="s">
        <v>252</v>
      </c>
      <c r="I75" s="4"/>
      <c r="J75" s="4"/>
      <c r="K75" s="4"/>
      <c r="L75" s="4"/>
      <c r="M75" s="6" t="s">
        <v>50</v>
      </c>
      <c r="N75">
        <v>0.26</v>
      </c>
      <c r="P75" s="5" t="s">
        <v>51</v>
      </c>
    </row>
    <row r="76" spans="1:17" ht="18" x14ac:dyDescent="0.35">
      <c r="B76" s="4"/>
      <c r="C76" s="4"/>
      <c r="D76" s="4"/>
      <c r="E76" s="4"/>
      <c r="F76" s="4"/>
      <c r="G76" s="4"/>
      <c r="H76" s="4" t="s">
        <v>326</v>
      </c>
      <c r="I76" s="4"/>
      <c r="J76" s="4"/>
      <c r="K76" s="4"/>
      <c r="L76" s="4"/>
      <c r="M76" s="6" t="s">
        <v>50</v>
      </c>
      <c r="N76">
        <v>0.26</v>
      </c>
      <c r="P76" s="5" t="s">
        <v>51</v>
      </c>
    </row>
    <row r="77" spans="1:17" ht="18" x14ac:dyDescent="0.35">
      <c r="B77" s="4"/>
      <c r="C77" s="4"/>
      <c r="D77" s="4"/>
      <c r="E77" s="4"/>
      <c r="F77" s="4"/>
      <c r="G77" s="4"/>
      <c r="H77" s="4" t="s">
        <v>327</v>
      </c>
      <c r="I77" s="4"/>
      <c r="J77" s="4"/>
      <c r="K77" s="4"/>
      <c r="L77" s="4"/>
      <c r="M77" s="6" t="s">
        <v>50</v>
      </c>
      <c r="N77">
        <v>0.45</v>
      </c>
      <c r="P77" s="5" t="s">
        <v>51</v>
      </c>
    </row>
    <row r="78" spans="1:17" ht="18" x14ac:dyDescent="0.35">
      <c r="B78" s="4"/>
      <c r="C78" s="4"/>
      <c r="D78" s="4"/>
      <c r="E78" s="4"/>
      <c r="F78" s="4"/>
      <c r="G78" s="4"/>
      <c r="H78" s="6" t="s">
        <v>328</v>
      </c>
      <c r="I78" s="6"/>
      <c r="J78" s="6"/>
      <c r="K78" s="6"/>
      <c r="L78" s="6"/>
      <c r="M78" s="6" t="s">
        <v>50</v>
      </c>
      <c r="N78">
        <v>0.76</v>
      </c>
      <c r="P78" s="5" t="s">
        <v>51</v>
      </c>
    </row>
    <row r="79" spans="1:17" x14ac:dyDescent="0.25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6" t="s">
        <v>27</v>
      </c>
      <c r="N79">
        <v>4</v>
      </c>
      <c r="O79" t="s">
        <v>21</v>
      </c>
      <c r="P79" s="7" t="s">
        <v>20</v>
      </c>
    </row>
    <row r="81" spans="1:21" x14ac:dyDescent="0.25">
      <c r="A81" s="2" t="s">
        <v>8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21" x14ac:dyDescent="0.25">
      <c r="M82" t="s">
        <v>127</v>
      </c>
      <c r="N82">
        <v>4</v>
      </c>
      <c r="O82" t="s">
        <v>29</v>
      </c>
      <c r="P82" t="s">
        <v>28</v>
      </c>
      <c r="U82" s="6"/>
    </row>
    <row r="83" spans="1:21" ht="18" x14ac:dyDescent="0.35">
      <c r="M83" t="s">
        <v>45</v>
      </c>
      <c r="N83">
        <v>0.9</v>
      </c>
      <c r="P83" t="s">
        <v>30</v>
      </c>
      <c r="U83" s="6"/>
    </row>
    <row r="84" spans="1:21" ht="18" x14ac:dyDescent="0.35">
      <c r="M84" t="s">
        <v>38</v>
      </c>
      <c r="N84">
        <v>1.2250000000000001</v>
      </c>
      <c r="O84" t="s">
        <v>32</v>
      </c>
      <c r="P84" t="s">
        <v>31</v>
      </c>
      <c r="U84" s="6"/>
    </row>
    <row r="85" spans="1:21" ht="18" x14ac:dyDescent="0.35">
      <c r="M85" t="s">
        <v>39</v>
      </c>
      <c r="N85">
        <v>0.1</v>
      </c>
      <c r="P85" t="s">
        <v>33</v>
      </c>
      <c r="U85" s="6"/>
    </row>
    <row r="86" spans="1:21" ht="18" x14ac:dyDescent="0.35">
      <c r="M86" t="s">
        <v>40</v>
      </c>
      <c r="N86">
        <v>0.01</v>
      </c>
      <c r="P86" t="s">
        <v>34</v>
      </c>
    </row>
    <row r="87" spans="1:21" x14ac:dyDescent="0.25">
      <c r="M87" t="s">
        <v>41</v>
      </c>
      <c r="N87">
        <v>0.2</v>
      </c>
      <c r="P87" t="s">
        <v>35</v>
      </c>
    </row>
    <row r="88" spans="1:21" ht="18" x14ac:dyDescent="0.35">
      <c r="M88" t="s">
        <v>42</v>
      </c>
      <c r="N88">
        <v>0.8</v>
      </c>
      <c r="P88" t="s">
        <v>36</v>
      </c>
    </row>
    <row r="89" spans="1:21" ht="18" x14ac:dyDescent="0.35">
      <c r="M89" t="s">
        <v>43</v>
      </c>
      <c r="N89">
        <v>55</v>
      </c>
      <c r="P89" t="s">
        <v>37</v>
      </c>
      <c r="T89" s="4"/>
    </row>
    <row r="91" spans="1:21" x14ac:dyDescent="0.25">
      <c r="A91" s="1" t="s">
        <v>46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</row>
    <row r="92" spans="1:21" x14ac:dyDescent="0.25">
      <c r="M92" s="9" t="s">
        <v>76</v>
      </c>
      <c r="N92" s="9">
        <v>0</v>
      </c>
      <c r="O92" s="9" t="s">
        <v>85</v>
      </c>
      <c r="P92" s="9"/>
    </row>
    <row r="93" spans="1:21" x14ac:dyDescent="0.25">
      <c r="M93" s="9" t="s">
        <v>77</v>
      </c>
      <c r="N93" s="9">
        <v>0</v>
      </c>
      <c r="O93" s="9" t="s">
        <v>85</v>
      </c>
      <c r="P93" s="9"/>
    </row>
    <row r="94" spans="1:21" x14ac:dyDescent="0.25">
      <c r="M94" s="9" t="s">
        <v>78</v>
      </c>
      <c r="N94" s="9">
        <v>0</v>
      </c>
      <c r="O94" s="9" t="s">
        <v>85</v>
      </c>
      <c r="P94" s="9"/>
    </row>
    <row r="95" spans="1:21" x14ac:dyDescent="0.25">
      <c r="M95" s="9" t="s">
        <v>75</v>
      </c>
      <c r="N95" s="9">
        <v>0</v>
      </c>
      <c r="O95" s="9" t="s">
        <v>86</v>
      </c>
      <c r="P95" s="9"/>
    </row>
    <row r="96" spans="1:21" x14ac:dyDescent="0.25">
      <c r="M96" s="9" t="s">
        <v>92</v>
      </c>
      <c r="N96" s="9">
        <v>0</v>
      </c>
      <c r="O96" s="9" t="s">
        <v>93</v>
      </c>
      <c r="P96" s="9"/>
    </row>
    <row r="97" spans="9:17" x14ac:dyDescent="0.25">
      <c r="M97" s="9" t="s">
        <v>79</v>
      </c>
      <c r="N97" s="9">
        <v>1</v>
      </c>
      <c r="O97" s="9" t="s">
        <v>87</v>
      </c>
      <c r="P97" s="9" t="s">
        <v>80</v>
      </c>
    </row>
    <row r="98" spans="9:17" x14ac:dyDescent="0.25">
      <c r="M98" s="9" t="s">
        <v>54</v>
      </c>
      <c r="N98" s="9">
        <v>0</v>
      </c>
      <c r="O98" s="9" t="s">
        <v>56</v>
      </c>
      <c r="P98" s="9"/>
    </row>
    <row r="99" spans="9:17" x14ac:dyDescent="0.25">
      <c r="M99" s="9" t="s">
        <v>55</v>
      </c>
      <c r="N99" s="9">
        <v>0</v>
      </c>
      <c r="O99" s="9" t="s">
        <v>57</v>
      </c>
      <c r="P99" s="9"/>
    </row>
    <row r="100" spans="9:17" x14ac:dyDescent="0.25">
      <c r="M100" s="9" t="s">
        <v>134</v>
      </c>
      <c r="N100" s="9">
        <v>0</v>
      </c>
      <c r="O100" s="9" t="s">
        <v>334</v>
      </c>
      <c r="P100" s="9"/>
    </row>
    <row r="101" spans="9:17" x14ac:dyDescent="0.25">
      <c r="M101" s="9" t="s">
        <v>58</v>
      </c>
      <c r="N101" s="9">
        <v>0</v>
      </c>
      <c r="O101" s="9" t="s">
        <v>59</v>
      </c>
      <c r="P101" s="9"/>
    </row>
    <row r="102" spans="9:17" x14ac:dyDescent="0.25">
      <c r="M102" s="9"/>
      <c r="N102" s="9"/>
      <c r="O102" s="9"/>
      <c r="P102" s="9"/>
    </row>
    <row r="103" spans="9:17" x14ac:dyDescent="0.25">
      <c r="I103" t="s">
        <v>60</v>
      </c>
      <c r="M103" s="10" t="s">
        <v>76</v>
      </c>
      <c r="N103" s="10">
        <v>364</v>
      </c>
      <c r="O103" s="10"/>
      <c r="P103" s="10" t="s">
        <v>84</v>
      </c>
      <c r="Q103" s="10"/>
    </row>
    <row r="104" spans="9:17" x14ac:dyDescent="0.25">
      <c r="I104" t="s">
        <v>60</v>
      </c>
      <c r="M104" s="10" t="s">
        <v>77</v>
      </c>
      <c r="N104" s="10">
        <v>18.8</v>
      </c>
      <c r="O104" s="10"/>
      <c r="P104" s="10"/>
      <c r="Q104" s="10"/>
    </row>
    <row r="105" spans="9:17" x14ac:dyDescent="0.25">
      <c r="I105" t="s">
        <v>60</v>
      </c>
      <c r="M105" s="10" t="s">
        <v>78</v>
      </c>
      <c r="N105" s="10">
        <v>0</v>
      </c>
      <c r="O105" s="10"/>
      <c r="P105" s="10"/>
      <c r="Q105" s="10"/>
    </row>
    <row r="106" spans="9:17" x14ac:dyDescent="0.25">
      <c r="I106" t="s">
        <v>60</v>
      </c>
      <c r="M106" s="10" t="s">
        <v>75</v>
      </c>
      <c r="N106" s="10">
        <v>10</v>
      </c>
      <c r="O106" s="10"/>
      <c r="P106" s="10"/>
      <c r="Q106" s="10"/>
    </row>
    <row r="107" spans="9:17" x14ac:dyDescent="0.25">
      <c r="I107" t="s">
        <v>60</v>
      </c>
      <c r="J107" t="s">
        <v>74</v>
      </c>
      <c r="M107" s="10" t="s">
        <v>79</v>
      </c>
      <c r="N107" s="12">
        <v>1</v>
      </c>
      <c r="O107" s="10"/>
      <c r="P107" s="10"/>
      <c r="Q107" s="10"/>
    </row>
    <row r="108" spans="9:17" x14ac:dyDescent="0.25">
      <c r="I108" t="s">
        <v>60</v>
      </c>
      <c r="J108" t="s">
        <v>73</v>
      </c>
      <c r="M108" s="10" t="s">
        <v>79</v>
      </c>
      <c r="N108" s="10">
        <v>0.88</v>
      </c>
      <c r="O108" s="10"/>
      <c r="P108" s="10"/>
      <c r="Q108" s="10"/>
    </row>
    <row r="109" spans="9:17" x14ac:dyDescent="0.25">
      <c r="I109" t="s">
        <v>60</v>
      </c>
      <c r="J109" t="s">
        <v>72</v>
      </c>
      <c r="M109" s="10" t="s">
        <v>79</v>
      </c>
      <c r="N109" s="10">
        <v>0.78</v>
      </c>
      <c r="O109" s="10"/>
      <c r="P109" s="10"/>
      <c r="Q109" s="10"/>
    </row>
    <row r="110" spans="9:17" x14ac:dyDescent="0.25">
      <c r="M110" s="10"/>
      <c r="N110" s="10"/>
      <c r="O110" s="10"/>
      <c r="P110" s="10"/>
      <c r="Q110" s="10"/>
    </row>
    <row r="111" spans="9:17" x14ac:dyDescent="0.25">
      <c r="I111" t="s">
        <v>63</v>
      </c>
      <c r="M111" s="10" t="s">
        <v>76</v>
      </c>
      <c r="N111" s="10">
        <v>652</v>
      </c>
      <c r="O111" s="10"/>
      <c r="P111" s="10" t="s">
        <v>82</v>
      </c>
      <c r="Q111" s="10"/>
    </row>
    <row r="112" spans="9:17" x14ac:dyDescent="0.25">
      <c r="I112" t="s">
        <v>63</v>
      </c>
      <c r="M112" s="10" t="s">
        <v>77</v>
      </c>
      <c r="N112" s="10">
        <v>0</v>
      </c>
      <c r="O112" s="10"/>
      <c r="P112" s="10"/>
      <c r="Q112" s="10"/>
    </row>
    <row r="113" spans="9:17" x14ac:dyDescent="0.25">
      <c r="I113" t="s">
        <v>63</v>
      </c>
      <c r="M113" s="10" t="s">
        <v>78</v>
      </c>
      <c r="N113" s="10">
        <v>5.0999999999999996</v>
      </c>
      <c r="O113" s="10"/>
      <c r="P113" s="10"/>
      <c r="Q113" s="10"/>
    </row>
    <row r="114" spans="9:17" x14ac:dyDescent="0.25">
      <c r="I114" t="s">
        <v>63</v>
      </c>
      <c r="M114" s="10" t="s">
        <v>75</v>
      </c>
      <c r="N114" s="10">
        <v>20</v>
      </c>
      <c r="O114" s="10"/>
      <c r="P114" s="10"/>
      <c r="Q114" s="10"/>
    </row>
    <row r="115" spans="9:17" x14ac:dyDescent="0.25">
      <c r="I115" t="s">
        <v>63</v>
      </c>
      <c r="J115" t="s">
        <v>74</v>
      </c>
      <c r="M115" s="10" t="s">
        <v>79</v>
      </c>
      <c r="N115" s="12">
        <v>1</v>
      </c>
      <c r="O115" s="10"/>
      <c r="P115" s="10"/>
      <c r="Q115" s="10"/>
    </row>
    <row r="116" spans="9:17" x14ac:dyDescent="0.25">
      <c r="I116" t="s">
        <v>63</v>
      </c>
      <c r="J116" t="s">
        <v>73</v>
      </c>
      <c r="M116" s="10" t="s">
        <v>79</v>
      </c>
      <c r="N116" s="12">
        <v>0.7</v>
      </c>
      <c r="O116" s="10"/>
      <c r="P116" s="10"/>
      <c r="Q116" s="10"/>
    </row>
    <row r="117" spans="9:17" x14ac:dyDescent="0.25">
      <c r="I117" t="s">
        <v>63</v>
      </c>
      <c r="J117" t="s">
        <v>72</v>
      </c>
      <c r="M117" s="10" t="s">
        <v>79</v>
      </c>
      <c r="N117" s="10">
        <v>0.45</v>
      </c>
      <c r="O117" s="10"/>
      <c r="P117" s="10"/>
      <c r="Q117" s="10"/>
    </row>
    <row r="118" spans="9:17" x14ac:dyDescent="0.25">
      <c r="M118" s="10"/>
      <c r="N118" s="10"/>
      <c r="O118" s="10"/>
      <c r="P118" s="10"/>
      <c r="Q118" s="10"/>
    </row>
    <row r="119" spans="9:17" x14ac:dyDescent="0.25">
      <c r="I119" t="s">
        <v>62</v>
      </c>
      <c r="M119" s="10" t="s">
        <v>76</v>
      </c>
      <c r="N119" s="10">
        <v>46</v>
      </c>
      <c r="O119" s="10"/>
      <c r="P119" s="10" t="s">
        <v>83</v>
      </c>
      <c r="Q119" s="10"/>
    </row>
    <row r="120" spans="9:17" x14ac:dyDescent="0.25">
      <c r="I120" t="s">
        <v>62</v>
      </c>
      <c r="M120" s="10" t="s">
        <v>77</v>
      </c>
      <c r="N120" s="10">
        <v>2.8</v>
      </c>
      <c r="O120" s="10"/>
      <c r="P120" s="10"/>
      <c r="Q120" s="10"/>
    </row>
    <row r="121" spans="9:17" x14ac:dyDescent="0.25">
      <c r="I121" t="s">
        <v>62</v>
      </c>
      <c r="M121" s="10" t="s">
        <v>78</v>
      </c>
      <c r="N121" s="10">
        <v>0</v>
      </c>
      <c r="O121" s="10"/>
      <c r="P121" s="10"/>
      <c r="Q121" s="10"/>
    </row>
    <row r="122" spans="9:17" x14ac:dyDescent="0.25">
      <c r="I122" t="s">
        <v>62</v>
      </c>
      <c r="M122" s="10" t="s">
        <v>75</v>
      </c>
      <c r="N122" s="10">
        <v>5</v>
      </c>
      <c r="O122" s="10"/>
      <c r="P122" s="10"/>
      <c r="Q122" s="10"/>
    </row>
    <row r="123" spans="9:17" x14ac:dyDescent="0.25">
      <c r="I123" t="s">
        <v>62</v>
      </c>
      <c r="J123" t="s">
        <v>74</v>
      </c>
      <c r="M123" s="10" t="s">
        <v>79</v>
      </c>
      <c r="N123" s="12">
        <v>1</v>
      </c>
      <c r="O123" s="10"/>
      <c r="P123" s="10"/>
      <c r="Q123" s="10"/>
    </row>
    <row r="124" spans="9:17" x14ac:dyDescent="0.25">
      <c r="I124" t="s">
        <v>62</v>
      </c>
      <c r="J124" t="s">
        <v>73</v>
      </c>
      <c r="M124" s="10" t="s">
        <v>79</v>
      </c>
      <c r="N124" s="10">
        <v>0.85</v>
      </c>
      <c r="O124" s="10"/>
      <c r="P124" s="10"/>
      <c r="Q124" s="10"/>
    </row>
    <row r="125" spans="9:17" x14ac:dyDescent="0.25">
      <c r="I125" t="s">
        <v>62</v>
      </c>
      <c r="J125" t="s">
        <v>72</v>
      </c>
      <c r="M125" s="10" t="s">
        <v>79</v>
      </c>
      <c r="N125" s="10">
        <v>0.65</v>
      </c>
      <c r="O125" s="10"/>
      <c r="P125" s="10"/>
      <c r="Q125" s="10"/>
    </row>
    <row r="126" spans="9:17" x14ac:dyDescent="0.25">
      <c r="M126" s="10"/>
      <c r="N126" s="10"/>
      <c r="O126" s="10"/>
      <c r="P126" s="10"/>
      <c r="Q126" s="10"/>
    </row>
    <row r="127" spans="9:17" x14ac:dyDescent="0.25">
      <c r="I127" t="s">
        <v>65</v>
      </c>
      <c r="M127" s="10" t="s">
        <v>92</v>
      </c>
      <c r="N127" s="12">
        <v>5.0999999999999996</v>
      </c>
      <c r="O127" s="10"/>
      <c r="P127" s="6" t="s">
        <v>94</v>
      </c>
      <c r="Q127" s="4" t="s">
        <v>96</v>
      </c>
    </row>
    <row r="128" spans="9:17" x14ac:dyDescent="0.25">
      <c r="I128" t="s">
        <v>66</v>
      </c>
      <c r="M128" s="10" t="s">
        <v>92</v>
      </c>
      <c r="N128" s="12">
        <v>7.1</v>
      </c>
      <c r="O128" s="10"/>
      <c r="P128" s="6" t="s">
        <v>95</v>
      </c>
      <c r="Q128" s="4" t="s">
        <v>96</v>
      </c>
    </row>
    <row r="129" spans="2:17" x14ac:dyDescent="0.25">
      <c r="M129" s="10"/>
      <c r="N129" s="10"/>
      <c r="O129" s="10"/>
      <c r="P129" s="10"/>
      <c r="Q129" s="10"/>
    </row>
    <row r="130" spans="2:17" x14ac:dyDescent="0.25">
      <c r="I130" t="s">
        <v>61</v>
      </c>
      <c r="M130" s="10" t="s">
        <v>54</v>
      </c>
      <c r="N130" s="12">
        <v>3.7353333333333332</v>
      </c>
      <c r="O130" s="10"/>
      <c r="P130" s="10" t="s">
        <v>88</v>
      </c>
      <c r="Q130" s="6" t="s">
        <v>89</v>
      </c>
    </row>
    <row r="131" spans="2:17" x14ac:dyDescent="0.25">
      <c r="I131" t="s">
        <v>64</v>
      </c>
      <c r="M131" s="10" t="s">
        <v>54</v>
      </c>
      <c r="N131" s="11">
        <v>17.096931944444446</v>
      </c>
      <c r="O131" s="10"/>
      <c r="P131" s="6" t="s">
        <v>90</v>
      </c>
      <c r="Q131" s="4" t="s">
        <v>91</v>
      </c>
    </row>
    <row r="132" spans="2:17" x14ac:dyDescent="0.25">
      <c r="I132" t="s">
        <v>67</v>
      </c>
      <c r="M132" s="10" t="s">
        <v>54</v>
      </c>
      <c r="N132" s="12">
        <v>1.2451111111111113</v>
      </c>
      <c r="O132" s="10"/>
      <c r="P132" s="6" t="s">
        <v>47</v>
      </c>
      <c r="Q132" s="10" t="s">
        <v>89</v>
      </c>
    </row>
    <row r="133" spans="2:17" x14ac:dyDescent="0.25">
      <c r="I133" t="s">
        <v>68</v>
      </c>
      <c r="M133" s="10" t="s">
        <v>54</v>
      </c>
      <c r="N133" s="12">
        <v>3.1127777777777781</v>
      </c>
      <c r="O133" s="10"/>
      <c r="P133" s="6" t="s">
        <v>48</v>
      </c>
      <c r="Q133" s="10" t="s">
        <v>89</v>
      </c>
    </row>
    <row r="134" spans="2:17" x14ac:dyDescent="0.25">
      <c r="I134" t="s">
        <v>97</v>
      </c>
      <c r="M134" s="10" t="s">
        <v>54</v>
      </c>
      <c r="N134" s="12">
        <v>4.6691666666666665</v>
      </c>
      <c r="O134" s="10"/>
      <c r="P134" s="4" t="s">
        <v>98</v>
      </c>
      <c r="Q134" s="10" t="s">
        <v>89</v>
      </c>
    </row>
    <row r="135" spans="2:17" x14ac:dyDescent="0.25">
      <c r="I135" t="s">
        <v>69</v>
      </c>
      <c r="M135" s="10" t="s">
        <v>54</v>
      </c>
      <c r="N135" s="12">
        <v>3.1127777777777781</v>
      </c>
      <c r="O135" s="10"/>
      <c r="P135" s="4" t="s">
        <v>99</v>
      </c>
      <c r="Q135" s="6" t="s">
        <v>89</v>
      </c>
    </row>
    <row r="136" spans="2:17" x14ac:dyDescent="0.25">
      <c r="I136" t="s">
        <v>70</v>
      </c>
      <c r="M136" s="10" t="s">
        <v>54</v>
      </c>
      <c r="N136" s="11">
        <v>11.828555555555555</v>
      </c>
      <c r="O136" s="10"/>
      <c r="P136" s="4" t="s">
        <v>103</v>
      </c>
      <c r="Q136" s="10" t="s">
        <v>89</v>
      </c>
    </row>
    <row r="137" spans="2:17" x14ac:dyDescent="0.25">
      <c r="I137" t="s">
        <v>100</v>
      </c>
      <c r="M137" s="10" t="s">
        <v>54</v>
      </c>
      <c r="N137" s="11">
        <v>26.302972222222223</v>
      </c>
      <c r="O137" s="10"/>
      <c r="P137" s="6" t="s">
        <v>104</v>
      </c>
      <c r="Q137" s="10" t="s">
        <v>91</v>
      </c>
    </row>
    <row r="138" spans="2:17" x14ac:dyDescent="0.25">
      <c r="I138" t="s">
        <v>101</v>
      </c>
      <c r="M138" s="10" t="s">
        <v>54</v>
      </c>
      <c r="N138" s="11">
        <v>11.3</v>
      </c>
      <c r="O138" s="10"/>
      <c r="P138" s="6" t="s">
        <v>106</v>
      </c>
      <c r="Q138" s="10" t="s">
        <v>107</v>
      </c>
    </row>
    <row r="139" spans="2:17" x14ac:dyDescent="0.25">
      <c r="I139" t="s">
        <v>102</v>
      </c>
      <c r="M139" s="10" t="s">
        <v>54</v>
      </c>
      <c r="N139" s="11">
        <v>23.278130416666666</v>
      </c>
      <c r="O139" s="10"/>
      <c r="P139" s="6" t="s">
        <v>105</v>
      </c>
      <c r="Q139" s="10" t="s">
        <v>107</v>
      </c>
    </row>
    <row r="140" spans="2:17" x14ac:dyDescent="0.25">
      <c r="I140" t="s">
        <v>71</v>
      </c>
      <c r="M140" s="10" t="s">
        <v>54</v>
      </c>
      <c r="N140" s="10">
        <v>13.15</v>
      </c>
      <c r="O140" s="10"/>
      <c r="P140" s="10" t="s">
        <v>109</v>
      </c>
      <c r="Q140" s="10" t="s">
        <v>108</v>
      </c>
    </row>
    <row r="141" spans="2:17" x14ac:dyDescent="0.25">
      <c r="I141" t="s">
        <v>71</v>
      </c>
      <c r="M141" s="10" t="s">
        <v>55</v>
      </c>
      <c r="N141" s="10">
        <v>5.26</v>
      </c>
      <c r="O141" s="10"/>
      <c r="P141" s="10" t="s">
        <v>109</v>
      </c>
      <c r="Q141" s="10" t="s">
        <v>108</v>
      </c>
    </row>
    <row r="142" spans="2:17" x14ac:dyDescent="0.25">
      <c r="B142" t="s">
        <v>110</v>
      </c>
      <c r="I142" t="s">
        <v>71</v>
      </c>
      <c r="M142" s="10" t="s">
        <v>55</v>
      </c>
      <c r="N142" s="12">
        <v>1.7546281240590185</v>
      </c>
      <c r="O142" s="10"/>
      <c r="P142" s="10" t="s">
        <v>111</v>
      </c>
      <c r="Q142" s="4" t="s">
        <v>112</v>
      </c>
    </row>
    <row r="143" spans="2:17" x14ac:dyDescent="0.25">
      <c r="B143" t="s">
        <v>113</v>
      </c>
      <c r="I143" t="s">
        <v>71</v>
      </c>
      <c r="M143" s="10" t="s">
        <v>55</v>
      </c>
      <c r="N143" s="12">
        <v>5.1828516694033944</v>
      </c>
      <c r="O143" s="10"/>
      <c r="P143" s="6" t="s">
        <v>115</v>
      </c>
      <c r="Q143" s="4" t="s">
        <v>112</v>
      </c>
    </row>
    <row r="144" spans="2:17" x14ac:dyDescent="0.25">
      <c r="B144" t="s">
        <v>114</v>
      </c>
      <c r="I144" t="s">
        <v>71</v>
      </c>
      <c r="M144" s="10" t="s">
        <v>55</v>
      </c>
      <c r="N144" s="13">
        <v>4.0531064740502947</v>
      </c>
      <c r="P144" s="6" t="s">
        <v>116</v>
      </c>
      <c r="Q144" s="4" t="s">
        <v>112</v>
      </c>
    </row>
    <row r="145" spans="1:17" x14ac:dyDescent="0.25">
      <c r="B145" t="s">
        <v>118</v>
      </c>
      <c r="I145" t="s">
        <v>71</v>
      </c>
      <c r="M145" s="10" t="s">
        <v>55</v>
      </c>
      <c r="N145" s="13">
        <v>4.3591310772039646</v>
      </c>
      <c r="P145" s="6" t="s">
        <v>117</v>
      </c>
      <c r="Q145" s="6" t="s">
        <v>107</v>
      </c>
    </row>
    <row r="146" spans="1:17" x14ac:dyDescent="0.25">
      <c r="M146" s="10"/>
      <c r="N146" s="13"/>
      <c r="P146" s="6"/>
      <c r="Q146" s="6"/>
    </row>
    <row r="147" spans="1:17" x14ac:dyDescent="0.25">
      <c r="I147" t="s">
        <v>120</v>
      </c>
      <c r="M147" s="10" t="s">
        <v>54</v>
      </c>
      <c r="N147" s="13">
        <v>14.6</v>
      </c>
      <c r="P147" s="6"/>
      <c r="Q147" s="4" t="s">
        <v>119</v>
      </c>
    </row>
    <row r="148" spans="1:17" x14ac:dyDescent="0.25">
      <c r="I148" t="s">
        <v>124</v>
      </c>
      <c r="K148" t="s">
        <v>121</v>
      </c>
      <c r="M148" s="10" t="s">
        <v>54</v>
      </c>
      <c r="N148" s="13">
        <v>37.744765138888887</v>
      </c>
      <c r="P148" s="6"/>
      <c r="Q148" s="6" t="s">
        <v>91</v>
      </c>
    </row>
    <row r="149" spans="1:17" x14ac:dyDescent="0.25">
      <c r="I149" t="s">
        <v>124</v>
      </c>
      <c r="K149" t="s">
        <v>122</v>
      </c>
      <c r="M149" s="10" t="s">
        <v>54</v>
      </c>
      <c r="N149" s="13">
        <v>50.107162083333336</v>
      </c>
      <c r="P149" s="6"/>
      <c r="Q149" s="6" t="s">
        <v>91</v>
      </c>
    </row>
    <row r="150" spans="1:17" x14ac:dyDescent="0.25">
      <c r="I150" t="s">
        <v>124</v>
      </c>
      <c r="K150" t="s">
        <v>123</v>
      </c>
      <c r="M150" s="10" t="s">
        <v>54</v>
      </c>
      <c r="N150" s="13">
        <v>36.955675972222224</v>
      </c>
      <c r="P150" s="6"/>
      <c r="Q150" s="6" t="s">
        <v>91</v>
      </c>
    </row>
    <row r="151" spans="1:17" x14ac:dyDescent="0.25">
      <c r="M151" s="10"/>
      <c r="N151" s="13"/>
      <c r="P151" s="6"/>
      <c r="Q151" s="6"/>
    </row>
    <row r="152" spans="1:17" x14ac:dyDescent="0.25">
      <c r="I152" t="s">
        <v>131</v>
      </c>
      <c r="M152" s="10" t="s">
        <v>55</v>
      </c>
      <c r="N152" s="13">
        <v>1.6176327916666666</v>
      </c>
      <c r="O152" t="s">
        <v>57</v>
      </c>
      <c r="P152" s="6" t="s">
        <v>135</v>
      </c>
      <c r="Q152" s="4" t="s">
        <v>91</v>
      </c>
    </row>
    <row r="153" spans="1:17" x14ac:dyDescent="0.25">
      <c r="I153" t="s">
        <v>132</v>
      </c>
      <c r="M153" s="10" t="s">
        <v>134</v>
      </c>
      <c r="N153" s="13">
        <f>3.07744775/0.85</f>
        <v>3.6205267647058825</v>
      </c>
      <c r="O153" t="s">
        <v>334</v>
      </c>
      <c r="P153" s="6" t="s">
        <v>335</v>
      </c>
      <c r="Q153" s="4" t="s">
        <v>91</v>
      </c>
    </row>
    <row r="154" spans="1:17" x14ac:dyDescent="0.25">
      <c r="I154" t="s">
        <v>133</v>
      </c>
      <c r="M154" s="10" t="s">
        <v>58</v>
      </c>
      <c r="N154" s="13">
        <v>0.25</v>
      </c>
      <c r="O154" t="s">
        <v>59</v>
      </c>
      <c r="P154" s="6" t="s">
        <v>136</v>
      </c>
      <c r="Q154" s="4" t="s">
        <v>112</v>
      </c>
    </row>
    <row r="156" spans="1:17" x14ac:dyDescent="0.25">
      <c r="A156" s="1" t="s">
        <v>81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8"/>
      <c r="N156" s="8"/>
      <c r="O156" s="8"/>
      <c r="P156" s="8"/>
      <c r="Q156" s="8"/>
    </row>
    <row r="157" spans="1:17" x14ac:dyDescent="0.25">
      <c r="M157" s="9" t="s">
        <v>49</v>
      </c>
      <c r="N157" s="9">
        <v>0</v>
      </c>
      <c r="P157" s="9" t="s">
        <v>53</v>
      </c>
    </row>
    <row r="158" spans="1:17" x14ac:dyDescent="0.25">
      <c r="M158" t="s">
        <v>49</v>
      </c>
      <c r="N158" t="s">
        <v>174</v>
      </c>
    </row>
    <row r="160" spans="1:17" x14ac:dyDescent="0.25">
      <c r="A160" s="1" t="s">
        <v>356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8"/>
      <c r="N160" s="8"/>
      <c r="O160" s="8"/>
      <c r="P160" s="8"/>
      <c r="Q160" s="8"/>
    </row>
    <row r="162" spans="3:17" x14ac:dyDescent="0.25">
      <c r="M162" s="9" t="s">
        <v>336</v>
      </c>
      <c r="N162" s="9">
        <v>100</v>
      </c>
      <c r="O162" s="9" t="s">
        <v>128</v>
      </c>
      <c r="P162" s="9" t="s">
        <v>53</v>
      </c>
    </row>
    <row r="163" spans="3:17" x14ac:dyDescent="0.25">
      <c r="H163" s="6" t="s">
        <v>330</v>
      </c>
      <c r="M163" t="s">
        <v>336</v>
      </c>
      <c r="N163">
        <v>88</v>
      </c>
      <c r="O163" t="s">
        <v>128</v>
      </c>
      <c r="P163" t="s">
        <v>337</v>
      </c>
      <c r="Q163" t="s">
        <v>350</v>
      </c>
    </row>
    <row r="164" spans="3:17" x14ac:dyDescent="0.25">
      <c r="H164" s="6" t="s">
        <v>329</v>
      </c>
      <c r="M164" t="s">
        <v>336</v>
      </c>
      <c r="N164">
        <v>90</v>
      </c>
      <c r="O164" t="s">
        <v>128</v>
      </c>
      <c r="Q164" t="s">
        <v>350</v>
      </c>
    </row>
    <row r="165" spans="3:17" x14ac:dyDescent="0.25">
      <c r="H165" s="6"/>
    </row>
    <row r="166" spans="3:17" x14ac:dyDescent="0.25">
      <c r="H166" s="6"/>
      <c r="M166" t="s">
        <v>347</v>
      </c>
      <c r="N166">
        <v>1.6E-2</v>
      </c>
      <c r="O166" t="s">
        <v>229</v>
      </c>
      <c r="P166" t="s">
        <v>355</v>
      </c>
      <c r="Q166" t="s">
        <v>354</v>
      </c>
    </row>
    <row r="167" spans="3:17" x14ac:dyDescent="0.25">
      <c r="H167" s="6"/>
    </row>
    <row r="168" spans="3:17" x14ac:dyDescent="0.25">
      <c r="M168" t="s">
        <v>357</v>
      </c>
      <c r="N168" s="13">
        <f>0.16*10.36*0.9</f>
        <v>1.4918400000000001</v>
      </c>
      <c r="O168" t="s">
        <v>351</v>
      </c>
      <c r="P168" t="s">
        <v>352</v>
      </c>
      <c r="Q168" t="s">
        <v>353</v>
      </c>
    </row>
    <row r="171" spans="3:17" x14ac:dyDescent="0.25">
      <c r="M171" s="9" t="s">
        <v>338</v>
      </c>
      <c r="N171" s="9">
        <v>-99</v>
      </c>
      <c r="O171" s="9"/>
      <c r="P171" s="9" t="s">
        <v>345</v>
      </c>
    </row>
    <row r="172" spans="3:17" x14ac:dyDescent="0.25">
      <c r="C172" t="s">
        <v>341</v>
      </c>
      <c r="M172" t="s">
        <v>338</v>
      </c>
      <c r="N172">
        <v>17</v>
      </c>
      <c r="O172" t="s">
        <v>128</v>
      </c>
      <c r="Q172" t="s">
        <v>358</v>
      </c>
    </row>
    <row r="173" spans="3:17" x14ac:dyDescent="0.25">
      <c r="C173" t="s">
        <v>342</v>
      </c>
      <c r="M173" t="s">
        <v>338</v>
      </c>
      <c r="N173">
        <v>17</v>
      </c>
      <c r="O173" t="s">
        <v>128</v>
      </c>
      <c r="Q173" t="s">
        <v>358</v>
      </c>
    </row>
    <row r="174" spans="3:17" x14ac:dyDescent="0.25">
      <c r="C174" t="s">
        <v>343</v>
      </c>
      <c r="M174" t="s">
        <v>338</v>
      </c>
      <c r="N174">
        <v>17</v>
      </c>
      <c r="O174" t="s">
        <v>128</v>
      </c>
      <c r="Q174" t="s">
        <v>358</v>
      </c>
    </row>
    <row r="175" spans="3:17" x14ac:dyDescent="0.25">
      <c r="C175" t="s">
        <v>344</v>
      </c>
      <c r="M175" t="s">
        <v>338</v>
      </c>
      <c r="N175">
        <v>14</v>
      </c>
      <c r="O175" t="s">
        <v>128</v>
      </c>
      <c r="Q175" t="s">
        <v>358</v>
      </c>
    </row>
    <row r="177" spans="1:17" x14ac:dyDescent="0.25">
      <c r="C177" t="s">
        <v>341</v>
      </c>
      <c r="M177" t="s">
        <v>339</v>
      </c>
      <c r="N177">
        <v>14</v>
      </c>
      <c r="O177" t="s">
        <v>128</v>
      </c>
      <c r="Q177" t="s">
        <v>346</v>
      </c>
    </row>
    <row r="178" spans="1:17" x14ac:dyDescent="0.25">
      <c r="C178" t="s">
        <v>342</v>
      </c>
      <c r="M178" t="s">
        <v>339</v>
      </c>
      <c r="N178">
        <v>14</v>
      </c>
      <c r="O178" t="s">
        <v>128</v>
      </c>
      <c r="Q178" t="s">
        <v>346</v>
      </c>
    </row>
    <row r="179" spans="1:17" x14ac:dyDescent="0.25">
      <c r="C179" t="s">
        <v>343</v>
      </c>
      <c r="M179" t="s">
        <v>339</v>
      </c>
      <c r="N179">
        <v>14</v>
      </c>
      <c r="O179" t="s">
        <v>128</v>
      </c>
      <c r="Q179" t="s">
        <v>346</v>
      </c>
    </row>
    <row r="180" spans="1:17" x14ac:dyDescent="0.25">
      <c r="C180" t="s">
        <v>344</v>
      </c>
      <c r="M180" t="s">
        <v>339</v>
      </c>
      <c r="N180">
        <v>9</v>
      </c>
      <c r="O180" t="s">
        <v>128</v>
      </c>
      <c r="Q180" t="s">
        <v>346</v>
      </c>
    </row>
    <row r="182" spans="1:17" x14ac:dyDescent="0.25">
      <c r="A182" s="1" t="s">
        <v>192</v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8"/>
      <c r="N182" s="8"/>
      <c r="O182" s="8"/>
      <c r="P182" s="8"/>
      <c r="Q182" s="8"/>
    </row>
    <row r="186" spans="1:17" x14ac:dyDescent="0.25">
      <c r="M186" s="9" t="s">
        <v>162</v>
      </c>
      <c r="N186" s="9">
        <v>0</v>
      </c>
      <c r="O186" s="9" t="s">
        <v>163</v>
      </c>
      <c r="P186" s="9" t="s">
        <v>53</v>
      </c>
    </row>
    <row r="187" spans="1:17" x14ac:dyDescent="0.25">
      <c r="B187" t="s">
        <v>155</v>
      </c>
      <c r="M187" t="s">
        <v>162</v>
      </c>
      <c r="N187">
        <v>302</v>
      </c>
      <c r="O187" t="s">
        <v>163</v>
      </c>
      <c r="P187" t="s">
        <v>164</v>
      </c>
      <c r="Q187" t="s">
        <v>167</v>
      </c>
    </row>
    <row r="188" spans="1:17" x14ac:dyDescent="0.25">
      <c r="B188" t="s">
        <v>156</v>
      </c>
      <c r="M188" t="s">
        <v>162</v>
      </c>
      <c r="N188">
        <v>197</v>
      </c>
      <c r="O188" t="s">
        <v>163</v>
      </c>
      <c r="P188" t="s">
        <v>165</v>
      </c>
      <c r="Q188" t="s">
        <v>168</v>
      </c>
    </row>
    <row r="189" spans="1:17" x14ac:dyDescent="0.25">
      <c r="B189" t="s">
        <v>157</v>
      </c>
      <c r="M189" t="s">
        <v>162</v>
      </c>
      <c r="N189">
        <v>216</v>
      </c>
      <c r="O189" t="s">
        <v>163</v>
      </c>
      <c r="P189" t="s">
        <v>166</v>
      </c>
      <c r="Q189" t="s">
        <v>169</v>
      </c>
    </row>
    <row r="190" spans="1:17" x14ac:dyDescent="0.25">
      <c r="B190" t="s">
        <v>158</v>
      </c>
      <c r="M190" t="s">
        <v>162</v>
      </c>
      <c r="N190">
        <v>216</v>
      </c>
      <c r="O190" t="s">
        <v>163</v>
      </c>
      <c r="P190" t="s">
        <v>166</v>
      </c>
    </row>
    <row r="191" spans="1:17" x14ac:dyDescent="0.25">
      <c r="B191" t="s">
        <v>159</v>
      </c>
      <c r="M191" t="s">
        <v>162</v>
      </c>
      <c r="N191">
        <v>216</v>
      </c>
      <c r="O191" t="s">
        <v>163</v>
      </c>
      <c r="P191" t="s">
        <v>166</v>
      </c>
    </row>
    <row r="192" spans="1:17" x14ac:dyDescent="0.25">
      <c r="B192" t="s">
        <v>160</v>
      </c>
      <c r="M192" t="s">
        <v>162</v>
      </c>
      <c r="N192">
        <v>216</v>
      </c>
      <c r="O192" t="s">
        <v>163</v>
      </c>
      <c r="P192" t="s">
        <v>166</v>
      </c>
    </row>
    <row r="193" spans="1:17" x14ac:dyDescent="0.25">
      <c r="B193" t="s">
        <v>161</v>
      </c>
      <c r="M193" t="s">
        <v>162</v>
      </c>
      <c r="N193">
        <v>216</v>
      </c>
      <c r="O193" t="s">
        <v>163</v>
      </c>
      <c r="P193" t="s">
        <v>166</v>
      </c>
    </row>
    <row r="195" spans="1:17" x14ac:dyDescent="0.25">
      <c r="A195" s="1" t="s">
        <v>196</v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8"/>
      <c r="N195" s="8"/>
      <c r="O195" s="8"/>
      <c r="P195" s="8"/>
      <c r="Q195" s="8"/>
    </row>
    <row r="196" spans="1:17" x14ac:dyDescent="0.25">
      <c r="M196" s="9" t="s">
        <v>226</v>
      </c>
      <c r="N196" s="9">
        <v>0</v>
      </c>
      <c r="O196" s="9" t="s">
        <v>315</v>
      </c>
      <c r="P196" s="9" t="s">
        <v>53</v>
      </c>
    </row>
    <row r="197" spans="1:17" x14ac:dyDescent="0.25">
      <c r="M197" s="9" t="s">
        <v>325</v>
      </c>
      <c r="N197" s="9">
        <v>0</v>
      </c>
      <c r="O197" s="9" t="s">
        <v>324</v>
      </c>
      <c r="P197" s="9" t="s">
        <v>53</v>
      </c>
    </row>
    <row r="198" spans="1:17" x14ac:dyDescent="0.25">
      <c r="M198" s="9" t="s">
        <v>228</v>
      </c>
      <c r="N198" s="9">
        <v>0</v>
      </c>
      <c r="O198" s="9" t="s">
        <v>229</v>
      </c>
      <c r="P198" s="9" t="s">
        <v>53</v>
      </c>
    </row>
    <row r="200" spans="1:17" x14ac:dyDescent="0.25">
      <c r="A200" t="s">
        <v>197</v>
      </c>
      <c r="D200" t="s">
        <v>195</v>
      </c>
      <c r="E200" t="s">
        <v>204</v>
      </c>
      <c r="F200" t="s">
        <v>205</v>
      </c>
      <c r="G200" t="s">
        <v>230</v>
      </c>
      <c r="M200" t="s">
        <v>228</v>
      </c>
      <c r="N200" s="25">
        <f>'energy stables'!E24</f>
        <v>3.5302245250431775E-2</v>
      </c>
      <c r="O200" t="s">
        <v>200</v>
      </c>
      <c r="P200" t="s">
        <v>214</v>
      </c>
      <c r="Q200" t="s">
        <v>233</v>
      </c>
    </row>
    <row r="201" spans="1:17" x14ac:dyDescent="0.25">
      <c r="A201" t="s">
        <v>201</v>
      </c>
      <c r="D201" t="s">
        <v>195</v>
      </c>
      <c r="E201" t="s">
        <v>204</v>
      </c>
      <c r="F201" t="s">
        <v>205</v>
      </c>
      <c r="M201" t="s">
        <v>226</v>
      </c>
      <c r="N201" s="24">
        <f>'energy stables'!D26</f>
        <v>308.33833333333342</v>
      </c>
      <c r="O201" t="s">
        <v>315</v>
      </c>
      <c r="P201" t="s">
        <v>234</v>
      </c>
      <c r="Q201" t="s">
        <v>233</v>
      </c>
    </row>
    <row r="202" spans="1:17" x14ac:dyDescent="0.25">
      <c r="A202" t="s">
        <v>199</v>
      </c>
      <c r="D202" t="s">
        <v>195</v>
      </c>
      <c r="E202" t="s">
        <v>204</v>
      </c>
      <c r="F202" t="s">
        <v>205</v>
      </c>
      <c r="G202" t="s">
        <v>230</v>
      </c>
      <c r="M202" t="s">
        <v>228</v>
      </c>
      <c r="N202" s="25">
        <f>'energy stables'!E27</f>
        <v>4.1036269430051814E-2</v>
      </c>
      <c r="O202" t="s">
        <v>200</v>
      </c>
      <c r="Q202" t="s">
        <v>233</v>
      </c>
    </row>
    <row r="204" spans="1:17" x14ac:dyDescent="0.25">
      <c r="A204" t="s">
        <v>197</v>
      </c>
      <c r="D204" t="s">
        <v>195</v>
      </c>
      <c r="M204" t="s">
        <v>226</v>
      </c>
      <c r="N204" s="24">
        <f>'energy stables'!D29</f>
        <v>170.33333333333331</v>
      </c>
      <c r="O204" t="s">
        <v>315</v>
      </c>
      <c r="P204" t="s">
        <v>239</v>
      </c>
      <c r="Q204" t="s">
        <v>233</v>
      </c>
    </row>
    <row r="205" spans="1:17" x14ac:dyDescent="0.25">
      <c r="A205" t="s">
        <v>201</v>
      </c>
      <c r="D205" t="s">
        <v>195</v>
      </c>
      <c r="M205" t="s">
        <v>226</v>
      </c>
      <c r="N205" s="24">
        <f>'energy stables'!D31</f>
        <v>332.32333333333338</v>
      </c>
      <c r="O205" t="s">
        <v>315</v>
      </c>
      <c r="P205" t="s">
        <v>240</v>
      </c>
      <c r="Q205" t="s">
        <v>233</v>
      </c>
    </row>
    <row r="206" spans="1:17" x14ac:dyDescent="0.25">
      <c r="N206" s="24"/>
    </row>
    <row r="207" spans="1:17" x14ac:dyDescent="0.25">
      <c r="A207" t="s">
        <v>197</v>
      </c>
      <c r="D207" t="s">
        <v>235</v>
      </c>
      <c r="E207" t="s">
        <v>236</v>
      </c>
      <c r="F207" t="s">
        <v>241</v>
      </c>
      <c r="M207" t="s">
        <v>325</v>
      </c>
      <c r="N207" s="25">
        <f>(290+1078)/100000</f>
        <v>1.3679999999999999E-2</v>
      </c>
      <c r="O207" t="s">
        <v>324</v>
      </c>
      <c r="P207" t="s">
        <v>237</v>
      </c>
      <c r="Q207" t="s">
        <v>233</v>
      </c>
    </row>
    <row r="208" spans="1:17" x14ac:dyDescent="0.25">
      <c r="A208" t="s">
        <v>198</v>
      </c>
      <c r="D208" t="s">
        <v>235</v>
      </c>
      <c r="E208" t="s">
        <v>236</v>
      </c>
      <c r="F208" t="s">
        <v>241</v>
      </c>
      <c r="M208" t="s">
        <v>325</v>
      </c>
      <c r="N208" s="25">
        <f>77000/100000</f>
        <v>0.77</v>
      </c>
      <c r="O208" t="s">
        <v>324</v>
      </c>
      <c r="Q208" t="s">
        <v>233</v>
      </c>
    </row>
    <row r="209" spans="1:17" x14ac:dyDescent="0.25">
      <c r="A209" t="s">
        <v>201</v>
      </c>
      <c r="D209" t="s">
        <v>235</v>
      </c>
      <c r="E209" t="s">
        <v>236</v>
      </c>
      <c r="F209" t="s">
        <v>241</v>
      </c>
      <c r="M209" t="s">
        <v>325</v>
      </c>
      <c r="N209" s="25">
        <f>(3340+9790)/100000</f>
        <v>0.1313</v>
      </c>
      <c r="O209" t="s">
        <v>324</v>
      </c>
      <c r="P209" t="s">
        <v>238</v>
      </c>
      <c r="Q209" t="s">
        <v>233</v>
      </c>
    </row>
    <row r="211" spans="1:17" x14ac:dyDescent="0.25">
      <c r="A211" t="s">
        <v>197</v>
      </c>
      <c r="D211" t="s">
        <v>242</v>
      </c>
      <c r="F211" t="s">
        <v>318</v>
      </c>
      <c r="M211" t="s">
        <v>325</v>
      </c>
      <c r="N211">
        <f>'energy stables'!D49</f>
        <v>3.5</v>
      </c>
      <c r="O211" t="s">
        <v>324</v>
      </c>
      <c r="Q211" t="s">
        <v>253</v>
      </c>
    </row>
    <row r="212" spans="1:17" x14ac:dyDescent="0.25">
      <c r="A212" t="s">
        <v>198</v>
      </c>
      <c r="D212" t="s">
        <v>242</v>
      </c>
      <c r="F212" t="s">
        <v>318</v>
      </c>
      <c r="M212" t="s">
        <v>325</v>
      </c>
      <c r="N212">
        <f>'energy stables'!D50</f>
        <v>12.5</v>
      </c>
      <c r="O212" t="s">
        <v>324</v>
      </c>
      <c r="Q212" t="s">
        <v>253</v>
      </c>
    </row>
    <row r="213" spans="1:17" x14ac:dyDescent="0.25">
      <c r="A213" t="s">
        <v>201</v>
      </c>
      <c r="D213" t="s">
        <v>242</v>
      </c>
      <c r="F213" t="s">
        <v>318</v>
      </c>
      <c r="M213" t="s">
        <v>325</v>
      </c>
      <c r="N213">
        <f>'energy stables'!D51</f>
        <v>34</v>
      </c>
      <c r="O213" t="s">
        <v>324</v>
      </c>
      <c r="Q213" t="s">
        <v>253</v>
      </c>
    </row>
    <row r="214" spans="1:17" x14ac:dyDescent="0.25">
      <c r="A214" t="s">
        <v>197</v>
      </c>
      <c r="D214" t="s">
        <v>242</v>
      </c>
      <c r="F214" t="s">
        <v>321</v>
      </c>
      <c r="M214" t="s">
        <v>325</v>
      </c>
      <c r="N214">
        <f>'energy stables'!D53</f>
        <v>0.04</v>
      </c>
      <c r="O214" t="s">
        <v>324</v>
      </c>
      <c r="Q214" t="s">
        <v>253</v>
      </c>
    </row>
    <row r="215" spans="1:17" x14ac:dyDescent="0.25">
      <c r="A215" t="s">
        <v>198</v>
      </c>
      <c r="D215" t="s">
        <v>242</v>
      </c>
      <c r="F215" t="s">
        <v>321</v>
      </c>
      <c r="M215" t="s">
        <v>325</v>
      </c>
      <c r="N215" s="13">
        <f>'energy stables'!D54</f>
        <v>0.1</v>
      </c>
      <c r="O215" t="s">
        <v>324</v>
      </c>
      <c r="Q215" t="s">
        <v>253</v>
      </c>
    </row>
    <row r="216" spans="1:17" x14ac:dyDescent="0.25">
      <c r="A216" t="s">
        <v>201</v>
      </c>
      <c r="D216" t="s">
        <v>242</v>
      </c>
      <c r="F216" t="s">
        <v>321</v>
      </c>
      <c r="M216" t="s">
        <v>325</v>
      </c>
      <c r="N216" s="13">
        <f>'energy stables'!D55</f>
        <v>0.26</v>
      </c>
      <c r="O216" t="s">
        <v>324</v>
      </c>
      <c r="Q216" t="s">
        <v>253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S58"/>
  <sheetViews>
    <sheetView topLeftCell="A19" workbookViewId="0">
      <selection activeCell="T49" sqref="T49"/>
    </sheetView>
  </sheetViews>
  <sheetFormatPr defaultRowHeight="15" x14ac:dyDescent="0.25"/>
  <cols>
    <col min="2" max="2" width="17.28515625" customWidth="1"/>
    <col min="3" max="3" width="12.28515625" customWidth="1"/>
    <col min="10" max="10" width="8.7109375" customWidth="1"/>
    <col min="11" max="13" width="13.5703125" customWidth="1"/>
  </cols>
  <sheetData>
    <row r="3" spans="2:17" x14ac:dyDescent="0.25">
      <c r="B3" s="53" t="s">
        <v>206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</row>
    <row r="4" spans="2:17" x14ac:dyDescent="0.25">
      <c r="B4" s="51" t="s">
        <v>233</v>
      </c>
    </row>
    <row r="5" spans="2:17" x14ac:dyDescent="0.25">
      <c r="B5" s="27"/>
      <c r="C5" s="30"/>
      <c r="D5" s="46" t="s">
        <v>207</v>
      </c>
      <c r="E5" s="28" t="s">
        <v>205</v>
      </c>
      <c r="F5" s="30" t="s">
        <v>224</v>
      </c>
      <c r="G5" s="29" t="s">
        <v>208</v>
      </c>
      <c r="H5" s="28" t="s">
        <v>205</v>
      </c>
      <c r="I5" s="30" t="s">
        <v>224</v>
      </c>
    </row>
    <row r="6" spans="2:17" x14ac:dyDescent="0.25">
      <c r="B6" s="31" t="s">
        <v>209</v>
      </c>
      <c r="C6" s="44" t="s">
        <v>212</v>
      </c>
      <c r="D6" s="31">
        <v>150</v>
      </c>
      <c r="E6" s="4"/>
      <c r="F6" s="32"/>
      <c r="G6" s="4">
        <v>220</v>
      </c>
      <c r="H6" s="4"/>
      <c r="I6" s="32"/>
    </row>
    <row r="7" spans="2:17" x14ac:dyDescent="0.25">
      <c r="B7" s="31" t="s">
        <v>210</v>
      </c>
      <c r="C7" s="44" t="s">
        <v>212</v>
      </c>
      <c r="D7" s="31">
        <v>150</v>
      </c>
      <c r="E7" s="4"/>
      <c r="F7" s="32"/>
      <c r="G7" s="4">
        <v>220</v>
      </c>
      <c r="H7" s="4"/>
      <c r="I7" s="32"/>
    </row>
    <row r="8" spans="2:17" x14ac:dyDescent="0.25">
      <c r="B8" s="31" t="s">
        <v>211</v>
      </c>
      <c r="C8" s="44" t="s">
        <v>213</v>
      </c>
      <c r="D8" s="31">
        <v>10500</v>
      </c>
      <c r="E8" s="4"/>
      <c r="F8" s="32"/>
      <c r="G8" s="4">
        <v>8800</v>
      </c>
      <c r="H8" s="4"/>
      <c r="I8" s="32"/>
    </row>
    <row r="9" spans="2:17" x14ac:dyDescent="0.25">
      <c r="B9" s="31"/>
      <c r="C9" s="44"/>
      <c r="D9" s="31"/>
      <c r="E9" s="4"/>
      <c r="F9" s="32"/>
      <c r="G9" s="4"/>
      <c r="H9" s="4"/>
      <c r="I9" s="32"/>
    </row>
    <row r="10" spans="2:17" x14ac:dyDescent="0.25">
      <c r="B10" s="31" t="s">
        <v>214</v>
      </c>
      <c r="C10" s="44" t="s">
        <v>223</v>
      </c>
      <c r="D10" s="31">
        <v>652</v>
      </c>
      <c r="E10" s="33">
        <f>D10*(2/3)</f>
        <v>434.66666666666663</v>
      </c>
      <c r="F10" s="34">
        <f>D10*(1/3)</f>
        <v>217.33333333333331</v>
      </c>
      <c r="G10" s="4">
        <v>370</v>
      </c>
      <c r="H10" s="33">
        <f>G10*(2/3)</f>
        <v>246.66666666666666</v>
      </c>
      <c r="I10" s="34">
        <f>G10*(1/3)</f>
        <v>123.33333333333333</v>
      </c>
      <c r="J10" s="26" t="s">
        <v>225</v>
      </c>
    </row>
    <row r="11" spans="2:17" x14ac:dyDescent="0.25">
      <c r="B11" s="31" t="s">
        <v>215</v>
      </c>
      <c r="C11" s="44" t="s">
        <v>223</v>
      </c>
      <c r="D11" s="31">
        <v>3</v>
      </c>
      <c r="E11" s="33">
        <f>(E$17-E$10-E$12-E$14) * (D11/SUM(D$11,D$13,D$15))</f>
        <v>2.1908735632183913</v>
      </c>
      <c r="F11" s="34">
        <f>(F$17-F$10-F$12-F$14) * (D11/SUM(D$11,D$13,D$15))</f>
        <v>0.80912643678160945</v>
      </c>
      <c r="G11" s="4">
        <v>74</v>
      </c>
      <c r="H11" s="33">
        <f>(H$17-H$10-H$12-H$14) * (G11/SUM(G$11,G$13,G$15))</f>
        <v>42.039127163280675</v>
      </c>
      <c r="I11" s="34">
        <f>(I$17-I$10-I$12-I$14) * (G11/SUM(G$11,G$13,G$15))</f>
        <v>31.960872836719343</v>
      </c>
      <c r="J11" s="26"/>
    </row>
    <row r="12" spans="2:17" x14ac:dyDescent="0.25">
      <c r="B12" s="31" t="s">
        <v>216</v>
      </c>
      <c r="C12" s="44" t="s">
        <v>223</v>
      </c>
      <c r="D12" s="31">
        <v>40</v>
      </c>
      <c r="E12" s="33">
        <f>D12*(2/3)</f>
        <v>26.666666666666664</v>
      </c>
      <c r="F12" s="34">
        <f>D12*(1/3)</f>
        <v>13.333333333333332</v>
      </c>
      <c r="G12" s="4">
        <v>31</v>
      </c>
      <c r="H12" s="33">
        <f>G12*(2/3)</f>
        <v>20.666666666666664</v>
      </c>
      <c r="I12" s="34">
        <f>G12*(1/3)</f>
        <v>10.333333333333332</v>
      </c>
      <c r="J12" s="26" t="s">
        <v>225</v>
      </c>
    </row>
    <row r="13" spans="2:17" x14ac:dyDescent="0.25">
      <c r="B13" s="31" t="s">
        <v>217</v>
      </c>
      <c r="C13" s="44" t="s">
        <v>223</v>
      </c>
      <c r="D13" s="31">
        <v>216</v>
      </c>
      <c r="E13" s="33">
        <f>(E$17-E$10-E$12-E$14) * (D13/SUM(D$11,D$13,D$15))</f>
        <v>157.74289655172416</v>
      </c>
      <c r="F13" s="34">
        <f>(F$17-F$10-F$12-F$14) * (D13/SUM(D$11,D$13,D$15))</f>
        <v>58.257103448275878</v>
      </c>
      <c r="G13" s="4">
        <v>224</v>
      </c>
      <c r="H13" s="33">
        <f>(H$17-H$10-H$12-H$14) * (G13/SUM(G$11,G$13,G$15))</f>
        <v>127.25357411587665</v>
      </c>
      <c r="I13" s="34">
        <f>(I$17-I$10-I$12-I$14) * (G13/SUM(G$11,G$13,G$15))</f>
        <v>96.746425884123411</v>
      </c>
      <c r="J13" s="26"/>
    </row>
    <row r="14" spans="2:17" x14ac:dyDescent="0.25">
      <c r="B14" s="31" t="s">
        <v>218</v>
      </c>
      <c r="C14" s="44" t="s">
        <v>223</v>
      </c>
      <c r="D14" s="31">
        <v>386</v>
      </c>
      <c r="E14" s="33">
        <f>D14</f>
        <v>386</v>
      </c>
      <c r="F14" s="34">
        <v>0</v>
      </c>
      <c r="G14" s="4">
        <v>406</v>
      </c>
      <c r="H14" s="33">
        <f>G14</f>
        <v>406</v>
      </c>
      <c r="I14" s="34">
        <v>0</v>
      </c>
      <c r="J14" s="26" t="s">
        <v>231</v>
      </c>
    </row>
    <row r="15" spans="2:17" x14ac:dyDescent="0.25">
      <c r="B15" s="31" t="s">
        <v>219</v>
      </c>
      <c r="C15" s="44" t="s">
        <v>223</v>
      </c>
      <c r="D15" s="31">
        <v>216</v>
      </c>
      <c r="E15" s="33">
        <f>(E$17-E$10-E$12-E$14) * (D15/SUM(D$11,D$13,D$15))</f>
        <v>157.74289655172416</v>
      </c>
      <c r="F15" s="34">
        <f>(F$17-F$10-F$12-F$14) * (D15/SUM(D$11,D$13,D$15))</f>
        <v>58.257103448275878</v>
      </c>
      <c r="G15" s="4">
        <v>145</v>
      </c>
      <c r="H15" s="33">
        <f>(H$17-H$10-H$12-H$14) * (G15/SUM(G$11,G$13,G$15))</f>
        <v>82.373965387509429</v>
      </c>
      <c r="I15" s="34">
        <f>(I$17-I$10-I$12-I$14) * (G15/SUM(G$11,G$13,G$15))</f>
        <v>62.626034612490599</v>
      </c>
    </row>
    <row r="16" spans="2:17" x14ac:dyDescent="0.25">
      <c r="B16" s="31"/>
      <c r="C16" s="44"/>
      <c r="D16" s="31"/>
      <c r="E16" s="35"/>
      <c r="F16" s="32"/>
      <c r="G16" s="4"/>
      <c r="H16" s="35"/>
      <c r="I16" s="32"/>
    </row>
    <row r="17" spans="2:9" x14ac:dyDescent="0.25">
      <c r="B17" s="36" t="s">
        <v>220</v>
      </c>
      <c r="C17" s="44" t="s">
        <v>223</v>
      </c>
      <c r="D17" s="36">
        <f>SUM(D10:D15)</f>
        <v>1513</v>
      </c>
      <c r="E17" s="38">
        <f t="shared" ref="E17" si="0">D17*(1-D$20/100)</f>
        <v>1165.01</v>
      </c>
      <c r="F17" s="39">
        <f>D17*(D$20/100)</f>
        <v>347.99</v>
      </c>
      <c r="G17" s="37">
        <f>SUM(G10:G15)</f>
        <v>1250</v>
      </c>
      <c r="H17" s="38">
        <f t="shared" ref="H17" si="1">G17*(1-G$20/100)</f>
        <v>925</v>
      </c>
      <c r="I17" s="39">
        <f>G17*(G$20/100)</f>
        <v>325</v>
      </c>
    </row>
    <row r="18" spans="2:9" x14ac:dyDescent="0.25">
      <c r="B18" s="31" t="s">
        <v>221</v>
      </c>
      <c r="C18" s="44" t="s">
        <v>223</v>
      </c>
      <c r="D18" s="31">
        <v>868</v>
      </c>
      <c r="E18" s="33">
        <f>SUM(E11:E15)</f>
        <v>730.34333333333336</v>
      </c>
      <c r="F18" s="34">
        <f>SUM(F11:F15)</f>
        <v>130.65666666666669</v>
      </c>
      <c r="G18" s="4">
        <v>994</v>
      </c>
      <c r="H18" s="33">
        <f>SUM(H11:H15)</f>
        <v>678.33333333333337</v>
      </c>
      <c r="I18" s="34">
        <f>SUM(I11:I15)</f>
        <v>201.66666666666669</v>
      </c>
    </row>
    <row r="19" spans="2:9" x14ac:dyDescent="0.25">
      <c r="B19" s="31"/>
      <c r="C19" s="44"/>
      <c r="D19" s="47">
        <f t="shared" ref="D19:I19" si="2">D18/D17</f>
        <v>0.57369464639788503</v>
      </c>
      <c r="E19" s="40">
        <f t="shared" si="2"/>
        <v>0.62689876767867514</v>
      </c>
      <c r="F19" s="41">
        <f t="shared" si="2"/>
        <v>0.37546098067952149</v>
      </c>
      <c r="G19" s="40">
        <f t="shared" si="2"/>
        <v>0.79520000000000002</v>
      </c>
      <c r="H19" s="40">
        <f t="shared" si="2"/>
        <v>0.73333333333333339</v>
      </c>
      <c r="I19" s="41">
        <f t="shared" si="2"/>
        <v>0.62051282051282053</v>
      </c>
    </row>
    <row r="20" spans="2:9" x14ac:dyDescent="0.25">
      <c r="B20" s="42" t="s">
        <v>222</v>
      </c>
      <c r="C20" s="45" t="s">
        <v>128</v>
      </c>
      <c r="D20" s="42">
        <v>23</v>
      </c>
      <c r="E20" s="14"/>
      <c r="F20" s="43"/>
      <c r="G20" s="14">
        <v>26</v>
      </c>
      <c r="H20" s="14"/>
      <c r="I20" s="43"/>
    </row>
    <row r="22" spans="2:9" x14ac:dyDescent="0.25">
      <c r="B22" s="71" t="s">
        <v>320</v>
      </c>
    </row>
    <row r="23" spans="2:9" x14ac:dyDescent="0.25">
      <c r="B23" s="79"/>
      <c r="C23" s="80"/>
      <c r="D23" s="81" t="s">
        <v>315</v>
      </c>
      <c r="E23" s="82" t="s">
        <v>200</v>
      </c>
    </row>
    <row r="24" spans="2:9" x14ac:dyDescent="0.25">
      <c r="B24" s="64" t="s">
        <v>197</v>
      </c>
      <c r="C24" s="65" t="s">
        <v>209</v>
      </c>
      <c r="D24" s="72">
        <v>0</v>
      </c>
      <c r="E24" s="73">
        <f>(E10+H10)/(D8+G8)</f>
        <v>3.5302245250431775E-2</v>
      </c>
    </row>
    <row r="25" spans="2:9" x14ac:dyDescent="0.25">
      <c r="B25" s="64" t="s">
        <v>198</v>
      </c>
      <c r="C25" s="65" t="s">
        <v>209</v>
      </c>
      <c r="D25" s="72">
        <v>0</v>
      </c>
      <c r="E25" s="74">
        <v>0</v>
      </c>
    </row>
    <row r="26" spans="2:9" x14ac:dyDescent="0.25">
      <c r="B26" s="64" t="s">
        <v>201</v>
      </c>
      <c r="C26" s="65" t="s">
        <v>209</v>
      </c>
      <c r="D26" s="75">
        <f>SUM(E11:E13,E15,H11:H13,H15)/2</f>
        <v>308.33833333333342</v>
      </c>
      <c r="E26" s="74">
        <v>0</v>
      </c>
    </row>
    <row r="27" spans="2:9" x14ac:dyDescent="0.25">
      <c r="B27" s="64" t="s">
        <v>199</v>
      </c>
      <c r="C27" s="65" t="s">
        <v>209</v>
      </c>
      <c r="D27" s="72">
        <v>0</v>
      </c>
      <c r="E27" s="73">
        <f>(E14+H14)/(D8+G8)</f>
        <v>4.1036269430051814E-2</v>
      </c>
    </row>
    <row r="28" spans="2:9" x14ac:dyDescent="0.25">
      <c r="B28" s="64"/>
      <c r="C28" s="65"/>
      <c r="D28" s="72"/>
      <c r="E28" s="74"/>
    </row>
    <row r="29" spans="2:9" x14ac:dyDescent="0.25">
      <c r="B29" s="64" t="s">
        <v>197</v>
      </c>
      <c r="C29" s="65" t="s">
        <v>224</v>
      </c>
      <c r="D29" s="75">
        <f>SUM(F10,I10)/2</f>
        <v>170.33333333333331</v>
      </c>
      <c r="E29" s="74">
        <v>0</v>
      </c>
    </row>
    <row r="30" spans="2:9" x14ac:dyDescent="0.25">
      <c r="B30" s="64" t="s">
        <v>198</v>
      </c>
      <c r="C30" s="65" t="s">
        <v>224</v>
      </c>
      <c r="D30" s="72">
        <v>0</v>
      </c>
      <c r="E30" s="74">
        <v>0</v>
      </c>
    </row>
    <row r="31" spans="2:9" x14ac:dyDescent="0.25">
      <c r="B31" s="64" t="s">
        <v>201</v>
      </c>
      <c r="C31" s="65" t="s">
        <v>224</v>
      </c>
      <c r="D31" s="75">
        <f>SUM(F11:F13,F15,I11:I13,I15)</f>
        <v>332.32333333333338</v>
      </c>
      <c r="E31" s="74">
        <v>0</v>
      </c>
    </row>
    <row r="32" spans="2:9" x14ac:dyDescent="0.25">
      <c r="B32" s="66" t="s">
        <v>199</v>
      </c>
      <c r="C32" s="67" t="s">
        <v>224</v>
      </c>
      <c r="D32" s="76">
        <v>0</v>
      </c>
      <c r="E32" s="77">
        <v>0</v>
      </c>
    </row>
    <row r="34" spans="2:19" x14ac:dyDescent="0.25">
      <c r="B34" s="53" t="s">
        <v>243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</row>
    <row r="35" spans="2:19" x14ac:dyDescent="0.25">
      <c r="J35" s="51" t="s">
        <v>233</v>
      </c>
    </row>
    <row r="36" spans="2:19" x14ac:dyDescent="0.25">
      <c r="J36" s="46" t="s">
        <v>298</v>
      </c>
      <c r="K36" s="28"/>
      <c r="L36" s="28"/>
      <c r="M36" s="29" t="s">
        <v>303</v>
      </c>
      <c r="N36" s="29" t="s">
        <v>304</v>
      </c>
      <c r="O36" s="29" t="s">
        <v>305</v>
      </c>
      <c r="P36" s="50" t="s">
        <v>306</v>
      </c>
      <c r="Q36" t="s">
        <v>312</v>
      </c>
    </row>
    <row r="37" spans="2:19" ht="21" customHeight="1" x14ac:dyDescent="0.25">
      <c r="B37" s="51" t="s">
        <v>253</v>
      </c>
      <c r="J37" s="42" t="s">
        <v>254</v>
      </c>
      <c r="K37" s="14"/>
      <c r="L37" s="14"/>
      <c r="M37" s="59" t="s">
        <v>299</v>
      </c>
      <c r="N37" s="59" t="s">
        <v>300</v>
      </c>
      <c r="O37" s="59" t="s">
        <v>301</v>
      </c>
      <c r="P37" s="60" t="s">
        <v>302</v>
      </c>
      <c r="Q37" t="s">
        <v>312</v>
      </c>
    </row>
    <row r="38" spans="2:19" x14ac:dyDescent="0.25">
      <c r="B38" s="46" t="s">
        <v>245</v>
      </c>
      <c r="C38" s="29"/>
      <c r="D38" s="29" t="s">
        <v>247</v>
      </c>
      <c r="E38" s="50" t="s">
        <v>248</v>
      </c>
      <c r="J38" s="31" t="s">
        <v>258</v>
      </c>
      <c r="K38" s="4"/>
      <c r="L38" s="4"/>
      <c r="M38" s="4">
        <v>90</v>
      </c>
      <c r="N38" s="4">
        <v>13</v>
      </c>
      <c r="O38" s="4">
        <v>2.2999999999999998</v>
      </c>
      <c r="P38" s="32">
        <v>242</v>
      </c>
      <c r="Q38" t="s">
        <v>312</v>
      </c>
      <c r="R38" s="58"/>
      <c r="S38" s="58"/>
    </row>
    <row r="39" spans="2:19" ht="15" customHeight="1" x14ac:dyDescent="0.25">
      <c r="B39" s="31" t="s">
        <v>249</v>
      </c>
      <c r="C39" s="4"/>
      <c r="D39" s="4">
        <v>50</v>
      </c>
      <c r="E39" s="32">
        <v>0.4</v>
      </c>
      <c r="J39" s="31" t="s">
        <v>259</v>
      </c>
      <c r="K39" s="4"/>
      <c r="L39" s="4"/>
      <c r="M39" s="4">
        <v>654</v>
      </c>
      <c r="N39" s="4">
        <v>80</v>
      </c>
      <c r="O39" s="4">
        <v>9.6</v>
      </c>
      <c r="P39" s="32" t="s">
        <v>261</v>
      </c>
      <c r="Q39" t="s">
        <v>312</v>
      </c>
      <c r="R39" s="58"/>
      <c r="S39" s="58"/>
    </row>
    <row r="40" spans="2:19" x14ac:dyDescent="0.25">
      <c r="B40" s="31" t="s">
        <v>250</v>
      </c>
      <c r="C40" s="4"/>
      <c r="D40" s="4">
        <v>36.5</v>
      </c>
      <c r="E40" s="32">
        <v>0.28000000000000003</v>
      </c>
      <c r="J40" s="31" t="s">
        <v>262</v>
      </c>
      <c r="K40" s="4"/>
      <c r="L40" s="4"/>
      <c r="M40" s="4">
        <v>11</v>
      </c>
      <c r="N40" s="4">
        <v>12</v>
      </c>
      <c r="O40" s="4">
        <v>0.1</v>
      </c>
      <c r="P40" s="32">
        <v>43.2</v>
      </c>
      <c r="Q40" t="s">
        <v>312</v>
      </c>
      <c r="R40" s="58"/>
      <c r="S40" s="58"/>
    </row>
    <row r="41" spans="2:19" x14ac:dyDescent="0.25">
      <c r="B41" s="31" t="s">
        <v>251</v>
      </c>
      <c r="C41" s="4"/>
      <c r="D41" s="4">
        <v>9.5</v>
      </c>
      <c r="E41" s="32">
        <v>0.06</v>
      </c>
      <c r="J41" s="31" t="s">
        <v>292</v>
      </c>
      <c r="K41" s="4"/>
      <c r="L41" s="4"/>
      <c r="M41" s="4">
        <v>244</v>
      </c>
      <c r="N41" s="4">
        <v>78</v>
      </c>
      <c r="O41" s="4">
        <v>1.8</v>
      </c>
      <c r="P41" s="32">
        <v>340</v>
      </c>
      <c r="Q41" t="s">
        <v>312</v>
      </c>
      <c r="R41" s="58"/>
      <c r="S41" s="58"/>
    </row>
    <row r="42" spans="2:19" x14ac:dyDescent="0.25">
      <c r="B42" s="31" t="s">
        <v>252</v>
      </c>
      <c r="C42" s="4"/>
      <c r="D42" s="4">
        <v>3.5</v>
      </c>
      <c r="E42" s="32">
        <v>0.04</v>
      </c>
      <c r="J42" s="31" t="s">
        <v>255</v>
      </c>
      <c r="K42" s="4"/>
      <c r="L42" s="4"/>
      <c r="M42" s="4">
        <v>992</v>
      </c>
      <c r="N42" s="4">
        <v>93</v>
      </c>
      <c r="O42" s="4">
        <v>4.2</v>
      </c>
      <c r="P42" s="32" t="s">
        <v>256</v>
      </c>
      <c r="Q42" t="s">
        <v>312</v>
      </c>
      <c r="R42" s="58"/>
      <c r="S42" s="58"/>
    </row>
    <row r="43" spans="2:19" x14ac:dyDescent="0.25">
      <c r="B43" s="42" t="s">
        <v>246</v>
      </c>
      <c r="C43" s="14"/>
      <c r="D43" s="14">
        <v>0.5</v>
      </c>
      <c r="E43" s="43">
        <v>0.02</v>
      </c>
      <c r="J43" s="31"/>
      <c r="M43" s="58">
        <f>M42/M49</f>
        <v>0.40772708590217838</v>
      </c>
      <c r="N43" s="58">
        <f t="shared" ref="N43:O43" si="3">N42/N49</f>
        <v>0.13497822931785197</v>
      </c>
      <c r="O43" s="58">
        <f t="shared" si="3"/>
        <v>0.21319796954314724</v>
      </c>
      <c r="P43" s="32"/>
      <c r="Q43" s="92">
        <f>AVERAGE(M43:O43)</f>
        <v>0.25196776158772582</v>
      </c>
      <c r="R43" s="58"/>
      <c r="S43" s="58"/>
    </row>
    <row r="44" spans="2:19" x14ac:dyDescent="0.25">
      <c r="C44" s="68" t="s">
        <v>316</v>
      </c>
      <c r="D44" s="69">
        <f>D39*33+E39*26</f>
        <v>1660.4</v>
      </c>
      <c r="E44" s="70" t="s">
        <v>317</v>
      </c>
      <c r="J44" s="31" t="s">
        <v>268</v>
      </c>
      <c r="K44" s="4"/>
      <c r="L44" s="4"/>
      <c r="M44" s="4" t="s">
        <v>269</v>
      </c>
      <c r="N44" s="4">
        <v>4</v>
      </c>
      <c r="O44" s="4" t="s">
        <v>270</v>
      </c>
      <c r="P44" s="32" t="s">
        <v>271</v>
      </c>
      <c r="Q44" t="s">
        <v>312</v>
      </c>
      <c r="R44" s="58"/>
      <c r="S44" s="58"/>
    </row>
    <row r="45" spans="2:19" x14ac:dyDescent="0.25">
      <c r="J45" s="31" t="s">
        <v>272</v>
      </c>
      <c r="K45" s="4"/>
      <c r="L45" s="4"/>
      <c r="M45" s="4">
        <v>79</v>
      </c>
      <c r="N45" s="4">
        <v>7</v>
      </c>
      <c r="O45" s="4">
        <v>0.7</v>
      </c>
      <c r="P45" s="32" t="s">
        <v>261</v>
      </c>
      <c r="Q45" t="s">
        <v>312</v>
      </c>
      <c r="R45" s="58"/>
      <c r="S45" s="58"/>
    </row>
    <row r="46" spans="2:19" x14ac:dyDescent="0.25">
      <c r="B46" s="71" t="s">
        <v>320</v>
      </c>
      <c r="J46" s="31" t="s">
        <v>274</v>
      </c>
      <c r="K46" s="4"/>
      <c r="L46" s="4"/>
      <c r="M46" s="4" t="s">
        <v>87</v>
      </c>
      <c r="N46" s="4">
        <v>11</v>
      </c>
      <c r="O46" s="4" t="s">
        <v>87</v>
      </c>
      <c r="P46" s="32" t="s">
        <v>261</v>
      </c>
      <c r="Q46" t="s">
        <v>312</v>
      </c>
      <c r="R46" s="58"/>
      <c r="S46" s="58"/>
    </row>
    <row r="47" spans="2:19" x14ac:dyDescent="0.25">
      <c r="B47" s="27"/>
      <c r="C47" s="28"/>
      <c r="D47" s="86" t="s">
        <v>322</v>
      </c>
      <c r="E47" s="28" t="s">
        <v>319</v>
      </c>
      <c r="F47" s="28"/>
      <c r="G47" s="28"/>
      <c r="H47" s="30"/>
      <c r="J47" s="31" t="s">
        <v>275</v>
      </c>
      <c r="K47" s="4"/>
      <c r="L47" s="4"/>
      <c r="M47" s="4">
        <v>38</v>
      </c>
      <c r="N47" s="4">
        <v>15</v>
      </c>
      <c r="O47" s="4" t="s">
        <v>276</v>
      </c>
      <c r="P47" s="32" t="s">
        <v>261</v>
      </c>
      <c r="Q47" t="s">
        <v>312</v>
      </c>
      <c r="R47" s="58"/>
      <c r="S47" s="58"/>
    </row>
    <row r="48" spans="2:19" x14ac:dyDescent="0.25">
      <c r="B48" s="42"/>
      <c r="C48" s="14"/>
      <c r="D48" s="87" t="s">
        <v>323</v>
      </c>
      <c r="E48" s="14" t="s">
        <v>26</v>
      </c>
      <c r="F48" s="83" t="s">
        <v>151</v>
      </c>
      <c r="G48" s="83" t="s">
        <v>152</v>
      </c>
      <c r="H48" s="84" t="s">
        <v>148</v>
      </c>
      <c r="J48" s="31" t="s">
        <v>257</v>
      </c>
      <c r="K48" s="4"/>
      <c r="L48" s="4"/>
      <c r="M48" s="4">
        <v>164</v>
      </c>
      <c r="N48" s="4">
        <v>66</v>
      </c>
      <c r="O48" s="4">
        <v>1</v>
      </c>
      <c r="P48" s="32" t="s">
        <v>261</v>
      </c>
      <c r="Q48" t="s">
        <v>312</v>
      </c>
      <c r="R48" s="58"/>
      <c r="S48" s="58"/>
    </row>
    <row r="49" spans="2:19" x14ac:dyDescent="0.25">
      <c r="B49" s="85" t="s">
        <v>197</v>
      </c>
      <c r="C49" s="28" t="s">
        <v>318</v>
      </c>
      <c r="D49" s="88">
        <f>D42</f>
        <v>3.5</v>
      </c>
      <c r="E49" s="75">
        <v>100</v>
      </c>
      <c r="F49" s="75">
        <v>0</v>
      </c>
      <c r="G49" s="75">
        <v>0</v>
      </c>
      <c r="H49" s="78">
        <v>0</v>
      </c>
      <c r="J49" s="46" t="s">
        <v>278</v>
      </c>
      <c r="K49" s="29"/>
      <c r="L49" s="29"/>
      <c r="M49" s="29">
        <v>2433</v>
      </c>
      <c r="N49" s="29">
        <v>689</v>
      </c>
      <c r="O49" s="29">
        <v>19.7</v>
      </c>
      <c r="P49" s="50">
        <v>1252</v>
      </c>
      <c r="Q49" t="s">
        <v>312</v>
      </c>
      <c r="R49" s="58"/>
      <c r="S49" s="58"/>
    </row>
    <row r="50" spans="2:19" x14ac:dyDescent="0.25">
      <c r="B50" s="31" t="s">
        <v>198</v>
      </c>
      <c r="C50" s="4" t="s">
        <v>318</v>
      </c>
      <c r="D50" s="88">
        <f>D39*0.25</f>
        <v>12.5</v>
      </c>
      <c r="E50" s="75">
        <v>0</v>
      </c>
      <c r="F50" s="75">
        <f>D43/D50*100</f>
        <v>4</v>
      </c>
      <c r="G50" s="75">
        <f>D41/D50*100</f>
        <v>76</v>
      </c>
      <c r="H50" s="78">
        <f>(D40-D51)/D50*100</f>
        <v>20</v>
      </c>
      <c r="J50" s="31" t="s">
        <v>280</v>
      </c>
      <c r="K50" s="4"/>
      <c r="L50" s="4"/>
      <c r="M50" s="4">
        <v>1441</v>
      </c>
      <c r="N50" s="4">
        <v>689</v>
      </c>
      <c r="O50" s="4">
        <v>15.5</v>
      </c>
      <c r="P50" s="32">
        <v>1218</v>
      </c>
      <c r="R50" s="58"/>
      <c r="S50" s="58"/>
    </row>
    <row r="51" spans="2:19" x14ac:dyDescent="0.25">
      <c r="B51" s="31" t="s">
        <v>201</v>
      </c>
      <c r="C51" s="4" t="s">
        <v>318</v>
      </c>
      <c r="D51" s="89">
        <f>D39-D49-D50</f>
        <v>34</v>
      </c>
      <c r="E51" s="72">
        <v>0</v>
      </c>
      <c r="F51" s="72">
        <v>0</v>
      </c>
      <c r="G51" s="72">
        <v>0</v>
      </c>
      <c r="H51" s="74">
        <v>100</v>
      </c>
      <c r="J51" s="61" t="s">
        <v>314</v>
      </c>
      <c r="K51" s="63"/>
      <c r="L51" s="63"/>
      <c r="M51" s="63">
        <f>M49-M50</f>
        <v>992</v>
      </c>
      <c r="N51" s="63">
        <f>N49-N50</f>
        <v>0</v>
      </c>
      <c r="O51" s="63">
        <f>O49-O50</f>
        <v>4.1999999999999993</v>
      </c>
      <c r="P51" s="62">
        <f>P49-P50</f>
        <v>34</v>
      </c>
      <c r="Q51" t="s">
        <v>312</v>
      </c>
      <c r="R51" s="58"/>
      <c r="S51" s="58"/>
    </row>
    <row r="52" spans="2:19" x14ac:dyDescent="0.25">
      <c r="B52" s="31"/>
      <c r="C52" s="4"/>
      <c r="D52" s="88"/>
      <c r="E52" s="72"/>
      <c r="F52" s="72"/>
      <c r="G52" s="72"/>
      <c r="H52" s="74"/>
      <c r="J52" s="55" t="s">
        <v>297</v>
      </c>
      <c r="K52" s="56"/>
      <c r="L52" s="56"/>
      <c r="M52" s="56">
        <v>23</v>
      </c>
      <c r="N52" s="56">
        <v>38</v>
      </c>
      <c r="O52" s="56" t="s">
        <v>87</v>
      </c>
      <c r="P52" s="57" t="s">
        <v>313</v>
      </c>
      <c r="Q52" t="s">
        <v>312</v>
      </c>
    </row>
    <row r="53" spans="2:19" x14ac:dyDescent="0.25">
      <c r="B53" s="64" t="s">
        <v>197</v>
      </c>
      <c r="C53" s="4" t="s">
        <v>321</v>
      </c>
      <c r="D53" s="88">
        <f>E42</f>
        <v>0.04</v>
      </c>
      <c r="E53" s="75">
        <v>100</v>
      </c>
      <c r="F53" s="75">
        <v>0</v>
      </c>
      <c r="G53" s="75">
        <v>0</v>
      </c>
      <c r="H53" s="78">
        <v>0</v>
      </c>
      <c r="J53" s="31" t="s">
        <v>285</v>
      </c>
      <c r="K53" s="4"/>
      <c r="L53" s="4"/>
      <c r="M53" s="4" t="s">
        <v>286</v>
      </c>
      <c r="N53" s="4" t="s">
        <v>286</v>
      </c>
      <c r="O53" s="4" t="s">
        <v>87</v>
      </c>
      <c r="P53" s="32" t="s">
        <v>286</v>
      </c>
      <c r="Q53" t="s">
        <v>312</v>
      </c>
    </row>
    <row r="54" spans="2:19" x14ac:dyDescent="0.25">
      <c r="B54" s="31" t="s">
        <v>198</v>
      </c>
      <c r="C54" s="4" t="s">
        <v>321</v>
      </c>
      <c r="D54" s="90">
        <f>E39*0.25</f>
        <v>0.1</v>
      </c>
      <c r="E54" s="75">
        <v>0</v>
      </c>
      <c r="F54" s="75">
        <f>E43/D54*100</f>
        <v>20</v>
      </c>
      <c r="G54" s="75">
        <f>E41/D54*100</f>
        <v>60</v>
      </c>
      <c r="H54" s="78">
        <f>(E40-D55)/D54*100</f>
        <v>20.000000000000018</v>
      </c>
      <c r="J54" s="31" t="s">
        <v>308</v>
      </c>
      <c r="K54" s="4"/>
      <c r="L54" s="4"/>
      <c r="M54" s="4" t="s">
        <v>286</v>
      </c>
      <c r="N54" s="4" t="s">
        <v>311</v>
      </c>
      <c r="O54" s="4" t="s">
        <v>87</v>
      </c>
      <c r="P54" s="32" t="s">
        <v>286</v>
      </c>
      <c r="Q54" t="s">
        <v>312</v>
      </c>
    </row>
    <row r="55" spans="2:19" x14ac:dyDescent="0.25">
      <c r="B55" s="42" t="s">
        <v>201</v>
      </c>
      <c r="C55" s="14" t="s">
        <v>321</v>
      </c>
      <c r="D55" s="91">
        <f>E39-D53-D54</f>
        <v>0.26</v>
      </c>
      <c r="E55" s="76">
        <v>0</v>
      </c>
      <c r="F55" s="76">
        <v>0</v>
      </c>
      <c r="G55" s="76">
        <v>0</v>
      </c>
      <c r="H55" s="77">
        <v>100</v>
      </c>
      <c r="J55" s="31" t="s">
        <v>309</v>
      </c>
      <c r="K55" s="4"/>
      <c r="L55" s="4"/>
      <c r="M55" s="4" t="s">
        <v>286</v>
      </c>
      <c r="N55" s="4"/>
      <c r="O55" s="4" t="s">
        <v>286</v>
      </c>
      <c r="P55" s="32" t="s">
        <v>286</v>
      </c>
      <c r="Q55" t="s">
        <v>312</v>
      </c>
    </row>
    <row r="56" spans="2:19" x14ac:dyDescent="0.25">
      <c r="J56" s="42" t="s">
        <v>310</v>
      </c>
      <c r="K56" s="14"/>
      <c r="L56" s="14"/>
      <c r="M56" s="14">
        <v>1998</v>
      </c>
      <c r="N56" s="14">
        <v>1999</v>
      </c>
      <c r="O56" s="14">
        <v>1998</v>
      </c>
      <c r="P56" s="43">
        <v>2008</v>
      </c>
    </row>
    <row r="58" spans="2:19" x14ac:dyDescent="0.25"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T17"/>
  <sheetViews>
    <sheetView topLeftCell="G1" workbookViewId="0">
      <selection activeCell="I3" sqref="I3:I5"/>
    </sheetView>
  </sheetViews>
  <sheetFormatPr defaultRowHeight="15" x14ac:dyDescent="0.25"/>
  <cols>
    <col min="5" max="5" width="36.140625" bestFit="1" customWidth="1"/>
  </cols>
  <sheetData>
    <row r="3" spans="5:20" ht="15" customHeight="1" x14ac:dyDescent="0.25">
      <c r="E3" t="s">
        <v>258</v>
      </c>
      <c r="F3">
        <v>90</v>
      </c>
      <c r="G3">
        <v>13</v>
      </c>
      <c r="H3">
        <v>2.2999999999999998</v>
      </c>
      <c r="I3">
        <v>242</v>
      </c>
    </row>
    <row r="4" spans="5:20" ht="30" customHeight="1" x14ac:dyDescent="0.25">
      <c r="E4" t="s">
        <v>259</v>
      </c>
      <c r="F4">
        <v>654</v>
      </c>
      <c r="G4">
        <v>80</v>
      </c>
      <c r="H4" t="s">
        <v>260</v>
      </c>
      <c r="I4" t="s">
        <v>261</v>
      </c>
    </row>
    <row r="5" spans="5:20" ht="15" customHeight="1" x14ac:dyDescent="0.25">
      <c r="E5" t="s">
        <v>262</v>
      </c>
      <c r="F5">
        <v>11</v>
      </c>
      <c r="G5">
        <v>12</v>
      </c>
      <c r="H5" t="s">
        <v>263</v>
      </c>
      <c r="I5" t="s">
        <v>264</v>
      </c>
    </row>
    <row r="6" spans="5:20" x14ac:dyDescent="0.25">
      <c r="E6" t="s">
        <v>292</v>
      </c>
      <c r="F6" t="s">
        <v>293</v>
      </c>
      <c r="G6" t="s">
        <v>294</v>
      </c>
      <c r="H6" t="s">
        <v>295</v>
      </c>
      <c r="I6" t="s">
        <v>296</v>
      </c>
    </row>
    <row r="7" spans="5:20" ht="15" customHeight="1" x14ac:dyDescent="0.25">
      <c r="E7" t="s">
        <v>255</v>
      </c>
      <c r="G7" t="s">
        <v>265</v>
      </c>
      <c r="I7" t="s">
        <v>266</v>
      </c>
      <c r="O7" t="s">
        <v>267</v>
      </c>
      <c r="S7" t="s">
        <v>256</v>
      </c>
    </row>
    <row r="8" spans="5:20" ht="15" customHeight="1" x14ac:dyDescent="0.25">
      <c r="E8" t="s">
        <v>268</v>
      </c>
      <c r="H8" t="s">
        <v>269</v>
      </c>
      <c r="K8">
        <v>4</v>
      </c>
      <c r="P8" t="s">
        <v>270</v>
      </c>
      <c r="T8" t="s">
        <v>271</v>
      </c>
    </row>
    <row r="9" spans="5:20" ht="30" customHeight="1" x14ac:dyDescent="0.25">
      <c r="E9" t="s">
        <v>272</v>
      </c>
      <c r="H9">
        <v>79</v>
      </c>
      <c r="K9">
        <v>7</v>
      </c>
      <c r="P9" t="s">
        <v>273</v>
      </c>
      <c r="T9" t="s">
        <v>261</v>
      </c>
    </row>
    <row r="10" spans="5:20" ht="30" customHeight="1" x14ac:dyDescent="0.25">
      <c r="E10" t="s">
        <v>274</v>
      </c>
      <c r="H10" t="s">
        <v>87</v>
      </c>
      <c r="K10">
        <v>11</v>
      </c>
      <c r="P10" t="s">
        <v>87</v>
      </c>
      <c r="T10" t="s">
        <v>261</v>
      </c>
    </row>
    <row r="11" spans="5:20" ht="30" customHeight="1" x14ac:dyDescent="0.25">
      <c r="E11" t="s">
        <v>275</v>
      </c>
      <c r="H11">
        <v>38</v>
      </c>
      <c r="K11">
        <v>15</v>
      </c>
      <c r="P11" t="s">
        <v>276</v>
      </c>
      <c r="T11" t="s">
        <v>261</v>
      </c>
    </row>
    <row r="12" spans="5:20" ht="30" customHeight="1" x14ac:dyDescent="0.25">
      <c r="E12" t="s">
        <v>257</v>
      </c>
      <c r="H12">
        <v>164</v>
      </c>
      <c r="K12">
        <v>66</v>
      </c>
      <c r="P12" t="s">
        <v>277</v>
      </c>
      <c r="T12" t="s">
        <v>261</v>
      </c>
    </row>
    <row r="13" spans="5:20" ht="15" customHeight="1" x14ac:dyDescent="0.25">
      <c r="E13" t="s">
        <v>278</v>
      </c>
      <c r="H13">
        <v>2433</v>
      </c>
      <c r="K13">
        <v>689</v>
      </c>
      <c r="P13" t="s">
        <v>279</v>
      </c>
      <c r="T13">
        <v>1252</v>
      </c>
    </row>
    <row r="14" spans="5:20" ht="15" customHeight="1" x14ac:dyDescent="0.25">
      <c r="E14" t="s">
        <v>280</v>
      </c>
      <c r="H14">
        <v>1441</v>
      </c>
      <c r="K14">
        <v>689</v>
      </c>
      <c r="P14" t="s">
        <v>281</v>
      </c>
      <c r="T14">
        <v>1218</v>
      </c>
    </row>
    <row r="15" spans="5:20" ht="15" customHeight="1" x14ac:dyDescent="0.25">
      <c r="E15" t="s">
        <v>282</v>
      </c>
      <c r="L15" t="s">
        <v>283</v>
      </c>
      <c r="Q15" t="s">
        <v>284</v>
      </c>
    </row>
    <row r="16" spans="5:20" ht="30" customHeight="1" x14ac:dyDescent="0.25">
      <c r="E16" t="s">
        <v>285</v>
      </c>
      <c r="H16" t="s">
        <v>286</v>
      </c>
      <c r="K16" t="s">
        <v>286</v>
      </c>
      <c r="P16" t="s">
        <v>87</v>
      </c>
      <c r="T16" t="s">
        <v>286</v>
      </c>
    </row>
    <row r="17" spans="5:20" ht="45" customHeight="1" x14ac:dyDescent="0.25">
      <c r="E17" t="s">
        <v>287</v>
      </c>
      <c r="H17" t="s">
        <v>288</v>
      </c>
      <c r="K17" t="s">
        <v>289</v>
      </c>
      <c r="P17" t="s">
        <v>290</v>
      </c>
      <c r="T17" t="s">
        <v>291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C3:J21"/>
  <sheetViews>
    <sheetView workbookViewId="0">
      <selection activeCell="J21" sqref="C3:J21"/>
    </sheetView>
  </sheetViews>
  <sheetFormatPr defaultRowHeight="15" x14ac:dyDescent="0.25"/>
  <cols>
    <col min="3" max="3" width="37.42578125" bestFit="1" customWidth="1"/>
  </cols>
  <sheetData>
    <row r="3" spans="3:10" x14ac:dyDescent="0.25">
      <c r="C3" t="s">
        <v>298</v>
      </c>
      <c r="F3" s="49" t="s">
        <v>303</v>
      </c>
      <c r="G3" s="49" t="s">
        <v>304</v>
      </c>
      <c r="H3" s="49" t="s">
        <v>305</v>
      </c>
      <c r="I3" s="49" t="s">
        <v>306</v>
      </c>
      <c r="J3" t="s">
        <v>312</v>
      </c>
    </row>
    <row r="4" spans="3:10" x14ac:dyDescent="0.25">
      <c r="C4" t="s">
        <v>254</v>
      </c>
      <c r="F4" t="s">
        <v>299</v>
      </c>
      <c r="G4" t="s">
        <v>300</v>
      </c>
      <c r="H4" t="s">
        <v>301</v>
      </c>
      <c r="I4" t="s">
        <v>302</v>
      </c>
      <c r="J4" t="s">
        <v>312</v>
      </c>
    </row>
    <row r="5" spans="3:10" x14ac:dyDescent="0.25">
      <c r="C5" t="s">
        <v>258</v>
      </c>
      <c r="F5">
        <v>90</v>
      </c>
      <c r="G5">
        <v>13</v>
      </c>
      <c r="H5">
        <v>2.2999999999999998</v>
      </c>
      <c r="I5">
        <v>242</v>
      </c>
      <c r="J5" t="s">
        <v>312</v>
      </c>
    </row>
    <row r="6" spans="3:10" x14ac:dyDescent="0.25">
      <c r="C6" t="s">
        <v>259</v>
      </c>
      <c r="F6">
        <v>654</v>
      </c>
      <c r="G6">
        <v>80</v>
      </c>
      <c r="H6">
        <v>9.6</v>
      </c>
      <c r="I6" t="s">
        <v>261</v>
      </c>
      <c r="J6" t="s">
        <v>312</v>
      </c>
    </row>
    <row r="7" spans="3:10" ht="15" customHeight="1" x14ac:dyDescent="0.25">
      <c r="C7" t="s">
        <v>262</v>
      </c>
      <c r="F7">
        <v>11</v>
      </c>
      <c r="G7">
        <v>12</v>
      </c>
      <c r="H7">
        <v>0.1</v>
      </c>
      <c r="I7">
        <v>43.2</v>
      </c>
      <c r="J7" t="s">
        <v>312</v>
      </c>
    </row>
    <row r="8" spans="3:10" x14ac:dyDescent="0.25">
      <c r="C8" t="s">
        <v>292</v>
      </c>
      <c r="F8">
        <v>244</v>
      </c>
      <c r="G8">
        <v>78</v>
      </c>
      <c r="H8">
        <v>1.8</v>
      </c>
      <c r="I8">
        <v>340</v>
      </c>
      <c r="J8" t="s">
        <v>312</v>
      </c>
    </row>
    <row r="9" spans="3:10" x14ac:dyDescent="0.25">
      <c r="C9" t="s">
        <v>255</v>
      </c>
      <c r="F9">
        <v>992</v>
      </c>
      <c r="G9">
        <v>93</v>
      </c>
      <c r="H9">
        <v>4.2</v>
      </c>
      <c r="I9" t="s">
        <v>256</v>
      </c>
      <c r="J9" t="s">
        <v>312</v>
      </c>
    </row>
    <row r="10" spans="3:10" ht="15" customHeight="1" x14ac:dyDescent="0.25">
      <c r="C10" t="s">
        <v>268</v>
      </c>
      <c r="F10" t="s">
        <v>269</v>
      </c>
      <c r="G10">
        <v>4</v>
      </c>
      <c r="H10" t="s">
        <v>270</v>
      </c>
      <c r="I10" t="s">
        <v>271</v>
      </c>
      <c r="J10" t="s">
        <v>312</v>
      </c>
    </row>
    <row r="11" spans="3:10" x14ac:dyDescent="0.25">
      <c r="C11" t="s">
        <v>272</v>
      </c>
      <c r="F11">
        <v>79</v>
      </c>
      <c r="G11">
        <v>7</v>
      </c>
      <c r="H11">
        <v>0.7</v>
      </c>
      <c r="I11" t="s">
        <v>261</v>
      </c>
      <c r="J11" t="s">
        <v>312</v>
      </c>
    </row>
    <row r="12" spans="3:10" x14ac:dyDescent="0.25">
      <c r="C12" t="s">
        <v>274</v>
      </c>
      <c r="F12" t="s">
        <v>87</v>
      </c>
      <c r="G12">
        <v>11</v>
      </c>
      <c r="H12" t="s">
        <v>87</v>
      </c>
      <c r="I12" t="s">
        <v>261</v>
      </c>
      <c r="J12" t="s">
        <v>312</v>
      </c>
    </row>
    <row r="13" spans="3:10" x14ac:dyDescent="0.25">
      <c r="C13" t="s">
        <v>275</v>
      </c>
      <c r="F13">
        <v>38</v>
      </c>
      <c r="G13">
        <v>15</v>
      </c>
      <c r="H13" t="s">
        <v>276</v>
      </c>
      <c r="I13" t="s">
        <v>261</v>
      </c>
      <c r="J13" t="s">
        <v>312</v>
      </c>
    </row>
    <row r="14" spans="3:10" x14ac:dyDescent="0.25">
      <c r="C14" t="s">
        <v>257</v>
      </c>
      <c r="F14">
        <v>164</v>
      </c>
      <c r="G14">
        <v>66</v>
      </c>
      <c r="H14">
        <v>1</v>
      </c>
      <c r="I14" t="s">
        <v>261</v>
      </c>
      <c r="J14" t="s">
        <v>312</v>
      </c>
    </row>
    <row r="15" spans="3:10" x14ac:dyDescent="0.25">
      <c r="C15" t="s">
        <v>278</v>
      </c>
      <c r="F15">
        <v>2433</v>
      </c>
      <c r="G15">
        <v>689</v>
      </c>
      <c r="H15">
        <v>19.7</v>
      </c>
      <c r="I15">
        <v>1252</v>
      </c>
      <c r="J15" t="s">
        <v>312</v>
      </c>
    </row>
    <row r="16" spans="3:10" x14ac:dyDescent="0.25">
      <c r="C16" t="s">
        <v>280</v>
      </c>
      <c r="F16">
        <v>1441</v>
      </c>
      <c r="G16">
        <v>689</v>
      </c>
      <c r="H16">
        <v>15.5</v>
      </c>
      <c r="I16">
        <v>1218</v>
      </c>
      <c r="J16" t="s">
        <v>312</v>
      </c>
    </row>
    <row r="17" spans="3:10" x14ac:dyDescent="0.25">
      <c r="C17" t="s">
        <v>297</v>
      </c>
      <c r="F17">
        <v>23</v>
      </c>
      <c r="G17">
        <v>38</v>
      </c>
      <c r="H17" t="s">
        <v>87</v>
      </c>
      <c r="I17" t="s">
        <v>307</v>
      </c>
      <c r="J17" t="s">
        <v>312</v>
      </c>
    </row>
    <row r="18" spans="3:10" x14ac:dyDescent="0.25">
      <c r="C18" t="s">
        <v>285</v>
      </c>
      <c r="F18" t="s">
        <v>286</v>
      </c>
      <c r="G18" t="s">
        <v>286</v>
      </c>
      <c r="H18" t="s">
        <v>87</v>
      </c>
      <c r="I18" t="s">
        <v>286</v>
      </c>
      <c r="J18" t="s">
        <v>312</v>
      </c>
    </row>
    <row r="19" spans="3:10" x14ac:dyDescent="0.25">
      <c r="C19" t="s">
        <v>308</v>
      </c>
      <c r="F19" t="s">
        <v>286</v>
      </c>
      <c r="G19" t="s">
        <v>311</v>
      </c>
      <c r="H19" t="s">
        <v>87</v>
      </c>
      <c r="I19" t="s">
        <v>286</v>
      </c>
      <c r="J19" t="s">
        <v>312</v>
      </c>
    </row>
    <row r="20" spans="3:10" x14ac:dyDescent="0.25">
      <c r="C20" t="s">
        <v>309</v>
      </c>
      <c r="F20" t="s">
        <v>286</v>
      </c>
      <c r="H20" t="s">
        <v>286</v>
      </c>
      <c r="I20" t="s">
        <v>286</v>
      </c>
      <c r="J20" t="s">
        <v>312</v>
      </c>
    </row>
    <row r="21" spans="3:10" x14ac:dyDescent="0.25">
      <c r="C21" t="s">
        <v>310</v>
      </c>
      <c r="F21">
        <v>1998</v>
      </c>
      <c r="G21">
        <v>1999</v>
      </c>
      <c r="H21">
        <v>1998</v>
      </c>
      <c r="I21">
        <v>2008</v>
      </c>
      <c r="J21" t="s">
        <v>312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A13" sqref="A13"/>
    </sheetView>
  </sheetViews>
  <sheetFormatPr defaultRowHeight="15" x14ac:dyDescent="0.25"/>
  <sheetData>
    <row r="1" spans="1:1" x14ac:dyDescent="0.25">
      <c r="A1" s="16" t="s">
        <v>137</v>
      </c>
    </row>
    <row r="2" spans="1:1" x14ac:dyDescent="0.25">
      <c r="A2" s="17" t="s">
        <v>138</v>
      </c>
    </row>
    <row r="3" spans="1:1" x14ac:dyDescent="0.25">
      <c r="A3" s="17" t="s">
        <v>139</v>
      </c>
    </row>
    <row r="4" spans="1:1" x14ac:dyDescent="0.25">
      <c r="A4" s="17" t="s">
        <v>140</v>
      </c>
    </row>
    <row r="5" spans="1:1" x14ac:dyDescent="0.25">
      <c r="A5" s="17" t="s">
        <v>141</v>
      </c>
    </row>
    <row r="6" spans="1:1" x14ac:dyDescent="0.25">
      <c r="A6" s="17" t="s">
        <v>142</v>
      </c>
    </row>
    <row r="7" spans="1:1" x14ac:dyDescent="0.25">
      <c r="A7" s="17" t="s">
        <v>143</v>
      </c>
    </row>
    <row r="8" spans="1:1" x14ac:dyDescent="0.25">
      <c r="A8" s="17" t="s">
        <v>144</v>
      </c>
    </row>
    <row r="9" spans="1:1" x14ac:dyDescent="0.25">
      <c r="A9" s="17" t="s">
        <v>145</v>
      </c>
    </row>
    <row r="10" spans="1:1" x14ac:dyDescent="0.25">
      <c r="A10" s="17" t="s">
        <v>146</v>
      </c>
    </row>
    <row r="11" spans="1:1" x14ac:dyDescent="0.25">
      <c r="A11" s="48" t="s">
        <v>232</v>
      </c>
    </row>
    <row r="12" spans="1:1" x14ac:dyDescent="0.25">
      <c r="A12" s="48" t="s">
        <v>244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energy stables</vt:lpstr>
      <vt:lpstr>Sheet1</vt:lpstr>
      <vt:lpstr>Sheet2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2023-12-11T14:53:51Z</dcterms:modified>
</cp:coreProperties>
</file>