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240" windowHeight="10650"/>
  </bookViews>
  <sheets>
    <sheet name="default" sheetId="1" r:id="rId1"/>
    <sheet name="rela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75" i="1" l="1"/>
  <c r="L276" i="1"/>
  <c r="L274" i="1"/>
  <c r="L244" i="1"/>
  <c r="L243" i="1"/>
  <c r="L242" i="1"/>
  <c r="L150" i="1" l="1"/>
  <c r="L149" i="1"/>
  <c r="L138" i="1"/>
  <c r="L137" i="1"/>
  <c r="L157" i="1"/>
  <c r="O146" i="1" l="1"/>
  <c r="N146" i="1"/>
  <c r="L146" i="1"/>
  <c r="N116" i="1"/>
  <c r="N69" i="1" l="1"/>
  <c r="N72" i="1" s="1"/>
  <c r="N75" i="1" s="1"/>
  <c r="L71" i="1"/>
  <c r="L74" i="1" s="1"/>
  <c r="L77" i="1" s="1"/>
  <c r="L70" i="1"/>
  <c r="L73" i="1" s="1"/>
  <c r="L76" i="1" s="1"/>
  <c r="L69" i="1"/>
  <c r="L72" i="1" s="1"/>
  <c r="L75" i="1" s="1"/>
  <c r="N84" i="1" l="1"/>
  <c r="L86" i="1"/>
  <c r="L85" i="1"/>
  <c r="L84" i="1"/>
  <c r="N63" i="1"/>
  <c r="L65" i="1"/>
  <c r="L64" i="1"/>
  <c r="L63" i="1"/>
  <c r="L62" i="1"/>
  <c r="L61" i="1"/>
  <c r="N60" i="1"/>
  <c r="L60" i="1"/>
  <c r="N37" i="1"/>
  <c r="L39" i="1"/>
  <c r="L38" i="1"/>
  <c r="L37" i="1"/>
  <c r="N45" i="1"/>
  <c r="N97" i="1" s="1"/>
  <c r="L47" i="1"/>
  <c r="L102" i="1" s="1"/>
  <c r="L46" i="1"/>
  <c r="L98" i="1" s="1"/>
  <c r="L45" i="1"/>
  <c r="L89" i="1" s="1"/>
  <c r="N95" i="1"/>
  <c r="N87" i="1"/>
  <c r="N25" i="1"/>
  <c r="L26" i="1"/>
  <c r="L27" i="1"/>
  <c r="L28" i="1"/>
  <c r="L25" i="1"/>
  <c r="N89" i="1" l="1"/>
  <c r="L93" i="1"/>
  <c r="L94" i="1"/>
  <c r="N100" i="1"/>
  <c r="L91" i="1"/>
  <c r="N92" i="1"/>
  <c r="L101" i="1"/>
  <c r="L99" i="1"/>
  <c r="L97" i="1"/>
  <c r="L90" i="1"/>
  <c r="L100" i="1"/>
  <c r="L92" i="1"/>
  <c r="L148" i="1"/>
  <c r="L147" i="1"/>
  <c r="L117" i="1"/>
  <c r="L118" i="1"/>
  <c r="L116" i="1"/>
  <c r="L186" i="1"/>
  <c r="L185" i="1"/>
  <c r="L88" i="1"/>
  <c r="L87" i="1"/>
  <c r="L96" i="1"/>
  <c r="L95" i="1"/>
</calcChain>
</file>

<file path=xl/sharedStrings.xml><?xml version="1.0" encoding="utf-8"?>
<sst xmlns="http://schemas.openxmlformats.org/spreadsheetml/2006/main" count="1054" uniqueCount="190">
  <si>
    <t>f_crop</t>
  </si>
  <si>
    <t>parameter</t>
  </si>
  <si>
    <t>value</t>
  </si>
  <si>
    <t>unit</t>
  </si>
  <si>
    <t>description</t>
  </si>
  <si>
    <t>source</t>
  </si>
  <si>
    <t>region</t>
  </si>
  <si>
    <t>Wheat, winter</t>
  </si>
  <si>
    <t>f_use</t>
  </si>
  <si>
    <t>food</t>
  </si>
  <si>
    <t>N_rec_a</t>
  </si>
  <si>
    <t>N_rec_b</t>
  </si>
  <si>
    <t>N_rec_m</t>
  </si>
  <si>
    <t>N_ley_a</t>
  </si>
  <si>
    <t>N_ley_m</t>
  </si>
  <si>
    <t>Fallback</t>
  </si>
  <si>
    <t>Wheat, spring</t>
  </si>
  <si>
    <t>Barley, spring</t>
  </si>
  <si>
    <t>Korn, foder, norra götaland och svealand</t>
  </si>
  <si>
    <t>Korn, malt norra götaland och svealand</t>
  </si>
  <si>
    <t>Havre, norra götaland och svealand</t>
  </si>
  <si>
    <t>Oats</t>
  </si>
  <si>
    <t>Rågvete/höstkorn, norra  götaland och svealand</t>
  </si>
  <si>
    <t>Barley, winter</t>
  </si>
  <si>
    <t>Triticale, spring</t>
  </si>
  <si>
    <t>Triticale, winter</t>
  </si>
  <si>
    <t>Råg, norra götaland och Svealand</t>
  </si>
  <si>
    <t>Rye</t>
  </si>
  <si>
    <t>Mixed cereals</t>
  </si>
  <si>
    <t>Maize (corn)</t>
  </si>
  <si>
    <t>Peas, dry</t>
  </si>
  <si>
    <t>Peas, green</t>
  </si>
  <si>
    <t>Broad beans and horse beans, dry</t>
  </si>
  <si>
    <t>Beans, dry</t>
  </si>
  <si>
    <t>Rapeseed, winter</t>
  </si>
  <si>
    <t>Rapeseed, spring</t>
  </si>
  <si>
    <t>Potatoes, table</t>
  </si>
  <si>
    <t>Potatoes, starch</t>
  </si>
  <si>
    <t>Sugar beet</t>
  </si>
  <si>
    <t>Ley for seed</t>
  </si>
  <si>
    <t>Ley for fodder</t>
  </si>
  <si>
    <t>Ley for grazing</t>
  </si>
  <si>
    <t>Maize for forage and silage</t>
  </si>
  <si>
    <t>Cereals for fodder</t>
  </si>
  <si>
    <t>Other crops for fodder</t>
  </si>
  <si>
    <t>Semi-natural pastures</t>
  </si>
  <si>
    <t>Semi-natural meadows</t>
  </si>
  <si>
    <t>Onions</t>
  </si>
  <si>
    <t>Carrots</t>
  </si>
  <si>
    <t>Other root vegetables</t>
  </si>
  <si>
    <t>Lettuce and spinach</t>
  </si>
  <si>
    <t>Cabbages, cauliflowers and broccoli</t>
  </si>
  <si>
    <t>Cucumbers</t>
  </si>
  <si>
    <t>Pumpkins and squash</t>
  </si>
  <si>
    <t>Herbs</t>
  </si>
  <si>
    <t>Other vegetables</t>
  </si>
  <si>
    <t>Strawberries</t>
  </si>
  <si>
    <t>Currants</t>
  </si>
  <si>
    <t>Other berries</t>
  </si>
  <si>
    <t>Apples</t>
  </si>
  <si>
    <t>Pears</t>
  </si>
  <si>
    <t>Other fruit</t>
  </si>
  <si>
    <t>Tomatoes, greenhouse</t>
  </si>
  <si>
    <t>Cucumbers, greenhouse</t>
  </si>
  <si>
    <t>Lettuce, greenhouse</t>
  </si>
  <si>
    <t>Other vegetables, greenhouse</t>
  </si>
  <si>
    <t>Herbs, greenhouse</t>
  </si>
  <si>
    <t>Strawberries, greenhouse</t>
  </si>
  <si>
    <t>Other berries, greenhouse</t>
  </si>
  <si>
    <t>Fallow</t>
  </si>
  <si>
    <t>Energy grass</t>
  </si>
  <si>
    <t>Short rotation coppice</t>
  </si>
  <si>
    <t>Green manure</t>
  </si>
  <si>
    <t>Ley not harvested</t>
  </si>
  <si>
    <t>No N fertilisation assumed</t>
  </si>
  <si>
    <t>No N fertilisation assumed. Very low in statistics from 2016 (below 3 kgN/ha) and not fertilized with N in Tidåker et al 2021</t>
  </si>
  <si>
    <t>medel riket statistik växttillgängligt</t>
  </si>
  <si>
    <t>Tidåker et al 2021</t>
  </si>
  <si>
    <t>No adjustment</t>
  </si>
  <si>
    <t>Assume 94% of recommended N, based on average in Sweden. Very little statistics available</t>
  </si>
  <si>
    <t>recommended nitrogen rate is 110 kg N/ha, which is followed more or less according to statistics (applied N rates (plant available N) were 98-105% of recommended rate in 2016)</t>
  </si>
  <si>
    <t>grass clover ley (20% clover) and three harvest, there are many different recommendations depending on amounts of harvest and % of clover</t>
  </si>
  <si>
    <t>Yara: (https://www.yara.se/vaxtnaring/jordgubbar/)</t>
  </si>
  <si>
    <t>Raspberries. Nilsson 2011</t>
  </si>
  <si>
    <t>Yara (https://www.yara.se/vaxtnaring/applen-paron/tabeller/) med underväst av gräs, ökar N behovet med 30-50 kg/ha</t>
  </si>
  <si>
    <t xml:space="preserve">yield in fresh weight (DM 10.7%). </t>
  </si>
  <si>
    <t>Yara (2018)</t>
  </si>
  <si>
    <t xml:space="preserve">isberg, friland. yield in fresh weight, 4% DM </t>
  </si>
  <si>
    <t xml:space="preserve">yield in fresh weight, 9% DM </t>
  </si>
  <si>
    <t xml:space="preserve">yield in fresh weight 5% DM </t>
  </si>
  <si>
    <t>f_prod_system</t>
  </si>
  <si>
    <t>4 Svealands slättbygder</t>
  </si>
  <si>
    <t>5 Götalands skogsbygder</t>
  </si>
  <si>
    <t>3 Götalands norra slättbygder</t>
  </si>
  <si>
    <t>6 Mellersta Sveriges skogsbygder</t>
  </si>
  <si>
    <t>2 Götalands mellanbygder</t>
  </si>
  <si>
    <t>1 Götalands södra slättbygder</t>
  </si>
  <si>
    <t>7 Nedre Norrland</t>
  </si>
  <si>
    <t>8 Övre Norrland</t>
  </si>
  <si>
    <t>po8</t>
  </si>
  <si>
    <t>f_po8</t>
  </si>
  <si>
    <t>Höstvete foder/bröd, södra götaland</t>
  </si>
  <si>
    <t>Höstevete foder/bröd norra götaland och svealand</t>
  </si>
  <si>
    <t>Rågvete/höstkorn, södra götaland</t>
  </si>
  <si>
    <t>Råg, södra götaland</t>
  </si>
  <si>
    <t>Korn foder, södra götaland</t>
  </si>
  <si>
    <t>Korn, malt södra götaland</t>
  </si>
  <si>
    <t>Havre södra götaland</t>
  </si>
  <si>
    <t>Korn, norrland</t>
  </si>
  <si>
    <t>Potatis</t>
  </si>
  <si>
    <t>Assume same as apples</t>
  </si>
  <si>
    <t>Assume same as carrots</t>
  </si>
  <si>
    <t>Assume same as lettuce</t>
  </si>
  <si>
    <t>%</t>
  </si>
  <si>
    <t>organic</t>
  </si>
  <si>
    <t>kg P/ha</t>
  </si>
  <si>
    <t>manure_P_max</t>
  </si>
  <si>
    <t>Chapter 2.2.4.1 in Rekommendationer för gödsling och kalkning 2023</t>
  </si>
  <si>
    <r>
      <t xml:space="preserve">TAN recommendation [kg plant available N / ha] as a function of yield [tonnes] </t>
    </r>
    <r>
      <rPr>
        <sz val="11"/>
        <color theme="1"/>
        <rFont val="Calibri"/>
        <family val="2"/>
        <scheme val="minor"/>
      </rPr>
      <t>( N_rec = N_rec_a*Y^2 + N_rec_b*Y + N_rec_m )</t>
    </r>
  </si>
  <si>
    <r>
      <t xml:space="preserve">TAN application adjustment factor as a function of ley in region </t>
    </r>
    <r>
      <rPr>
        <sz val="11"/>
        <color theme="1"/>
        <rFont val="Calibri"/>
        <family val="2"/>
        <scheme val="minor"/>
      </rPr>
      <t>( N_adj = N_ley_a*PL + N_ley_m )</t>
    </r>
  </si>
  <si>
    <t>max P allowed on cropland on regional level</t>
  </si>
  <si>
    <t>manure_TAN_max</t>
  </si>
  <si>
    <t>Share of TAN requirements covered by manure. Based on 20,000 tonnes N from manure (incl. digested) of 22,000 tonnes N in total applied on organic areas.</t>
  </si>
  <si>
    <t>Specialbearbetning av stallgödselundersökningen till Einarsson et al 2022. The nitrogen footprint of Swedish food consumption.</t>
  </si>
  <si>
    <t>Manure distribution parameters</t>
  </si>
  <si>
    <t>NPK mixtures</t>
  </si>
  <si>
    <t>Calcium ammonium nitrate</t>
  </si>
  <si>
    <t>Ammonium nitrate</t>
  </si>
  <si>
    <t>% of N</t>
  </si>
  <si>
    <t>Swedish IIR 2023. Table 5-23</t>
  </si>
  <si>
    <t>Only three largest included for now</t>
  </si>
  <si>
    <t>f_compound</t>
  </si>
  <si>
    <t>NH3-N</t>
  </si>
  <si>
    <t>% of TAN</t>
  </si>
  <si>
    <t>Swedish IIR 2023. Table 5-24</t>
  </si>
  <si>
    <t>Swedish IIR 2023. Table 5-25</t>
  </si>
  <si>
    <t>Recalculated from gNH3/kgN</t>
  </si>
  <si>
    <t>f_species</t>
  </si>
  <si>
    <t>f_breed</t>
  </si>
  <si>
    <t>f_animal</t>
  </si>
  <si>
    <t>f_MMS</t>
  </si>
  <si>
    <t>cattle</t>
  </si>
  <si>
    <t>dairy</t>
  </si>
  <si>
    <t>cows</t>
  </si>
  <si>
    <t>beef</t>
  </si>
  <si>
    <t>heifers</t>
  </si>
  <si>
    <t>calves</t>
  </si>
  <si>
    <t>pigs</t>
  </si>
  <si>
    <t>sows</t>
  </si>
  <si>
    <t>boars</t>
  </si>
  <si>
    <t>piglets</t>
  </si>
  <si>
    <t>gilts</t>
  </si>
  <si>
    <t>poultry</t>
  </si>
  <si>
    <t>broiler</t>
  </si>
  <si>
    <t>liquid</t>
  </si>
  <si>
    <t>solid</t>
  </si>
  <si>
    <t>deep litter</t>
  </si>
  <si>
    <t>bulls, steers and breeding bulls</t>
  </si>
  <si>
    <t>growing and finishing pigs</t>
  </si>
  <si>
    <t>same as sows</t>
  </si>
  <si>
    <t>horses</t>
  </si>
  <si>
    <t>mineral_N_fertiliser_share</t>
  </si>
  <si>
    <t>f_fertiliser_type</t>
  </si>
  <si>
    <t>application_losses</t>
  </si>
  <si>
    <t>conventional</t>
  </si>
  <si>
    <t>Mineral fertiliser shares</t>
  </si>
  <si>
    <t>No mineral N for organic</t>
  </si>
  <si>
    <t>fallback</t>
  </si>
  <si>
    <t>Mineral fertilisers</t>
  </si>
  <si>
    <t>Manure</t>
  </si>
  <si>
    <t>Swedish IIR 2023. Table 5-13</t>
  </si>
  <si>
    <t>N2O-N</t>
  </si>
  <si>
    <t>grazing</t>
  </si>
  <si>
    <t>Swedish NIR 2021. Table 5.18</t>
  </si>
  <si>
    <t>Swedish NIR 2021. Table 5.20</t>
  </si>
  <si>
    <t>manure on pasture (cattle)</t>
  </si>
  <si>
    <t>manure on pasture (other)</t>
  </si>
  <si>
    <t>crop residues</t>
  </si>
  <si>
    <t>mineral N fertiliser</t>
  </si>
  <si>
    <t>NH3 from manure on pasture!!</t>
  </si>
  <si>
    <t>applied manure</t>
  </si>
  <si>
    <t>Application losses</t>
  </si>
  <si>
    <t>Soil losses</t>
  </si>
  <si>
    <t>soil_losses_mineral</t>
  </si>
  <si>
    <t>soil_losses_organic</t>
  </si>
  <si>
    <t>soil_losses_manure</t>
  </si>
  <si>
    <t>soil_losses_crop_residues</t>
  </si>
  <si>
    <t>organic fertilisers (other than manure)</t>
  </si>
  <si>
    <t>Table 3.9. EMEP/EEA air pollutant emission inventory Guidebook 2019</t>
  </si>
  <si>
    <t>emission factors are available for different spreading techniques and timings. Use these!!!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</si>
</sst>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E+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164" fontId="5" fillId="0" borderId="0" xfId="0" applyNumberFormat="1" applyFont="1"/>
    <xf numFmtId="0" fontId="7" fillId="0" borderId="0" xfId="0" applyFont="1"/>
    <xf numFmtId="0" fontId="5" fillId="0" borderId="0" xfId="0" applyFont="1" applyFill="1" applyBorder="1"/>
    <xf numFmtId="0" fontId="1" fillId="0" borderId="0" xfId="0" applyFont="1" applyFill="1" applyBorder="1"/>
    <xf numFmtId="165" fontId="0" fillId="0" borderId="0" xfId="0" applyNumberFormat="1"/>
    <xf numFmtId="0" fontId="8" fillId="0" borderId="0" xfId="0" applyFont="1"/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2"/>
  <sheetViews>
    <sheetView tabSelected="1" zoomScale="80" zoomScaleNormal="80" workbookViewId="0">
      <pane ySplit="1" topLeftCell="A242" activePane="bottomLeft" state="frozen"/>
      <selection pane="bottomLeft" activeCell="N267" sqref="N267"/>
    </sheetView>
  </sheetViews>
  <sheetFormatPr defaultRowHeight="15" x14ac:dyDescent="0.25"/>
  <cols>
    <col min="1" max="1" width="21" customWidth="1"/>
    <col min="2" max="2" width="31.28515625" bestFit="1" customWidth="1"/>
    <col min="3" max="3" width="14.5703125" bestFit="1" customWidth="1"/>
    <col min="4" max="4" width="6" bestFit="1" customWidth="1"/>
    <col min="5" max="5" width="28.42578125" bestFit="1" customWidth="1"/>
    <col min="6" max="9" width="11.140625" customWidth="1"/>
    <col min="10" max="10" width="12.140625" bestFit="1" customWidth="1"/>
    <col min="11" max="11" width="23.7109375" customWidth="1"/>
    <col min="12" max="12" width="11" customWidth="1"/>
    <col min="13" max="13" width="9.5703125" bestFit="1" customWidth="1"/>
    <col min="14" max="14" width="35.42578125" customWidth="1"/>
    <col min="15" max="15" width="27.42578125" customWidth="1"/>
  </cols>
  <sheetData>
    <row r="1" spans="1:15" x14ac:dyDescent="0.25">
      <c r="A1" s="1" t="s">
        <v>0</v>
      </c>
      <c r="B1" s="1" t="s">
        <v>100</v>
      </c>
      <c r="C1" s="1" t="s">
        <v>90</v>
      </c>
      <c r="D1" s="1" t="s">
        <v>8</v>
      </c>
      <c r="E1" s="1" t="s">
        <v>162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131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</row>
    <row r="3" spans="1:15" x14ac:dyDescent="0.25">
      <c r="A3" s="2" t="s">
        <v>124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C4" t="s">
        <v>114</v>
      </c>
      <c r="K4" t="s">
        <v>121</v>
      </c>
      <c r="L4">
        <v>91</v>
      </c>
      <c r="M4" t="s">
        <v>113</v>
      </c>
      <c r="N4" t="s">
        <v>122</v>
      </c>
      <c r="O4" t="s">
        <v>123</v>
      </c>
    </row>
    <row r="5" spans="1:15" x14ac:dyDescent="0.25">
      <c r="K5" t="s">
        <v>116</v>
      </c>
      <c r="L5">
        <v>22</v>
      </c>
      <c r="M5" t="s">
        <v>115</v>
      </c>
      <c r="N5" t="s">
        <v>120</v>
      </c>
      <c r="O5" t="s">
        <v>117</v>
      </c>
    </row>
    <row r="7" spans="1:15" x14ac:dyDescent="0.25">
      <c r="A7" s="2" t="s">
        <v>165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C8" t="s">
        <v>114</v>
      </c>
      <c r="K8" t="s">
        <v>161</v>
      </c>
      <c r="L8">
        <v>0</v>
      </c>
      <c r="M8" t="s">
        <v>128</v>
      </c>
      <c r="N8" s="5" t="s">
        <v>166</v>
      </c>
    </row>
    <row r="9" spans="1:15" x14ac:dyDescent="0.25">
      <c r="C9" t="s">
        <v>164</v>
      </c>
      <c r="E9" t="s">
        <v>126</v>
      </c>
      <c r="K9" t="s">
        <v>161</v>
      </c>
      <c r="L9">
        <v>59</v>
      </c>
      <c r="M9" t="s">
        <v>128</v>
      </c>
      <c r="N9" s="7" t="s">
        <v>130</v>
      </c>
      <c r="O9" t="s">
        <v>129</v>
      </c>
    </row>
    <row r="10" spans="1:15" x14ac:dyDescent="0.25">
      <c r="C10" t="s">
        <v>164</v>
      </c>
      <c r="E10" t="s">
        <v>127</v>
      </c>
      <c r="K10" t="s">
        <v>161</v>
      </c>
      <c r="L10">
        <v>7</v>
      </c>
      <c r="M10" t="s">
        <v>128</v>
      </c>
      <c r="O10" t="s">
        <v>134</v>
      </c>
    </row>
    <row r="11" spans="1:15" x14ac:dyDescent="0.25">
      <c r="C11" t="s">
        <v>164</v>
      </c>
      <c r="E11" t="s">
        <v>125</v>
      </c>
      <c r="K11" t="s">
        <v>161</v>
      </c>
      <c r="L11">
        <v>34</v>
      </c>
      <c r="M11" t="s">
        <v>128</v>
      </c>
      <c r="O11" t="s">
        <v>135</v>
      </c>
    </row>
    <row r="13" spans="1:15" x14ac:dyDescent="0.25">
      <c r="A13" s="2" t="s">
        <v>118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  <c r="O13" s="3"/>
    </row>
    <row r="14" spans="1:15" x14ac:dyDescent="0.25">
      <c r="K14" s="6" t="s">
        <v>10</v>
      </c>
      <c r="L14" s="6">
        <v>0</v>
      </c>
      <c r="M14" s="6"/>
      <c r="N14" s="6" t="s">
        <v>15</v>
      </c>
    </row>
    <row r="15" spans="1:15" x14ac:dyDescent="0.25">
      <c r="K15" s="6" t="s">
        <v>11</v>
      </c>
      <c r="L15" s="6">
        <v>0</v>
      </c>
      <c r="M15" s="6"/>
      <c r="N15" s="6" t="s">
        <v>15</v>
      </c>
    </row>
    <row r="16" spans="1:15" x14ac:dyDescent="0.25">
      <c r="K16" s="6" t="s">
        <v>12</v>
      </c>
      <c r="L16" s="6">
        <v>0</v>
      </c>
      <c r="M16" s="6"/>
      <c r="N16" s="6" t="s">
        <v>15</v>
      </c>
    </row>
    <row r="17" spans="1:14" x14ac:dyDescent="0.25">
      <c r="A17" t="s">
        <v>7</v>
      </c>
      <c r="K17" t="s">
        <v>10</v>
      </c>
      <c r="L17">
        <v>-0.80359999999999998</v>
      </c>
      <c r="N17" t="s">
        <v>102</v>
      </c>
    </row>
    <row r="18" spans="1:14" x14ac:dyDescent="0.25">
      <c r="A18" t="s">
        <v>7</v>
      </c>
      <c r="K18" t="s">
        <v>11</v>
      </c>
      <c r="L18">
        <v>24.088999999999999</v>
      </c>
    </row>
    <row r="19" spans="1:14" x14ac:dyDescent="0.25">
      <c r="A19" t="s">
        <v>7</v>
      </c>
      <c r="K19" t="s">
        <v>12</v>
      </c>
      <c r="L19">
        <v>50.213999999999999</v>
      </c>
    </row>
    <row r="20" spans="1:14" x14ac:dyDescent="0.25">
      <c r="A20" t="s">
        <v>7</v>
      </c>
      <c r="D20" t="s">
        <v>9</v>
      </c>
      <c r="K20" t="s">
        <v>12</v>
      </c>
      <c r="L20">
        <v>55.213999999999999</v>
      </c>
    </row>
    <row r="21" spans="1:14" x14ac:dyDescent="0.25">
      <c r="A21" t="s">
        <v>7</v>
      </c>
      <c r="B21" t="s">
        <v>96</v>
      </c>
      <c r="K21" t="s">
        <v>10</v>
      </c>
      <c r="L21">
        <v>-0.71430000000000005</v>
      </c>
      <c r="N21" t="s">
        <v>101</v>
      </c>
    </row>
    <row r="22" spans="1:14" x14ac:dyDescent="0.25">
      <c r="A22" t="s">
        <v>7</v>
      </c>
      <c r="B22" t="s">
        <v>96</v>
      </c>
      <c r="K22" t="s">
        <v>11</v>
      </c>
      <c r="L22">
        <v>23.143000000000001</v>
      </c>
    </row>
    <row r="23" spans="1:14" x14ac:dyDescent="0.25">
      <c r="A23" t="s">
        <v>7</v>
      </c>
      <c r="B23" t="s">
        <v>96</v>
      </c>
      <c r="K23" t="s">
        <v>12</v>
      </c>
      <c r="L23">
        <v>42.570999999999998</v>
      </c>
    </row>
    <row r="24" spans="1:14" x14ac:dyDescent="0.25">
      <c r="A24" t="s">
        <v>7</v>
      </c>
      <c r="B24" t="s">
        <v>96</v>
      </c>
      <c r="D24" t="s">
        <v>9</v>
      </c>
      <c r="K24" t="s">
        <v>12</v>
      </c>
      <c r="L24">
        <v>47.570999999999998</v>
      </c>
    </row>
    <row r="25" spans="1:14" x14ac:dyDescent="0.25">
      <c r="A25" t="s">
        <v>7</v>
      </c>
      <c r="B25" t="s">
        <v>95</v>
      </c>
      <c r="K25" t="s">
        <v>10</v>
      </c>
      <c r="L25" s="9">
        <f>L21</f>
        <v>-0.71430000000000005</v>
      </c>
      <c r="N25" s="9" t="str">
        <f>N21</f>
        <v>Höstvete foder/bröd, södra götaland</v>
      </c>
    </row>
    <row r="26" spans="1:14" x14ac:dyDescent="0.25">
      <c r="A26" t="s">
        <v>7</v>
      </c>
      <c r="B26" t="s">
        <v>95</v>
      </c>
      <c r="K26" t="s">
        <v>11</v>
      </c>
      <c r="L26" s="9">
        <f t="shared" ref="L26:L28" si="0">L22</f>
        <v>23.143000000000001</v>
      </c>
    </row>
    <row r="27" spans="1:14" x14ac:dyDescent="0.25">
      <c r="A27" t="s">
        <v>7</v>
      </c>
      <c r="B27" t="s">
        <v>95</v>
      </c>
      <c r="K27" t="s">
        <v>12</v>
      </c>
      <c r="L27" s="9">
        <f t="shared" si="0"/>
        <v>42.570999999999998</v>
      </c>
    </row>
    <row r="28" spans="1:14" x14ac:dyDescent="0.25">
      <c r="A28" t="s">
        <v>7</v>
      </c>
      <c r="B28" t="s">
        <v>95</v>
      </c>
      <c r="D28" t="s">
        <v>9</v>
      </c>
      <c r="K28" t="s">
        <v>12</v>
      </c>
      <c r="L28" s="9">
        <f t="shared" si="0"/>
        <v>47.570999999999998</v>
      </c>
    </row>
    <row r="29" spans="1:14" x14ac:dyDescent="0.25">
      <c r="A29" t="s">
        <v>16</v>
      </c>
      <c r="K29" t="s">
        <v>11</v>
      </c>
      <c r="L29">
        <v>20</v>
      </c>
    </row>
    <row r="30" spans="1:14" x14ac:dyDescent="0.25">
      <c r="A30" t="s">
        <v>16</v>
      </c>
      <c r="K30" t="s">
        <v>12</v>
      </c>
      <c r="L30">
        <v>70</v>
      </c>
    </row>
    <row r="31" spans="1:14" x14ac:dyDescent="0.25">
      <c r="A31" t="s">
        <v>27</v>
      </c>
      <c r="K31" t="s">
        <v>10</v>
      </c>
      <c r="L31">
        <v>-1.7857000000000001</v>
      </c>
      <c r="N31" t="s">
        <v>26</v>
      </c>
    </row>
    <row r="32" spans="1:14" x14ac:dyDescent="0.25">
      <c r="A32" t="s">
        <v>27</v>
      </c>
      <c r="K32" t="s">
        <v>11</v>
      </c>
      <c r="L32">
        <v>30.786000000000001</v>
      </c>
    </row>
    <row r="33" spans="1:14" x14ac:dyDescent="0.25">
      <c r="A33" t="s">
        <v>27</v>
      </c>
      <c r="K33" t="s">
        <v>12</v>
      </c>
      <c r="L33">
        <v>25</v>
      </c>
    </row>
    <row r="34" spans="1:14" x14ac:dyDescent="0.25">
      <c r="A34" t="s">
        <v>27</v>
      </c>
      <c r="B34" t="s">
        <v>96</v>
      </c>
      <c r="K34" t="s">
        <v>10</v>
      </c>
      <c r="L34">
        <v>-1.25</v>
      </c>
      <c r="N34" t="s">
        <v>104</v>
      </c>
    </row>
    <row r="35" spans="1:14" x14ac:dyDescent="0.25">
      <c r="A35" t="s">
        <v>27</v>
      </c>
      <c r="B35" t="s">
        <v>96</v>
      </c>
      <c r="K35" t="s">
        <v>11</v>
      </c>
      <c r="L35">
        <v>27.75</v>
      </c>
    </row>
    <row r="36" spans="1:14" x14ac:dyDescent="0.25">
      <c r="A36" t="s">
        <v>27</v>
      </c>
      <c r="B36" t="s">
        <v>96</v>
      </c>
      <c r="K36" t="s">
        <v>12</v>
      </c>
      <c r="L36">
        <v>18.25</v>
      </c>
    </row>
    <row r="37" spans="1:14" x14ac:dyDescent="0.25">
      <c r="A37" t="s">
        <v>27</v>
      </c>
      <c r="B37" t="s">
        <v>95</v>
      </c>
      <c r="K37" t="s">
        <v>10</v>
      </c>
      <c r="L37" s="9">
        <f>L34</f>
        <v>-1.25</v>
      </c>
      <c r="M37" s="9"/>
      <c r="N37" s="9" t="str">
        <f>N34</f>
        <v>Råg, södra götaland</v>
      </c>
    </row>
    <row r="38" spans="1:14" x14ac:dyDescent="0.25">
      <c r="A38" t="s">
        <v>27</v>
      </c>
      <c r="B38" t="s">
        <v>95</v>
      </c>
      <c r="K38" t="s">
        <v>11</v>
      </c>
      <c r="L38" s="9">
        <f>L35</f>
        <v>27.75</v>
      </c>
      <c r="M38" s="9"/>
      <c r="N38" s="9"/>
    </row>
    <row r="39" spans="1:14" x14ac:dyDescent="0.25">
      <c r="A39" t="s">
        <v>27</v>
      </c>
      <c r="B39" t="s">
        <v>95</v>
      </c>
      <c r="K39" t="s">
        <v>12</v>
      </c>
      <c r="L39" s="9">
        <f>L36</f>
        <v>18.25</v>
      </c>
      <c r="M39" s="9"/>
      <c r="N39" s="9"/>
    </row>
    <row r="40" spans="1:14" x14ac:dyDescent="0.25">
      <c r="A40" t="s">
        <v>23</v>
      </c>
      <c r="K40" t="s">
        <v>11</v>
      </c>
      <c r="L40">
        <v>16.856999999999999</v>
      </c>
      <c r="N40" t="s">
        <v>22</v>
      </c>
    </row>
    <row r="41" spans="1:14" x14ac:dyDescent="0.25">
      <c r="A41" t="s">
        <v>23</v>
      </c>
      <c r="K41" t="s">
        <v>12</v>
      </c>
      <c r="L41">
        <v>59.143000000000001</v>
      </c>
    </row>
    <row r="42" spans="1:14" x14ac:dyDescent="0.25">
      <c r="A42" t="s">
        <v>23</v>
      </c>
      <c r="B42" t="s">
        <v>96</v>
      </c>
      <c r="K42" t="s">
        <v>10</v>
      </c>
      <c r="L42">
        <v>-0.71430000000000005</v>
      </c>
      <c r="N42" t="s">
        <v>103</v>
      </c>
    </row>
    <row r="43" spans="1:14" x14ac:dyDescent="0.25">
      <c r="A43" t="s">
        <v>23</v>
      </c>
      <c r="B43" t="s">
        <v>96</v>
      </c>
      <c r="K43" t="s">
        <v>11</v>
      </c>
      <c r="L43">
        <v>23.143000000000001</v>
      </c>
    </row>
    <row r="44" spans="1:14" x14ac:dyDescent="0.25">
      <c r="A44" t="s">
        <v>23</v>
      </c>
      <c r="B44" t="s">
        <v>96</v>
      </c>
      <c r="K44" t="s">
        <v>12</v>
      </c>
      <c r="L44">
        <v>37.570999999999998</v>
      </c>
    </row>
    <row r="45" spans="1:14" x14ac:dyDescent="0.25">
      <c r="A45" t="s">
        <v>23</v>
      </c>
      <c r="B45" t="s">
        <v>95</v>
      </c>
      <c r="K45" t="s">
        <v>10</v>
      </c>
      <c r="L45" s="9">
        <f>L42</f>
        <v>-0.71430000000000005</v>
      </c>
      <c r="N45" s="9" t="str">
        <f>N42</f>
        <v>Rågvete/höstkorn, södra götaland</v>
      </c>
    </row>
    <row r="46" spans="1:14" x14ac:dyDescent="0.25">
      <c r="A46" t="s">
        <v>23</v>
      </c>
      <c r="B46" t="s">
        <v>95</v>
      </c>
      <c r="K46" t="s">
        <v>11</v>
      </c>
      <c r="L46" s="9">
        <f>L43</f>
        <v>23.143000000000001</v>
      </c>
    </row>
    <row r="47" spans="1:14" x14ac:dyDescent="0.25">
      <c r="A47" t="s">
        <v>23</v>
      </c>
      <c r="B47" t="s">
        <v>95</v>
      </c>
      <c r="K47" t="s">
        <v>12</v>
      </c>
      <c r="L47" s="9">
        <f>L44</f>
        <v>37.570999999999998</v>
      </c>
    </row>
    <row r="48" spans="1:14" x14ac:dyDescent="0.25">
      <c r="A48" t="s">
        <v>17</v>
      </c>
      <c r="K48" t="s">
        <v>10</v>
      </c>
      <c r="L48">
        <v>-1.0713999999999999</v>
      </c>
      <c r="N48" t="s">
        <v>18</v>
      </c>
    </row>
    <row r="49" spans="1:14" x14ac:dyDescent="0.25">
      <c r="A49" t="s">
        <v>17</v>
      </c>
      <c r="K49" t="s">
        <v>11</v>
      </c>
      <c r="L49">
        <v>23.928999999999998</v>
      </c>
    </row>
    <row r="50" spans="1:14" x14ac:dyDescent="0.25">
      <c r="A50" t="s">
        <v>17</v>
      </c>
      <c r="K50" t="s">
        <v>12</v>
      </c>
      <c r="L50">
        <v>32</v>
      </c>
    </row>
    <row r="51" spans="1:14" x14ac:dyDescent="0.25">
      <c r="A51" t="s">
        <v>17</v>
      </c>
      <c r="D51" t="s">
        <v>9</v>
      </c>
      <c r="K51" t="s">
        <v>10</v>
      </c>
      <c r="L51" s="8">
        <v>1E-13</v>
      </c>
      <c r="N51" t="s">
        <v>19</v>
      </c>
    </row>
    <row r="52" spans="1:14" x14ac:dyDescent="0.25">
      <c r="A52" t="s">
        <v>17</v>
      </c>
      <c r="D52" t="s">
        <v>9</v>
      </c>
      <c r="K52" t="s">
        <v>11</v>
      </c>
      <c r="L52">
        <v>15</v>
      </c>
    </row>
    <row r="53" spans="1:14" x14ac:dyDescent="0.25">
      <c r="A53" t="s">
        <v>17</v>
      </c>
      <c r="D53" t="s">
        <v>9</v>
      </c>
      <c r="K53" t="s">
        <v>12</v>
      </c>
      <c r="L53">
        <v>45</v>
      </c>
    </row>
    <row r="54" spans="1:14" x14ac:dyDescent="0.25">
      <c r="A54" t="s">
        <v>17</v>
      </c>
      <c r="B54" t="s">
        <v>96</v>
      </c>
      <c r="K54" t="s">
        <v>10</v>
      </c>
      <c r="L54">
        <v>-1.25</v>
      </c>
      <c r="N54" t="s">
        <v>105</v>
      </c>
    </row>
    <row r="55" spans="1:14" x14ac:dyDescent="0.25">
      <c r="A55" t="s">
        <v>17</v>
      </c>
      <c r="B55" t="s">
        <v>96</v>
      </c>
      <c r="K55" t="s">
        <v>11</v>
      </c>
      <c r="L55">
        <v>25.25</v>
      </c>
    </row>
    <row r="56" spans="1:14" x14ac:dyDescent="0.25">
      <c r="A56" t="s">
        <v>17</v>
      </c>
      <c r="B56" t="s">
        <v>96</v>
      </c>
      <c r="K56" t="s">
        <v>12</v>
      </c>
      <c r="L56">
        <v>19.75</v>
      </c>
    </row>
    <row r="57" spans="1:14" x14ac:dyDescent="0.25">
      <c r="A57" t="s">
        <v>17</v>
      </c>
      <c r="B57" t="s">
        <v>96</v>
      </c>
      <c r="D57" t="s">
        <v>9</v>
      </c>
      <c r="K57" t="s">
        <v>10</v>
      </c>
      <c r="L57" s="8">
        <v>-2E-12</v>
      </c>
      <c r="N57" t="s">
        <v>106</v>
      </c>
    </row>
    <row r="58" spans="1:14" x14ac:dyDescent="0.25">
      <c r="A58" t="s">
        <v>17</v>
      </c>
      <c r="B58" t="s">
        <v>96</v>
      </c>
      <c r="D58" t="s">
        <v>9</v>
      </c>
      <c r="K58" t="s">
        <v>11</v>
      </c>
      <c r="L58">
        <v>15</v>
      </c>
    </row>
    <row r="59" spans="1:14" x14ac:dyDescent="0.25">
      <c r="A59" t="s">
        <v>17</v>
      </c>
      <c r="B59" t="s">
        <v>96</v>
      </c>
      <c r="D59" t="s">
        <v>9</v>
      </c>
      <c r="K59" t="s">
        <v>12</v>
      </c>
      <c r="L59">
        <v>45</v>
      </c>
    </row>
    <row r="60" spans="1:14" x14ac:dyDescent="0.25">
      <c r="A60" t="s">
        <v>17</v>
      </c>
      <c r="B60" t="s">
        <v>95</v>
      </c>
      <c r="K60" t="s">
        <v>10</v>
      </c>
      <c r="L60" s="9">
        <f t="shared" ref="L60:L65" si="1">L54</f>
        <v>-1.25</v>
      </c>
      <c r="N60" s="9" t="str">
        <f>N54</f>
        <v>Korn foder, södra götaland</v>
      </c>
    </row>
    <row r="61" spans="1:14" x14ac:dyDescent="0.25">
      <c r="A61" t="s">
        <v>17</v>
      </c>
      <c r="B61" t="s">
        <v>95</v>
      </c>
      <c r="K61" t="s">
        <v>11</v>
      </c>
      <c r="L61" s="9">
        <f t="shared" si="1"/>
        <v>25.25</v>
      </c>
    </row>
    <row r="62" spans="1:14" x14ac:dyDescent="0.25">
      <c r="A62" t="s">
        <v>17</v>
      </c>
      <c r="B62" t="s">
        <v>95</v>
      </c>
      <c r="K62" t="s">
        <v>12</v>
      </c>
      <c r="L62" s="9">
        <f t="shared" si="1"/>
        <v>19.75</v>
      </c>
    </row>
    <row r="63" spans="1:14" x14ac:dyDescent="0.25">
      <c r="A63" t="s">
        <v>17</v>
      </c>
      <c r="B63" t="s">
        <v>95</v>
      </c>
      <c r="D63" t="s">
        <v>9</v>
      </c>
      <c r="K63" t="s">
        <v>10</v>
      </c>
      <c r="L63" s="9">
        <f t="shared" si="1"/>
        <v>-2E-12</v>
      </c>
      <c r="N63" s="9" t="str">
        <f>N57</f>
        <v>Korn, malt södra götaland</v>
      </c>
    </row>
    <row r="64" spans="1:14" x14ac:dyDescent="0.25">
      <c r="A64" t="s">
        <v>17</v>
      </c>
      <c r="B64" t="s">
        <v>95</v>
      </c>
      <c r="D64" t="s">
        <v>9</v>
      </c>
      <c r="K64" t="s">
        <v>11</v>
      </c>
      <c r="L64" s="9">
        <f t="shared" si="1"/>
        <v>15</v>
      </c>
    </row>
    <row r="65" spans="1:14" x14ac:dyDescent="0.25">
      <c r="A65" t="s">
        <v>17</v>
      </c>
      <c r="B65" t="s">
        <v>95</v>
      </c>
      <c r="D65" t="s">
        <v>9</v>
      </c>
      <c r="K65" t="s">
        <v>12</v>
      </c>
      <c r="L65" s="9">
        <f t="shared" si="1"/>
        <v>45</v>
      </c>
    </row>
    <row r="66" spans="1:14" x14ac:dyDescent="0.25">
      <c r="A66" t="s">
        <v>17</v>
      </c>
      <c r="B66" t="s">
        <v>97</v>
      </c>
      <c r="K66" t="s">
        <v>10</v>
      </c>
      <c r="L66" s="5">
        <v>0</v>
      </c>
      <c r="N66" t="s">
        <v>108</v>
      </c>
    </row>
    <row r="67" spans="1:14" x14ac:dyDescent="0.25">
      <c r="A67" t="s">
        <v>17</v>
      </c>
      <c r="B67" t="s">
        <v>97</v>
      </c>
      <c r="K67" t="s">
        <v>11</v>
      </c>
      <c r="L67" s="5">
        <v>20</v>
      </c>
    </row>
    <row r="68" spans="1:14" x14ac:dyDescent="0.25">
      <c r="A68" t="s">
        <v>17</v>
      </c>
      <c r="B68" t="s">
        <v>97</v>
      </c>
      <c r="K68" t="s">
        <v>12</v>
      </c>
      <c r="L68" s="5">
        <v>35</v>
      </c>
    </row>
    <row r="69" spans="1:14" x14ac:dyDescent="0.25">
      <c r="A69" t="s">
        <v>17</v>
      </c>
      <c r="B69" t="s">
        <v>97</v>
      </c>
      <c r="D69" t="s">
        <v>9</v>
      </c>
      <c r="K69" t="s">
        <v>10</v>
      </c>
      <c r="L69" s="9">
        <f t="shared" ref="L69:L77" si="2">L66</f>
        <v>0</v>
      </c>
      <c r="N69" s="9" t="str">
        <f>N66</f>
        <v>Korn, norrland</v>
      </c>
    </row>
    <row r="70" spans="1:14" x14ac:dyDescent="0.25">
      <c r="A70" t="s">
        <v>17</v>
      </c>
      <c r="B70" t="s">
        <v>97</v>
      </c>
      <c r="D70" t="s">
        <v>9</v>
      </c>
      <c r="K70" t="s">
        <v>11</v>
      </c>
      <c r="L70" s="9">
        <f t="shared" si="2"/>
        <v>20</v>
      </c>
    </row>
    <row r="71" spans="1:14" x14ac:dyDescent="0.25">
      <c r="A71" t="s">
        <v>17</v>
      </c>
      <c r="B71" t="s">
        <v>97</v>
      </c>
      <c r="D71" t="s">
        <v>9</v>
      </c>
      <c r="K71" t="s">
        <v>12</v>
      </c>
      <c r="L71" s="9">
        <f t="shared" si="2"/>
        <v>35</v>
      </c>
    </row>
    <row r="72" spans="1:14" x14ac:dyDescent="0.25">
      <c r="A72" t="s">
        <v>17</v>
      </c>
      <c r="B72" t="s">
        <v>98</v>
      </c>
      <c r="K72" t="s">
        <v>10</v>
      </c>
      <c r="L72" s="9">
        <f t="shared" si="2"/>
        <v>0</v>
      </c>
      <c r="N72" s="9" t="str">
        <f>N69</f>
        <v>Korn, norrland</v>
      </c>
    </row>
    <row r="73" spans="1:14" x14ac:dyDescent="0.25">
      <c r="A73" t="s">
        <v>17</v>
      </c>
      <c r="B73" t="s">
        <v>98</v>
      </c>
      <c r="K73" t="s">
        <v>11</v>
      </c>
      <c r="L73" s="9">
        <f t="shared" si="2"/>
        <v>20</v>
      </c>
    </row>
    <row r="74" spans="1:14" x14ac:dyDescent="0.25">
      <c r="A74" t="s">
        <v>17</v>
      </c>
      <c r="B74" t="s">
        <v>98</v>
      </c>
      <c r="K74" t="s">
        <v>12</v>
      </c>
      <c r="L74" s="9">
        <f t="shared" si="2"/>
        <v>35</v>
      </c>
    </row>
    <row r="75" spans="1:14" x14ac:dyDescent="0.25">
      <c r="A75" t="s">
        <v>17</v>
      </c>
      <c r="B75" t="s">
        <v>98</v>
      </c>
      <c r="D75" t="s">
        <v>9</v>
      </c>
      <c r="K75" t="s">
        <v>10</v>
      </c>
      <c r="L75" s="9">
        <f t="shared" si="2"/>
        <v>0</v>
      </c>
      <c r="N75" s="9" t="str">
        <f>N72</f>
        <v>Korn, norrland</v>
      </c>
    </row>
    <row r="76" spans="1:14" x14ac:dyDescent="0.25">
      <c r="A76" t="s">
        <v>17</v>
      </c>
      <c r="B76" t="s">
        <v>98</v>
      </c>
      <c r="D76" t="s">
        <v>9</v>
      </c>
      <c r="K76" t="s">
        <v>11</v>
      </c>
      <c r="L76" s="9">
        <f t="shared" si="2"/>
        <v>20</v>
      </c>
    </row>
    <row r="77" spans="1:14" x14ac:dyDescent="0.25">
      <c r="A77" t="s">
        <v>17</v>
      </c>
      <c r="B77" t="s">
        <v>98</v>
      </c>
      <c r="D77" t="s">
        <v>9</v>
      </c>
      <c r="K77" t="s">
        <v>12</v>
      </c>
      <c r="L77" s="9">
        <f t="shared" si="2"/>
        <v>35</v>
      </c>
    </row>
    <row r="78" spans="1:14" x14ac:dyDescent="0.25">
      <c r="A78" t="s">
        <v>21</v>
      </c>
      <c r="K78" t="s">
        <v>10</v>
      </c>
      <c r="L78">
        <v>-1.0713999999999999</v>
      </c>
      <c r="N78" t="s">
        <v>20</v>
      </c>
    </row>
    <row r="79" spans="1:14" x14ac:dyDescent="0.25">
      <c r="A79" t="s">
        <v>21</v>
      </c>
      <c r="K79" t="s">
        <v>11</v>
      </c>
      <c r="L79">
        <v>23.928999999999998</v>
      </c>
    </row>
    <row r="80" spans="1:14" x14ac:dyDescent="0.25">
      <c r="A80" t="s">
        <v>21</v>
      </c>
      <c r="K80" t="s">
        <v>12</v>
      </c>
      <c r="L80">
        <v>22</v>
      </c>
    </row>
    <row r="81" spans="1:14" x14ac:dyDescent="0.25">
      <c r="A81" t="s">
        <v>21</v>
      </c>
      <c r="B81" t="s">
        <v>96</v>
      </c>
      <c r="K81" t="s">
        <v>10</v>
      </c>
      <c r="L81">
        <v>-1.25</v>
      </c>
      <c r="N81" t="s">
        <v>107</v>
      </c>
    </row>
    <row r="82" spans="1:14" x14ac:dyDescent="0.25">
      <c r="A82" t="s">
        <v>21</v>
      </c>
      <c r="B82" t="s">
        <v>96</v>
      </c>
      <c r="K82" t="s">
        <v>11</v>
      </c>
      <c r="L82">
        <v>25.25</v>
      </c>
    </row>
    <row r="83" spans="1:14" x14ac:dyDescent="0.25">
      <c r="A83" t="s">
        <v>21</v>
      </c>
      <c r="B83" t="s">
        <v>96</v>
      </c>
      <c r="K83" t="s">
        <v>12</v>
      </c>
      <c r="L83">
        <v>9.75</v>
      </c>
    </row>
    <row r="84" spans="1:14" x14ac:dyDescent="0.25">
      <c r="A84" t="s">
        <v>21</v>
      </c>
      <c r="B84" t="s">
        <v>95</v>
      </c>
      <c r="K84" t="s">
        <v>10</v>
      </c>
      <c r="L84" s="9">
        <f>L81</f>
        <v>-1.25</v>
      </c>
      <c r="N84" s="9" t="str">
        <f>N81</f>
        <v>Havre södra götaland</v>
      </c>
    </row>
    <row r="85" spans="1:14" x14ac:dyDescent="0.25">
      <c r="A85" t="s">
        <v>21</v>
      </c>
      <c r="B85" t="s">
        <v>95</v>
      </c>
      <c r="K85" t="s">
        <v>11</v>
      </c>
      <c r="L85" s="9">
        <f>L82</f>
        <v>25.25</v>
      </c>
    </row>
    <row r="86" spans="1:14" x14ac:dyDescent="0.25">
      <c r="A86" t="s">
        <v>21</v>
      </c>
      <c r="B86" t="s">
        <v>95</v>
      </c>
      <c r="K86" t="s">
        <v>12</v>
      </c>
      <c r="L86" s="9">
        <f>L83</f>
        <v>9.75</v>
      </c>
    </row>
    <row r="87" spans="1:14" x14ac:dyDescent="0.25">
      <c r="A87" t="s">
        <v>25</v>
      </c>
      <c r="K87" t="s">
        <v>11</v>
      </c>
      <c r="L87" s="9">
        <f>L40</f>
        <v>16.856999999999999</v>
      </c>
      <c r="N87" s="9" t="str">
        <f>N40</f>
        <v>Rågvete/höstkorn, norra  götaland och svealand</v>
      </c>
    </row>
    <row r="88" spans="1:14" x14ac:dyDescent="0.25">
      <c r="A88" t="s">
        <v>25</v>
      </c>
      <c r="K88" t="s">
        <v>12</v>
      </c>
      <c r="L88" s="9">
        <f>L41</f>
        <v>59.143000000000001</v>
      </c>
    </row>
    <row r="89" spans="1:14" x14ac:dyDescent="0.25">
      <c r="A89" t="s">
        <v>25</v>
      </c>
      <c r="B89" t="s">
        <v>96</v>
      </c>
      <c r="K89" t="s">
        <v>10</v>
      </c>
      <c r="L89" s="9">
        <f>L45</f>
        <v>-0.71430000000000005</v>
      </c>
      <c r="N89" s="9" t="str">
        <f>N45</f>
        <v>Rågvete/höstkorn, södra götaland</v>
      </c>
    </row>
    <row r="90" spans="1:14" x14ac:dyDescent="0.25">
      <c r="A90" t="s">
        <v>25</v>
      </c>
      <c r="B90" t="s">
        <v>96</v>
      </c>
      <c r="K90" t="s">
        <v>11</v>
      </c>
      <c r="L90" s="9">
        <f>L46</f>
        <v>23.143000000000001</v>
      </c>
    </row>
    <row r="91" spans="1:14" x14ac:dyDescent="0.25">
      <c r="A91" t="s">
        <v>25</v>
      </c>
      <c r="B91" t="s">
        <v>96</v>
      </c>
      <c r="K91" t="s">
        <v>12</v>
      </c>
      <c r="L91" s="9">
        <f>L47</f>
        <v>37.570999999999998</v>
      </c>
    </row>
    <row r="92" spans="1:14" x14ac:dyDescent="0.25">
      <c r="A92" t="s">
        <v>25</v>
      </c>
      <c r="B92" t="s">
        <v>95</v>
      </c>
      <c r="K92" t="s">
        <v>10</v>
      </c>
      <c r="L92" s="9">
        <f>L45</f>
        <v>-0.71430000000000005</v>
      </c>
      <c r="N92" s="9" t="str">
        <f>N45</f>
        <v>Rågvete/höstkorn, södra götaland</v>
      </c>
    </row>
    <row r="93" spans="1:14" x14ac:dyDescent="0.25">
      <c r="A93" t="s">
        <v>25</v>
      </c>
      <c r="B93" t="s">
        <v>95</v>
      </c>
      <c r="K93" t="s">
        <v>11</v>
      </c>
      <c r="L93" s="9">
        <f>L46</f>
        <v>23.143000000000001</v>
      </c>
    </row>
    <row r="94" spans="1:14" x14ac:dyDescent="0.25">
      <c r="A94" t="s">
        <v>25</v>
      </c>
      <c r="B94" t="s">
        <v>95</v>
      </c>
      <c r="K94" t="s">
        <v>12</v>
      </c>
      <c r="L94" s="9">
        <f>L47</f>
        <v>37.570999999999998</v>
      </c>
    </row>
    <row r="95" spans="1:14" x14ac:dyDescent="0.25">
      <c r="A95" t="s">
        <v>24</v>
      </c>
      <c r="K95" t="s">
        <v>11</v>
      </c>
      <c r="L95" s="9">
        <f>L40</f>
        <v>16.856999999999999</v>
      </c>
      <c r="N95" s="9" t="str">
        <f>N40</f>
        <v>Rågvete/höstkorn, norra  götaland och svealand</v>
      </c>
    </row>
    <row r="96" spans="1:14" x14ac:dyDescent="0.25">
      <c r="A96" t="s">
        <v>24</v>
      </c>
      <c r="K96" t="s">
        <v>12</v>
      </c>
      <c r="L96" s="9">
        <f>L41</f>
        <v>59.143000000000001</v>
      </c>
      <c r="N96" s="9"/>
    </row>
    <row r="97" spans="1:14" x14ac:dyDescent="0.25">
      <c r="A97" t="s">
        <v>24</v>
      </c>
      <c r="B97" t="s">
        <v>96</v>
      </c>
      <c r="K97" t="s">
        <v>10</v>
      </c>
      <c r="L97" s="9">
        <f>L45</f>
        <v>-0.71430000000000005</v>
      </c>
      <c r="N97" s="9" t="str">
        <f>N45</f>
        <v>Rågvete/höstkorn, södra götaland</v>
      </c>
    </row>
    <row r="98" spans="1:14" x14ac:dyDescent="0.25">
      <c r="A98" t="s">
        <v>24</v>
      </c>
      <c r="B98" t="s">
        <v>96</v>
      </c>
      <c r="K98" t="s">
        <v>11</v>
      </c>
      <c r="L98" s="9">
        <f>L46</f>
        <v>23.143000000000001</v>
      </c>
      <c r="N98" s="9"/>
    </row>
    <row r="99" spans="1:14" x14ac:dyDescent="0.25">
      <c r="A99" t="s">
        <v>24</v>
      </c>
      <c r="B99" t="s">
        <v>96</v>
      </c>
      <c r="K99" t="s">
        <v>12</v>
      </c>
      <c r="L99" s="9">
        <f>L47</f>
        <v>37.570999999999998</v>
      </c>
      <c r="N99" s="9"/>
    </row>
    <row r="100" spans="1:14" x14ac:dyDescent="0.25">
      <c r="A100" t="s">
        <v>24</v>
      </c>
      <c r="B100" t="s">
        <v>95</v>
      </c>
      <c r="K100" t="s">
        <v>10</v>
      </c>
      <c r="L100" s="9">
        <f>L45</f>
        <v>-0.71430000000000005</v>
      </c>
      <c r="N100" s="9" t="str">
        <f>N45</f>
        <v>Rågvete/höstkorn, södra götaland</v>
      </c>
    </row>
    <row r="101" spans="1:14" x14ac:dyDescent="0.25">
      <c r="A101" t="s">
        <v>24</v>
      </c>
      <c r="B101" t="s">
        <v>95</v>
      </c>
      <c r="K101" t="s">
        <v>11</v>
      </c>
      <c r="L101" s="9">
        <f>L46</f>
        <v>23.143000000000001</v>
      </c>
      <c r="N101" s="9"/>
    </row>
    <row r="102" spans="1:14" x14ac:dyDescent="0.25">
      <c r="A102" t="s">
        <v>24</v>
      </c>
      <c r="B102" t="s">
        <v>95</v>
      </c>
      <c r="K102" t="s">
        <v>12</v>
      </c>
      <c r="L102" s="9">
        <f>L47</f>
        <v>37.570999999999998</v>
      </c>
      <c r="N102" s="9"/>
    </row>
    <row r="103" spans="1:14" x14ac:dyDescent="0.25">
      <c r="A103" s="7" t="s">
        <v>29</v>
      </c>
      <c r="E103" s="7"/>
      <c r="F103" s="7"/>
      <c r="G103" s="7"/>
      <c r="H103" s="7"/>
      <c r="I103" s="7"/>
      <c r="J103" s="7"/>
      <c r="K103" s="7"/>
      <c r="L103" s="7"/>
      <c r="N103" s="7"/>
    </row>
    <row r="104" spans="1:14" x14ac:dyDescent="0.25">
      <c r="A104" t="s">
        <v>28</v>
      </c>
      <c r="K104" t="s">
        <v>12</v>
      </c>
      <c r="L104">
        <v>50</v>
      </c>
      <c r="N104" t="s">
        <v>76</v>
      </c>
    </row>
    <row r="105" spans="1:14" x14ac:dyDescent="0.25">
      <c r="A105" t="s">
        <v>30</v>
      </c>
      <c r="K105" t="s">
        <v>12</v>
      </c>
      <c r="L105">
        <v>0</v>
      </c>
      <c r="N105" t="s">
        <v>75</v>
      </c>
    </row>
    <row r="106" spans="1:14" x14ac:dyDescent="0.25">
      <c r="A106" t="s">
        <v>31</v>
      </c>
      <c r="K106" t="s">
        <v>12</v>
      </c>
      <c r="L106">
        <v>0</v>
      </c>
      <c r="N106" t="s">
        <v>75</v>
      </c>
    </row>
    <row r="107" spans="1:14" x14ac:dyDescent="0.25">
      <c r="A107" t="s">
        <v>32</v>
      </c>
      <c r="K107" t="s">
        <v>12</v>
      </c>
      <c r="L107">
        <v>0</v>
      </c>
      <c r="N107" t="s">
        <v>75</v>
      </c>
    </row>
    <row r="108" spans="1:14" x14ac:dyDescent="0.25">
      <c r="A108" t="s">
        <v>33</v>
      </c>
      <c r="K108" t="s">
        <v>12</v>
      </c>
      <c r="L108">
        <v>30</v>
      </c>
      <c r="N108" t="s">
        <v>77</v>
      </c>
    </row>
    <row r="109" spans="1:14" x14ac:dyDescent="0.25">
      <c r="A109" t="s">
        <v>34</v>
      </c>
      <c r="K109" t="s">
        <v>11</v>
      </c>
      <c r="L109">
        <v>20</v>
      </c>
    </row>
    <row r="110" spans="1:14" x14ac:dyDescent="0.25">
      <c r="A110" t="s">
        <v>34</v>
      </c>
      <c r="K110" t="s">
        <v>12</v>
      </c>
      <c r="L110">
        <v>65</v>
      </c>
    </row>
    <row r="111" spans="1:14" x14ac:dyDescent="0.25">
      <c r="A111" t="s">
        <v>35</v>
      </c>
      <c r="K111" t="s">
        <v>11</v>
      </c>
      <c r="L111">
        <v>20</v>
      </c>
    </row>
    <row r="112" spans="1:14" x14ac:dyDescent="0.25">
      <c r="A112" t="s">
        <v>35</v>
      </c>
      <c r="K112" t="s">
        <v>12</v>
      </c>
      <c r="L112">
        <v>70</v>
      </c>
    </row>
    <row r="113" spans="1:14" x14ac:dyDescent="0.25">
      <c r="A113" t="s">
        <v>36</v>
      </c>
      <c r="K113" t="s">
        <v>10</v>
      </c>
      <c r="L113">
        <v>-2.5000000000000001E-2</v>
      </c>
      <c r="N113" t="s">
        <v>109</v>
      </c>
    </row>
    <row r="114" spans="1:14" x14ac:dyDescent="0.25">
      <c r="A114" t="s">
        <v>36</v>
      </c>
      <c r="K114" t="s">
        <v>11</v>
      </c>
      <c r="L114">
        <v>4.95</v>
      </c>
    </row>
    <row r="115" spans="1:14" x14ac:dyDescent="0.25">
      <c r="A115" t="s">
        <v>36</v>
      </c>
      <c r="K115" t="s">
        <v>12</v>
      </c>
      <c r="L115">
        <v>-31.5</v>
      </c>
    </row>
    <row r="116" spans="1:14" x14ac:dyDescent="0.25">
      <c r="A116" t="s">
        <v>37</v>
      </c>
      <c r="K116" t="s">
        <v>10</v>
      </c>
      <c r="L116" s="9">
        <f>L113</f>
        <v>-2.5000000000000001E-2</v>
      </c>
      <c r="N116" s="9" t="str">
        <f>N113</f>
        <v>Potatis</v>
      </c>
    </row>
    <row r="117" spans="1:14" x14ac:dyDescent="0.25">
      <c r="A117" t="s">
        <v>37</v>
      </c>
      <c r="K117" t="s">
        <v>11</v>
      </c>
      <c r="L117" s="9">
        <f t="shared" ref="L117:L118" si="3">L114</f>
        <v>4.95</v>
      </c>
    </row>
    <row r="118" spans="1:14" x14ac:dyDescent="0.25">
      <c r="A118" t="s">
        <v>37</v>
      </c>
      <c r="K118" t="s">
        <v>12</v>
      </c>
      <c r="L118" s="9">
        <f t="shared" si="3"/>
        <v>-31.5</v>
      </c>
    </row>
    <row r="119" spans="1:14" x14ac:dyDescent="0.25">
      <c r="A119" t="s">
        <v>38</v>
      </c>
      <c r="K119" t="s">
        <v>12</v>
      </c>
      <c r="L119">
        <v>110</v>
      </c>
      <c r="N119" t="s">
        <v>80</v>
      </c>
    </row>
    <row r="120" spans="1:14" x14ac:dyDescent="0.25">
      <c r="A120" s="7" t="s">
        <v>39</v>
      </c>
      <c r="E120" s="7"/>
      <c r="F120" s="7"/>
      <c r="G120" s="7"/>
      <c r="H120" s="7"/>
      <c r="I120" s="7"/>
      <c r="J120" s="7"/>
    </row>
    <row r="121" spans="1:14" x14ac:dyDescent="0.25">
      <c r="A121" s="10" t="s">
        <v>40</v>
      </c>
      <c r="E121" s="10"/>
      <c r="F121" s="10"/>
      <c r="G121" s="10"/>
      <c r="H121" s="10"/>
      <c r="I121" s="10"/>
      <c r="J121" s="10"/>
      <c r="K121" t="s">
        <v>10</v>
      </c>
      <c r="L121">
        <v>-1.4286000000000001</v>
      </c>
      <c r="N121" t="s">
        <v>81</v>
      </c>
    </row>
    <row r="122" spans="1:14" x14ac:dyDescent="0.25">
      <c r="A122" s="10" t="s">
        <v>40</v>
      </c>
      <c r="E122" s="10"/>
      <c r="F122" s="10"/>
      <c r="G122" s="10"/>
      <c r="H122" s="10"/>
      <c r="I122" s="10"/>
      <c r="J122" s="10"/>
      <c r="K122" t="s">
        <v>11</v>
      </c>
      <c r="L122">
        <v>40.713999999999999</v>
      </c>
    </row>
    <row r="123" spans="1:14" x14ac:dyDescent="0.25">
      <c r="A123" s="10" t="s">
        <v>40</v>
      </c>
      <c r="E123" s="10"/>
      <c r="F123" s="10"/>
      <c r="G123" s="10"/>
      <c r="H123" s="10"/>
      <c r="I123" s="10"/>
      <c r="J123" s="10"/>
      <c r="K123" t="s">
        <v>12</v>
      </c>
      <c r="L123">
        <v>-74.856999999999999</v>
      </c>
    </row>
    <row r="124" spans="1:14" x14ac:dyDescent="0.25">
      <c r="A124" s="11" t="s">
        <v>41</v>
      </c>
      <c r="E124" s="11"/>
      <c r="F124" s="11"/>
      <c r="G124" s="11"/>
      <c r="H124" s="11"/>
      <c r="I124" s="11"/>
      <c r="J124" s="11"/>
    </row>
    <row r="125" spans="1:14" x14ac:dyDescent="0.25">
      <c r="A125" s="5" t="s">
        <v>73</v>
      </c>
      <c r="E125" s="5"/>
      <c r="F125" s="5"/>
      <c r="G125" s="5"/>
      <c r="H125" s="5"/>
      <c r="I125" s="5"/>
      <c r="J125" s="5"/>
      <c r="K125" t="s">
        <v>12</v>
      </c>
      <c r="L125">
        <v>0</v>
      </c>
      <c r="N125" t="s">
        <v>74</v>
      </c>
    </row>
    <row r="126" spans="1:14" x14ac:dyDescent="0.25">
      <c r="A126" s="5" t="s">
        <v>42</v>
      </c>
      <c r="B126" s="5"/>
      <c r="C126" s="5"/>
      <c r="D126" s="5"/>
      <c r="E126" s="5"/>
      <c r="F126" s="5"/>
      <c r="G126" s="5"/>
      <c r="H126" s="5"/>
      <c r="I126" s="5"/>
      <c r="J126" s="5"/>
      <c r="K126" s="5" t="s">
        <v>10</v>
      </c>
      <c r="L126" s="5">
        <v>-1.7857000000000001</v>
      </c>
      <c r="N126" s="7"/>
    </row>
    <row r="127" spans="1:14" x14ac:dyDescent="0.25">
      <c r="A127" s="5" t="s">
        <v>42</v>
      </c>
      <c r="B127" s="5"/>
      <c r="C127" s="5"/>
      <c r="D127" s="5"/>
      <c r="E127" s="5"/>
      <c r="F127" s="5"/>
      <c r="G127" s="5"/>
      <c r="H127" s="5"/>
      <c r="I127" s="5"/>
      <c r="J127" s="5"/>
      <c r="K127" s="5" t="s">
        <v>11</v>
      </c>
      <c r="L127" s="5">
        <v>43.570999999999998</v>
      </c>
      <c r="N127" s="7"/>
    </row>
    <row r="128" spans="1:14" x14ac:dyDescent="0.25">
      <c r="A128" s="5" t="s">
        <v>42</v>
      </c>
      <c r="B128" s="5"/>
      <c r="C128" s="5"/>
      <c r="D128" s="5"/>
      <c r="E128" s="5"/>
      <c r="F128" s="5"/>
      <c r="G128" s="5"/>
      <c r="H128" s="5"/>
      <c r="I128" s="5"/>
      <c r="J128" s="5"/>
      <c r="K128" s="5" t="s">
        <v>12</v>
      </c>
      <c r="L128" s="5">
        <v>-112.5</v>
      </c>
      <c r="N128" s="7"/>
    </row>
    <row r="129" spans="1:15" x14ac:dyDescent="0.25">
      <c r="A129" s="11" t="s">
        <v>43</v>
      </c>
      <c r="E129" s="11"/>
      <c r="F129" s="11"/>
      <c r="G129" s="11"/>
      <c r="H129" s="11"/>
      <c r="I129" s="11"/>
      <c r="J129" s="11"/>
    </row>
    <row r="130" spans="1:15" x14ac:dyDescent="0.25">
      <c r="A130" s="11" t="s">
        <v>44</v>
      </c>
      <c r="E130" s="11"/>
      <c r="F130" s="11"/>
      <c r="G130" s="11"/>
      <c r="H130" s="11"/>
      <c r="I130" s="11"/>
      <c r="J130" s="11"/>
    </row>
    <row r="131" spans="1:15" x14ac:dyDescent="0.25">
      <c r="A131" s="10" t="s">
        <v>45</v>
      </c>
      <c r="E131" s="10"/>
      <c r="F131" s="10"/>
      <c r="G131" s="10"/>
      <c r="H131" s="10"/>
      <c r="I131" s="10"/>
      <c r="J131" s="10"/>
      <c r="K131" t="s">
        <v>12</v>
      </c>
      <c r="L131">
        <v>0</v>
      </c>
      <c r="N131" t="s">
        <v>74</v>
      </c>
    </row>
    <row r="132" spans="1:15" x14ac:dyDescent="0.25">
      <c r="A132" s="10" t="s">
        <v>46</v>
      </c>
      <c r="E132" s="10"/>
      <c r="F132" s="10"/>
      <c r="G132" s="10"/>
      <c r="H132" s="10"/>
      <c r="I132" s="10"/>
      <c r="J132" s="10"/>
      <c r="K132" t="s">
        <v>12</v>
      </c>
      <c r="L132">
        <v>0</v>
      </c>
      <c r="N132" t="s">
        <v>74</v>
      </c>
    </row>
    <row r="133" spans="1:15" x14ac:dyDescent="0.25">
      <c r="A133" t="s">
        <v>47</v>
      </c>
      <c r="K133" t="s">
        <v>11</v>
      </c>
      <c r="L133">
        <v>2.5</v>
      </c>
      <c r="N133" t="s">
        <v>85</v>
      </c>
      <c r="O133" t="s">
        <v>86</v>
      </c>
    </row>
    <row r="134" spans="1:15" x14ac:dyDescent="0.25">
      <c r="A134" t="s">
        <v>47</v>
      </c>
      <c r="K134" t="s">
        <v>12</v>
      </c>
      <c r="L134">
        <v>25</v>
      </c>
    </row>
    <row r="135" spans="1:15" x14ac:dyDescent="0.25">
      <c r="A135" t="s">
        <v>48</v>
      </c>
      <c r="K135" t="s">
        <v>11</v>
      </c>
      <c r="L135">
        <v>1.3846000000000001</v>
      </c>
      <c r="N135" t="s">
        <v>85</v>
      </c>
      <c r="O135" t="s">
        <v>86</v>
      </c>
    </row>
    <row r="136" spans="1:15" x14ac:dyDescent="0.25">
      <c r="A136" t="s">
        <v>48</v>
      </c>
      <c r="K136" t="s">
        <v>12</v>
      </c>
      <c r="L136">
        <v>11.538</v>
      </c>
    </row>
    <row r="137" spans="1:15" x14ac:dyDescent="0.25">
      <c r="A137" s="5" t="s">
        <v>49</v>
      </c>
      <c r="E137" s="5"/>
      <c r="F137" s="5"/>
      <c r="G137" s="5"/>
      <c r="H137" s="5"/>
      <c r="I137" s="5"/>
      <c r="J137" s="5"/>
      <c r="K137" t="s">
        <v>11</v>
      </c>
      <c r="L137" s="9">
        <f>L135</f>
        <v>1.3846000000000001</v>
      </c>
      <c r="N137" s="7" t="s">
        <v>111</v>
      </c>
    </row>
    <row r="138" spans="1:15" x14ac:dyDescent="0.25">
      <c r="A138" s="5" t="s">
        <v>49</v>
      </c>
      <c r="E138" s="5"/>
      <c r="F138" s="5"/>
      <c r="G138" s="5"/>
      <c r="H138" s="5"/>
      <c r="I138" s="5"/>
      <c r="J138" s="5"/>
      <c r="K138" t="s">
        <v>12</v>
      </c>
      <c r="L138" s="9">
        <f>L136</f>
        <v>11.538</v>
      </c>
    </row>
    <row r="139" spans="1:15" x14ac:dyDescent="0.25">
      <c r="A139" s="5" t="s">
        <v>50</v>
      </c>
      <c r="E139" s="5"/>
      <c r="F139" s="5"/>
      <c r="G139" s="5"/>
      <c r="H139" s="5"/>
      <c r="I139" s="5"/>
      <c r="J139" s="5"/>
      <c r="K139" t="s">
        <v>11</v>
      </c>
      <c r="L139">
        <v>3.3332999999999999</v>
      </c>
      <c r="N139" t="s">
        <v>87</v>
      </c>
      <c r="O139" t="s">
        <v>86</v>
      </c>
    </row>
    <row r="140" spans="1:15" x14ac:dyDescent="0.25">
      <c r="A140" s="5" t="s">
        <v>50</v>
      </c>
      <c r="E140" s="5"/>
      <c r="F140" s="5"/>
      <c r="G140" s="5"/>
      <c r="H140" s="5"/>
      <c r="I140" s="5"/>
      <c r="J140" s="5"/>
      <c r="K140" t="s">
        <v>12</v>
      </c>
      <c r="L140">
        <v>33.332999999999998</v>
      </c>
    </row>
    <row r="141" spans="1:15" x14ac:dyDescent="0.25">
      <c r="A141" s="5" t="s">
        <v>51</v>
      </c>
      <c r="E141" s="5"/>
      <c r="F141" s="5"/>
      <c r="G141" s="5"/>
      <c r="H141" s="5"/>
      <c r="I141" s="5"/>
      <c r="J141" s="5"/>
      <c r="K141" t="s">
        <v>11</v>
      </c>
      <c r="L141">
        <v>3</v>
      </c>
      <c r="N141" t="s">
        <v>88</v>
      </c>
      <c r="O141" t="s">
        <v>86</v>
      </c>
    </row>
    <row r="142" spans="1:15" x14ac:dyDescent="0.25">
      <c r="A142" s="5" t="s">
        <v>51</v>
      </c>
      <c r="E142" s="5"/>
      <c r="F142" s="5"/>
      <c r="G142" s="5"/>
      <c r="H142" s="5"/>
      <c r="I142" s="5"/>
      <c r="J142" s="5"/>
      <c r="K142" t="s">
        <v>12</v>
      </c>
      <c r="L142">
        <v>90</v>
      </c>
    </row>
    <row r="143" spans="1:15" x14ac:dyDescent="0.25">
      <c r="A143" s="5" t="s">
        <v>52</v>
      </c>
      <c r="E143" s="5"/>
      <c r="F143" s="5"/>
      <c r="G143" s="5"/>
      <c r="H143" s="5"/>
      <c r="I143" s="5"/>
      <c r="J143" s="5"/>
      <c r="K143" s="5" t="s">
        <v>10</v>
      </c>
      <c r="L143">
        <v>1.7999999999999999E-2</v>
      </c>
      <c r="N143" t="s">
        <v>89</v>
      </c>
      <c r="O143" t="s">
        <v>86</v>
      </c>
    </row>
    <row r="144" spans="1:15" x14ac:dyDescent="0.25">
      <c r="A144" s="5" t="s">
        <v>52</v>
      </c>
      <c r="E144" s="5"/>
      <c r="F144" s="5"/>
      <c r="G144" s="5"/>
      <c r="H144" s="5"/>
      <c r="I144" s="5"/>
      <c r="J144" s="5"/>
      <c r="K144" t="s">
        <v>11</v>
      </c>
      <c r="L144">
        <v>1.2583</v>
      </c>
    </row>
    <row r="145" spans="1:15" x14ac:dyDescent="0.25">
      <c r="A145" s="5" t="s">
        <v>52</v>
      </c>
      <c r="E145" s="5"/>
      <c r="F145" s="5"/>
      <c r="G145" s="5"/>
      <c r="H145" s="5"/>
      <c r="I145" s="5"/>
      <c r="J145" s="5"/>
      <c r="K145" t="s">
        <v>12</v>
      </c>
      <c r="L145">
        <v>0</v>
      </c>
    </row>
    <row r="146" spans="1:15" x14ac:dyDescent="0.25">
      <c r="A146" s="5" t="s">
        <v>53</v>
      </c>
      <c r="E146" s="5"/>
      <c r="F146" s="5"/>
      <c r="G146" s="5"/>
      <c r="H146" s="5"/>
      <c r="I146" s="5"/>
      <c r="J146" s="5"/>
      <c r="K146" s="5" t="s">
        <v>10</v>
      </c>
      <c r="L146" s="9">
        <f>L143</f>
        <v>1.7999999999999999E-2</v>
      </c>
      <c r="N146" s="9" t="str">
        <f>N143</f>
        <v xml:space="preserve">yield in fresh weight 5% DM </v>
      </c>
      <c r="O146" s="9" t="str">
        <f>O143</f>
        <v>Yara (2018)</v>
      </c>
    </row>
    <row r="147" spans="1:15" x14ac:dyDescent="0.25">
      <c r="A147" s="5" t="s">
        <v>53</v>
      </c>
      <c r="E147" s="5"/>
      <c r="F147" s="5"/>
      <c r="G147" s="5"/>
      <c r="H147" s="5"/>
      <c r="I147" s="5"/>
      <c r="J147" s="5"/>
      <c r="K147" t="s">
        <v>11</v>
      </c>
      <c r="L147" s="9">
        <f>L144</f>
        <v>1.2583</v>
      </c>
      <c r="M147" s="9"/>
      <c r="N147" s="9"/>
      <c r="O147" s="9"/>
    </row>
    <row r="148" spans="1:15" x14ac:dyDescent="0.25">
      <c r="A148" s="5" t="s">
        <v>53</v>
      </c>
      <c r="E148" s="5"/>
      <c r="F148" s="5"/>
      <c r="G148" s="5"/>
      <c r="H148" s="5"/>
      <c r="I148" s="5"/>
      <c r="J148" s="5"/>
      <c r="K148" t="s">
        <v>12</v>
      </c>
      <c r="L148" s="9">
        <f>L145</f>
        <v>0</v>
      </c>
      <c r="M148" s="9"/>
      <c r="N148" s="9"/>
      <c r="O148" s="9"/>
    </row>
    <row r="149" spans="1:15" x14ac:dyDescent="0.25">
      <c r="A149" s="5" t="s">
        <v>54</v>
      </c>
      <c r="E149" s="5"/>
      <c r="F149" s="5"/>
      <c r="G149" s="5"/>
      <c r="H149" s="5"/>
      <c r="I149" s="5"/>
      <c r="J149" s="5"/>
      <c r="K149" t="s">
        <v>11</v>
      </c>
      <c r="L149" s="9">
        <f>L139</f>
        <v>3.3332999999999999</v>
      </c>
      <c r="N149" s="7" t="s">
        <v>112</v>
      </c>
    </row>
    <row r="150" spans="1:15" x14ac:dyDescent="0.25">
      <c r="A150" s="5" t="s">
        <v>54</v>
      </c>
      <c r="E150" s="5"/>
      <c r="F150" s="5"/>
      <c r="G150" s="5"/>
      <c r="H150" s="5"/>
      <c r="I150" s="5"/>
      <c r="J150" s="5"/>
      <c r="K150" t="s">
        <v>12</v>
      </c>
      <c r="L150" s="9">
        <f>L140</f>
        <v>33.332999999999998</v>
      </c>
    </row>
    <row r="151" spans="1:15" x14ac:dyDescent="0.25">
      <c r="A151" s="7" t="s">
        <v>55</v>
      </c>
      <c r="E151" s="7"/>
      <c r="F151" s="7"/>
      <c r="G151" s="7"/>
      <c r="H151" s="7"/>
      <c r="I151" s="7"/>
      <c r="J151" s="7"/>
    </row>
    <row r="152" spans="1:15" x14ac:dyDescent="0.25">
      <c r="A152" s="5" t="s">
        <v>56</v>
      </c>
      <c r="E152" s="5"/>
      <c r="F152" s="5"/>
      <c r="G152" s="5"/>
      <c r="H152" s="5"/>
      <c r="I152" s="5"/>
      <c r="J152" s="5"/>
      <c r="K152" t="s">
        <v>12</v>
      </c>
      <c r="L152">
        <v>65</v>
      </c>
      <c r="N152" t="s">
        <v>82</v>
      </c>
    </row>
    <row r="153" spans="1:15" x14ac:dyDescent="0.25">
      <c r="A153" s="7" t="s">
        <v>57</v>
      </c>
      <c r="E153" s="7"/>
      <c r="F153" s="7"/>
      <c r="G153" s="7"/>
      <c r="H153" s="7"/>
      <c r="I153" s="7"/>
      <c r="J153" s="7"/>
    </row>
    <row r="154" spans="1:15" x14ac:dyDescent="0.25">
      <c r="A154" s="5" t="s">
        <v>58</v>
      </c>
      <c r="E154" s="5"/>
      <c r="F154" s="5"/>
      <c r="G154" s="5"/>
      <c r="H154" s="5"/>
      <c r="I154" s="5"/>
      <c r="J154" s="5"/>
      <c r="K154" t="s">
        <v>12</v>
      </c>
      <c r="L154">
        <v>65</v>
      </c>
      <c r="N154" t="s">
        <v>83</v>
      </c>
    </row>
    <row r="155" spans="1:15" x14ac:dyDescent="0.25">
      <c r="A155" s="5" t="s">
        <v>59</v>
      </c>
      <c r="E155" s="5"/>
      <c r="F155" s="5"/>
      <c r="G155" s="5"/>
      <c r="H155" s="5"/>
      <c r="I155" s="5"/>
      <c r="J155" s="5"/>
      <c r="K155" t="s">
        <v>12</v>
      </c>
      <c r="L155">
        <v>100</v>
      </c>
      <c r="N155" t="s">
        <v>84</v>
      </c>
    </row>
    <row r="156" spans="1:15" x14ac:dyDescent="0.25">
      <c r="A156" s="5" t="s">
        <v>60</v>
      </c>
      <c r="E156" s="5"/>
      <c r="F156" s="5"/>
      <c r="G156" s="5"/>
      <c r="H156" s="5"/>
      <c r="I156" s="5"/>
      <c r="J156" s="5"/>
      <c r="K156" t="s">
        <v>12</v>
      </c>
      <c r="L156">
        <v>110</v>
      </c>
    </row>
    <row r="157" spans="1:15" x14ac:dyDescent="0.25">
      <c r="A157" s="5" t="s">
        <v>61</v>
      </c>
      <c r="E157" s="5"/>
      <c r="F157" s="5"/>
      <c r="G157" s="5"/>
      <c r="H157" s="5"/>
      <c r="I157" s="5"/>
      <c r="J157" s="5"/>
      <c r="K157" t="s">
        <v>12</v>
      </c>
      <c r="L157" s="9">
        <f>L155</f>
        <v>100</v>
      </c>
      <c r="N157" s="7" t="s">
        <v>110</v>
      </c>
    </row>
    <row r="158" spans="1:15" x14ac:dyDescent="0.25">
      <c r="A158" s="7" t="s">
        <v>62</v>
      </c>
      <c r="E158" s="7"/>
      <c r="F158" s="7"/>
      <c r="G158" s="7"/>
      <c r="H158" s="7"/>
      <c r="I158" s="7"/>
      <c r="J158" s="7"/>
    </row>
    <row r="159" spans="1:15" x14ac:dyDescent="0.25">
      <c r="A159" s="7" t="s">
        <v>63</v>
      </c>
      <c r="E159" s="7"/>
      <c r="F159" s="7"/>
      <c r="G159" s="7"/>
      <c r="H159" s="7"/>
      <c r="I159" s="7"/>
      <c r="J159" s="7"/>
    </row>
    <row r="160" spans="1:15" x14ac:dyDescent="0.25">
      <c r="A160" s="7" t="s">
        <v>64</v>
      </c>
      <c r="E160" s="7"/>
      <c r="F160" s="7"/>
      <c r="G160" s="7"/>
      <c r="H160" s="7"/>
      <c r="I160" s="7"/>
      <c r="J160" s="7"/>
    </row>
    <row r="161" spans="1:15" x14ac:dyDescent="0.25">
      <c r="A161" s="7" t="s">
        <v>65</v>
      </c>
      <c r="E161" s="7"/>
      <c r="F161" s="7"/>
      <c r="G161" s="7"/>
      <c r="H161" s="7"/>
      <c r="I161" s="7"/>
      <c r="J161" s="7"/>
    </row>
    <row r="162" spans="1:15" x14ac:dyDescent="0.25">
      <c r="A162" s="7" t="s">
        <v>66</v>
      </c>
      <c r="E162" s="7"/>
      <c r="F162" s="7"/>
      <c r="G162" s="7"/>
      <c r="H162" s="7"/>
      <c r="I162" s="7"/>
      <c r="J162" s="7"/>
    </row>
    <row r="163" spans="1:15" x14ac:dyDescent="0.25">
      <c r="A163" s="7" t="s">
        <v>67</v>
      </c>
      <c r="E163" s="7"/>
      <c r="F163" s="7"/>
      <c r="G163" s="7"/>
      <c r="H163" s="7"/>
      <c r="I163" s="7"/>
      <c r="J163" s="7"/>
    </row>
    <row r="164" spans="1:15" x14ac:dyDescent="0.25">
      <c r="A164" s="7" t="s">
        <v>68</v>
      </c>
      <c r="E164" s="7"/>
      <c r="F164" s="7"/>
      <c r="G164" s="7"/>
      <c r="H164" s="7"/>
      <c r="I164" s="7"/>
      <c r="J164" s="7"/>
    </row>
    <row r="165" spans="1:15" x14ac:dyDescent="0.25">
      <c r="A165" s="5" t="s">
        <v>69</v>
      </c>
      <c r="E165" s="5"/>
      <c r="F165" s="5"/>
      <c r="G165" s="5"/>
      <c r="H165" s="5"/>
      <c r="I165" s="5"/>
      <c r="J165" s="5"/>
      <c r="K165" t="s">
        <v>12</v>
      </c>
      <c r="L165">
        <v>0</v>
      </c>
      <c r="N165" t="s">
        <v>74</v>
      </c>
    </row>
    <row r="166" spans="1:15" x14ac:dyDescent="0.25">
      <c r="A166" s="7" t="s">
        <v>70</v>
      </c>
      <c r="E166" s="7"/>
      <c r="F166" s="7"/>
      <c r="G166" s="7"/>
      <c r="H166" s="7"/>
      <c r="I166" s="7"/>
      <c r="J166" s="7"/>
    </row>
    <row r="167" spans="1:15" x14ac:dyDescent="0.25">
      <c r="A167" s="7" t="s">
        <v>71</v>
      </c>
      <c r="E167" s="7"/>
      <c r="F167" s="7"/>
      <c r="G167" s="7"/>
      <c r="H167" s="7"/>
      <c r="I167" s="7"/>
      <c r="J167" s="7"/>
    </row>
    <row r="168" spans="1:15" x14ac:dyDescent="0.25">
      <c r="A168" s="5" t="s">
        <v>72</v>
      </c>
      <c r="E168" s="5"/>
      <c r="F168" s="5"/>
      <c r="G168" s="5"/>
      <c r="H168" s="5"/>
      <c r="I168" s="5"/>
      <c r="J168" s="5"/>
      <c r="K168" t="s">
        <v>12</v>
      </c>
      <c r="L168">
        <v>0</v>
      </c>
      <c r="N168" t="s">
        <v>74</v>
      </c>
    </row>
    <row r="170" spans="1:15" x14ac:dyDescent="0.25">
      <c r="A170" s="2" t="s">
        <v>119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O170" s="3"/>
    </row>
    <row r="171" spans="1:15" x14ac:dyDescent="0.25">
      <c r="K171" s="6" t="s">
        <v>13</v>
      </c>
      <c r="L171" s="6">
        <v>0</v>
      </c>
      <c r="M171" s="6"/>
      <c r="N171" s="6" t="s">
        <v>15</v>
      </c>
    </row>
    <row r="172" spans="1:15" x14ac:dyDescent="0.25">
      <c r="K172" s="6" t="s">
        <v>14</v>
      </c>
      <c r="L172" s="6">
        <v>1</v>
      </c>
      <c r="M172" s="6"/>
      <c r="N172" s="6" t="s">
        <v>15</v>
      </c>
    </row>
    <row r="173" spans="1:15" x14ac:dyDescent="0.25">
      <c r="A173" t="s">
        <v>7</v>
      </c>
      <c r="K173" t="s">
        <v>13</v>
      </c>
      <c r="L173">
        <v>-0.32340000000000002</v>
      </c>
    </row>
    <row r="174" spans="1:15" x14ac:dyDescent="0.25">
      <c r="A174" t="s">
        <v>7</v>
      </c>
      <c r="K174" t="s">
        <v>14</v>
      </c>
      <c r="L174">
        <v>0.97240000000000004</v>
      </c>
    </row>
    <row r="175" spans="1:15" x14ac:dyDescent="0.25">
      <c r="A175" t="s">
        <v>16</v>
      </c>
      <c r="K175" t="s">
        <v>13</v>
      </c>
      <c r="L175">
        <v>-0.32500000000000001</v>
      </c>
    </row>
    <row r="176" spans="1:15" x14ac:dyDescent="0.25">
      <c r="A176" t="s">
        <v>16</v>
      </c>
      <c r="K176" t="s">
        <v>14</v>
      </c>
      <c r="L176">
        <v>0.81369999999999998</v>
      </c>
    </row>
    <row r="177" spans="1:14" x14ac:dyDescent="0.25">
      <c r="A177" t="s">
        <v>27</v>
      </c>
      <c r="K177" t="s">
        <v>13</v>
      </c>
      <c r="L177">
        <v>-0.58699999999999997</v>
      </c>
    </row>
    <row r="178" spans="1:14" x14ac:dyDescent="0.25">
      <c r="A178" t="s">
        <v>27</v>
      </c>
      <c r="K178" t="s">
        <v>14</v>
      </c>
      <c r="L178">
        <v>0.82350000000000001</v>
      </c>
    </row>
    <row r="179" spans="1:14" x14ac:dyDescent="0.25">
      <c r="A179" t="s">
        <v>23</v>
      </c>
      <c r="K179" t="s">
        <v>13</v>
      </c>
      <c r="L179">
        <v>-0.35070000000000001</v>
      </c>
    </row>
    <row r="180" spans="1:14" x14ac:dyDescent="0.25">
      <c r="A180" t="s">
        <v>23</v>
      </c>
      <c r="K180" t="s">
        <v>14</v>
      </c>
      <c r="L180">
        <v>0.9234</v>
      </c>
    </row>
    <row r="181" spans="1:14" x14ac:dyDescent="0.25">
      <c r="A181" t="s">
        <v>17</v>
      </c>
      <c r="K181" t="s">
        <v>13</v>
      </c>
      <c r="L181">
        <v>-0.41710000000000003</v>
      </c>
    </row>
    <row r="182" spans="1:14" x14ac:dyDescent="0.25">
      <c r="A182" t="s">
        <v>17</v>
      </c>
      <c r="K182" t="s">
        <v>14</v>
      </c>
      <c r="L182">
        <v>0.91610000000000003</v>
      </c>
    </row>
    <row r="183" spans="1:14" x14ac:dyDescent="0.25">
      <c r="A183" t="s">
        <v>21</v>
      </c>
      <c r="K183" t="s">
        <v>13</v>
      </c>
      <c r="L183">
        <v>-0.74150000000000005</v>
      </c>
    </row>
    <row r="184" spans="1:14" x14ac:dyDescent="0.25">
      <c r="A184" t="s">
        <v>21</v>
      </c>
      <c r="K184" t="s">
        <v>14</v>
      </c>
      <c r="L184">
        <v>0.96550000000000002</v>
      </c>
    </row>
    <row r="185" spans="1:14" x14ac:dyDescent="0.25">
      <c r="A185" t="s">
        <v>25</v>
      </c>
      <c r="K185" t="s">
        <v>13</v>
      </c>
      <c r="L185" s="9">
        <f>L187</f>
        <v>-0.58699999999999997</v>
      </c>
    </row>
    <row r="186" spans="1:14" x14ac:dyDescent="0.25">
      <c r="A186" t="s">
        <v>25</v>
      </c>
      <c r="K186" t="s">
        <v>14</v>
      </c>
      <c r="L186" s="9">
        <f>L188</f>
        <v>0.82350000000000001</v>
      </c>
    </row>
    <row r="187" spans="1:14" x14ac:dyDescent="0.25">
      <c r="A187" t="s">
        <v>24</v>
      </c>
      <c r="K187" t="s">
        <v>13</v>
      </c>
      <c r="L187">
        <v>-0.58699999999999997</v>
      </c>
    </row>
    <row r="188" spans="1:14" x14ac:dyDescent="0.25">
      <c r="A188" t="s">
        <v>24</v>
      </c>
      <c r="K188" t="s">
        <v>14</v>
      </c>
      <c r="L188">
        <v>0.82350000000000001</v>
      </c>
    </row>
    <row r="189" spans="1:14" x14ac:dyDescent="0.25">
      <c r="A189" s="7" t="s">
        <v>29</v>
      </c>
      <c r="E189" s="7"/>
      <c r="F189" s="7"/>
      <c r="G189" s="7"/>
      <c r="H189" s="7"/>
      <c r="I189" s="7"/>
      <c r="J189" s="7"/>
      <c r="L189" s="9"/>
      <c r="N189" s="7"/>
    </row>
    <row r="190" spans="1:14" x14ac:dyDescent="0.25">
      <c r="A190" s="5" t="s">
        <v>28</v>
      </c>
      <c r="E190" s="5"/>
      <c r="F190" s="5"/>
      <c r="G190" s="5"/>
      <c r="H190" s="5"/>
      <c r="I190" s="5"/>
      <c r="J190" s="5"/>
      <c r="K190" t="s">
        <v>14</v>
      </c>
      <c r="L190" s="5">
        <v>1</v>
      </c>
      <c r="M190" s="5"/>
      <c r="N190" s="5" t="s">
        <v>78</v>
      </c>
    </row>
    <row r="191" spans="1:14" x14ac:dyDescent="0.25">
      <c r="A191" t="s">
        <v>30</v>
      </c>
      <c r="K191" t="s">
        <v>14</v>
      </c>
      <c r="L191">
        <v>1</v>
      </c>
      <c r="N191" s="5" t="s">
        <v>78</v>
      </c>
    </row>
    <row r="192" spans="1:14" x14ac:dyDescent="0.25">
      <c r="A192" t="s">
        <v>31</v>
      </c>
      <c r="K192" t="s">
        <v>14</v>
      </c>
      <c r="L192">
        <v>1</v>
      </c>
      <c r="N192" s="5" t="s">
        <v>78</v>
      </c>
    </row>
    <row r="193" spans="1:18" x14ac:dyDescent="0.25">
      <c r="A193" t="s">
        <v>32</v>
      </c>
      <c r="K193" t="s">
        <v>14</v>
      </c>
      <c r="L193">
        <v>1</v>
      </c>
      <c r="N193" s="5" t="s">
        <v>78</v>
      </c>
    </row>
    <row r="194" spans="1:18" x14ac:dyDescent="0.25">
      <c r="A194" t="s">
        <v>33</v>
      </c>
      <c r="K194" t="s">
        <v>14</v>
      </c>
      <c r="L194">
        <v>1</v>
      </c>
      <c r="N194" s="5" t="s">
        <v>78</v>
      </c>
    </row>
    <row r="195" spans="1:18" x14ac:dyDescent="0.25">
      <c r="A195" t="s">
        <v>34</v>
      </c>
      <c r="K195" t="s">
        <v>13</v>
      </c>
      <c r="L195">
        <v>-9.2499999999999999E-2</v>
      </c>
    </row>
    <row r="196" spans="1:18" x14ac:dyDescent="0.25">
      <c r="A196" t="s">
        <v>34</v>
      </c>
      <c r="K196" t="s">
        <v>14</v>
      </c>
      <c r="L196">
        <v>1.2939000000000001</v>
      </c>
    </row>
    <row r="197" spans="1:18" x14ac:dyDescent="0.25">
      <c r="A197" t="s">
        <v>35</v>
      </c>
      <c r="K197" t="s">
        <v>14</v>
      </c>
      <c r="L197">
        <v>0.94</v>
      </c>
      <c r="N197" s="5" t="s">
        <v>79</v>
      </c>
    </row>
    <row r="198" spans="1:18" x14ac:dyDescent="0.25">
      <c r="A198" t="s">
        <v>36</v>
      </c>
      <c r="K198" t="s">
        <v>14</v>
      </c>
      <c r="L198">
        <v>1</v>
      </c>
      <c r="N198" s="5" t="s">
        <v>78</v>
      </c>
    </row>
    <row r="199" spans="1:18" x14ac:dyDescent="0.25">
      <c r="A199" t="s">
        <v>37</v>
      </c>
      <c r="K199" t="s">
        <v>14</v>
      </c>
      <c r="L199">
        <v>1</v>
      </c>
      <c r="N199" s="5" t="s">
        <v>78</v>
      </c>
    </row>
    <row r="200" spans="1:18" x14ac:dyDescent="0.25">
      <c r="A200" t="s">
        <v>38</v>
      </c>
      <c r="K200" t="s">
        <v>14</v>
      </c>
      <c r="L200">
        <v>1</v>
      </c>
      <c r="N200" s="5" t="s">
        <v>78</v>
      </c>
    </row>
    <row r="201" spans="1:18" x14ac:dyDescent="0.25">
      <c r="A201" s="7" t="s">
        <v>39</v>
      </c>
      <c r="E201" s="7"/>
      <c r="F201" s="7"/>
      <c r="G201" s="7"/>
      <c r="H201" s="7"/>
      <c r="I201" s="7"/>
      <c r="J201" s="7"/>
      <c r="R201" s="4"/>
    </row>
    <row r="202" spans="1:18" x14ac:dyDescent="0.25">
      <c r="A202" s="10" t="s">
        <v>40</v>
      </c>
      <c r="E202" s="10"/>
      <c r="F202" s="10"/>
      <c r="G202" s="10"/>
      <c r="H202" s="10"/>
      <c r="I202" s="10"/>
      <c r="J202" s="10"/>
      <c r="K202" t="s">
        <v>13</v>
      </c>
      <c r="L202">
        <v>-8.2500000000000004E-2</v>
      </c>
    </row>
    <row r="203" spans="1:18" x14ac:dyDescent="0.25">
      <c r="A203" s="10" t="s">
        <v>40</v>
      </c>
      <c r="E203" s="10"/>
      <c r="F203" s="10"/>
      <c r="G203" s="10"/>
      <c r="H203" s="10"/>
      <c r="I203" s="10"/>
      <c r="J203" s="10"/>
      <c r="K203" t="s">
        <v>14</v>
      </c>
      <c r="L203">
        <v>0.72799999999999998</v>
      </c>
    </row>
    <row r="204" spans="1:18" x14ac:dyDescent="0.25">
      <c r="A204" s="11" t="s">
        <v>41</v>
      </c>
      <c r="E204" s="11"/>
      <c r="F204" s="11"/>
      <c r="G204" s="11"/>
      <c r="H204" s="11"/>
      <c r="I204" s="11"/>
      <c r="J204" s="11"/>
    </row>
    <row r="205" spans="1:18" x14ac:dyDescent="0.25">
      <c r="A205" s="5" t="s">
        <v>73</v>
      </c>
      <c r="E205" s="5"/>
      <c r="F205" s="5"/>
      <c r="G205" s="5"/>
      <c r="H205" s="5"/>
      <c r="I205" s="5"/>
      <c r="J205" s="5"/>
      <c r="K205" t="s">
        <v>14</v>
      </c>
      <c r="L205">
        <v>1</v>
      </c>
      <c r="N205" s="5" t="s">
        <v>78</v>
      </c>
    </row>
    <row r="206" spans="1:18" x14ac:dyDescent="0.25">
      <c r="A206" s="10" t="s">
        <v>42</v>
      </c>
      <c r="E206" s="10"/>
      <c r="F206" s="10"/>
      <c r="G206" s="10"/>
      <c r="H206" s="10"/>
      <c r="I206" s="10"/>
      <c r="J206" s="10"/>
      <c r="K206" t="s">
        <v>13</v>
      </c>
      <c r="L206">
        <v>-3.2399999999999998E-2</v>
      </c>
      <c r="N206" s="7"/>
    </row>
    <row r="207" spans="1:18" x14ac:dyDescent="0.25">
      <c r="A207" s="10" t="s">
        <v>42</v>
      </c>
      <c r="E207" s="10"/>
      <c r="F207" s="10"/>
      <c r="G207" s="10"/>
      <c r="H207" s="10"/>
      <c r="I207" s="10"/>
      <c r="J207" s="10"/>
      <c r="K207" t="s">
        <v>14</v>
      </c>
      <c r="L207">
        <v>0.82120000000000004</v>
      </c>
      <c r="N207" s="7"/>
    </row>
    <row r="208" spans="1:18" x14ac:dyDescent="0.25">
      <c r="A208" s="11" t="s">
        <v>43</v>
      </c>
      <c r="E208" s="11"/>
      <c r="F208" s="11"/>
      <c r="G208" s="11"/>
      <c r="H208" s="11"/>
      <c r="I208" s="11"/>
      <c r="J208" s="11"/>
    </row>
    <row r="209" spans="1:14" x14ac:dyDescent="0.25">
      <c r="A209" s="11" t="s">
        <v>44</v>
      </c>
      <c r="E209" s="11"/>
      <c r="F209" s="11"/>
      <c r="G209" s="11"/>
      <c r="H209" s="11"/>
      <c r="I209" s="11"/>
      <c r="J209" s="11"/>
    </row>
    <row r="210" spans="1:14" x14ac:dyDescent="0.25">
      <c r="A210" s="10" t="s">
        <v>45</v>
      </c>
      <c r="E210" s="10"/>
      <c r="F210" s="10"/>
      <c r="G210" s="10"/>
      <c r="H210" s="10"/>
      <c r="I210" s="10"/>
      <c r="J210" s="10"/>
      <c r="K210" t="s">
        <v>14</v>
      </c>
      <c r="L210">
        <v>1</v>
      </c>
      <c r="N210" s="5" t="s">
        <v>78</v>
      </c>
    </row>
    <row r="211" spans="1:14" x14ac:dyDescent="0.25">
      <c r="A211" s="10" t="s">
        <v>46</v>
      </c>
      <c r="E211" s="10"/>
      <c r="F211" s="10"/>
      <c r="G211" s="10"/>
      <c r="H211" s="10"/>
      <c r="I211" s="10"/>
      <c r="J211" s="10"/>
      <c r="K211" t="s">
        <v>14</v>
      </c>
      <c r="L211">
        <v>1</v>
      </c>
      <c r="N211" s="5" t="s">
        <v>78</v>
      </c>
    </row>
    <row r="212" spans="1:14" x14ac:dyDescent="0.25">
      <c r="A212" t="s">
        <v>47</v>
      </c>
      <c r="K212" t="s">
        <v>14</v>
      </c>
      <c r="L212">
        <v>1</v>
      </c>
      <c r="N212" s="5" t="s">
        <v>78</v>
      </c>
    </row>
    <row r="213" spans="1:14" x14ac:dyDescent="0.25">
      <c r="A213" t="s">
        <v>48</v>
      </c>
      <c r="K213" t="s">
        <v>14</v>
      </c>
      <c r="L213">
        <v>1</v>
      </c>
      <c r="N213" s="5" t="s">
        <v>78</v>
      </c>
    </row>
    <row r="214" spans="1:14" x14ac:dyDescent="0.25">
      <c r="A214" s="5" t="s">
        <v>49</v>
      </c>
      <c r="E214" s="5"/>
      <c r="F214" s="5"/>
      <c r="G214" s="5"/>
      <c r="H214" s="5"/>
      <c r="I214" s="5"/>
      <c r="J214" s="5"/>
      <c r="K214" t="s">
        <v>14</v>
      </c>
      <c r="L214">
        <v>1</v>
      </c>
      <c r="N214" s="5" t="s">
        <v>78</v>
      </c>
    </row>
    <row r="215" spans="1:14" x14ac:dyDescent="0.25">
      <c r="A215" s="5" t="s">
        <v>50</v>
      </c>
      <c r="E215" s="5"/>
      <c r="F215" s="5"/>
      <c r="G215" s="5"/>
      <c r="H215" s="5"/>
      <c r="I215" s="5"/>
      <c r="J215" s="5"/>
      <c r="K215" t="s">
        <v>14</v>
      </c>
      <c r="L215">
        <v>1</v>
      </c>
      <c r="N215" s="5" t="s">
        <v>78</v>
      </c>
    </row>
    <row r="216" spans="1:14" x14ac:dyDescent="0.25">
      <c r="A216" s="5" t="s">
        <v>51</v>
      </c>
      <c r="E216" s="5"/>
      <c r="F216" s="5"/>
      <c r="G216" s="5"/>
      <c r="H216" s="5"/>
      <c r="I216" s="5"/>
      <c r="J216" s="5"/>
      <c r="K216" t="s">
        <v>14</v>
      </c>
      <c r="L216">
        <v>1</v>
      </c>
      <c r="N216" s="5" t="s">
        <v>78</v>
      </c>
    </row>
    <row r="217" spans="1:14" x14ac:dyDescent="0.25">
      <c r="A217" s="5" t="s">
        <v>52</v>
      </c>
      <c r="E217" s="5"/>
      <c r="F217" s="5"/>
      <c r="G217" s="5"/>
      <c r="H217" s="5"/>
      <c r="I217" s="5"/>
      <c r="J217" s="5"/>
      <c r="K217" t="s">
        <v>14</v>
      </c>
      <c r="L217">
        <v>1</v>
      </c>
      <c r="N217" s="5" t="s">
        <v>78</v>
      </c>
    </row>
    <row r="218" spans="1:14" x14ac:dyDescent="0.25">
      <c r="A218" s="5" t="s">
        <v>53</v>
      </c>
      <c r="E218" s="5"/>
      <c r="F218" s="5"/>
      <c r="G218" s="5"/>
      <c r="H218" s="5"/>
      <c r="I218" s="5"/>
      <c r="J218" s="5"/>
      <c r="K218" t="s">
        <v>14</v>
      </c>
      <c r="L218">
        <v>1</v>
      </c>
      <c r="N218" s="5" t="s">
        <v>78</v>
      </c>
    </row>
    <row r="219" spans="1:14" x14ac:dyDescent="0.25">
      <c r="A219" s="5" t="s">
        <v>54</v>
      </c>
      <c r="E219" s="5"/>
      <c r="F219" s="5"/>
      <c r="G219" s="5"/>
      <c r="H219" s="5"/>
      <c r="I219" s="5"/>
      <c r="J219" s="5"/>
      <c r="K219" t="s">
        <v>14</v>
      </c>
      <c r="L219">
        <v>1</v>
      </c>
      <c r="N219" s="5" t="s">
        <v>78</v>
      </c>
    </row>
    <row r="220" spans="1:14" x14ac:dyDescent="0.25">
      <c r="A220" s="5" t="s">
        <v>55</v>
      </c>
      <c r="E220" s="5"/>
      <c r="F220" s="5"/>
      <c r="G220" s="5"/>
      <c r="H220" s="5"/>
      <c r="I220" s="5"/>
      <c r="J220" s="5"/>
      <c r="K220" t="s">
        <v>14</v>
      </c>
      <c r="L220">
        <v>1</v>
      </c>
      <c r="N220" s="5" t="s">
        <v>78</v>
      </c>
    </row>
    <row r="221" spans="1:14" x14ac:dyDescent="0.25">
      <c r="A221" s="5" t="s">
        <v>56</v>
      </c>
      <c r="E221" s="5"/>
      <c r="F221" s="5"/>
      <c r="G221" s="5"/>
      <c r="H221" s="5"/>
      <c r="I221" s="5"/>
      <c r="J221" s="5"/>
      <c r="K221" t="s">
        <v>14</v>
      </c>
      <c r="L221">
        <v>1</v>
      </c>
      <c r="N221" s="5" t="s">
        <v>78</v>
      </c>
    </row>
    <row r="222" spans="1:14" x14ac:dyDescent="0.25">
      <c r="A222" s="5" t="s">
        <v>57</v>
      </c>
      <c r="E222" s="5"/>
      <c r="F222" s="5"/>
      <c r="G222" s="5"/>
      <c r="H222" s="5"/>
      <c r="I222" s="5"/>
      <c r="J222" s="5"/>
      <c r="K222" t="s">
        <v>14</v>
      </c>
      <c r="L222">
        <v>1</v>
      </c>
      <c r="N222" s="5" t="s">
        <v>78</v>
      </c>
    </row>
    <row r="223" spans="1:14" x14ac:dyDescent="0.25">
      <c r="A223" s="5" t="s">
        <v>58</v>
      </c>
      <c r="E223" s="5"/>
      <c r="F223" s="5"/>
      <c r="G223" s="5"/>
      <c r="H223" s="5"/>
      <c r="I223" s="5"/>
      <c r="J223" s="5"/>
      <c r="K223" t="s">
        <v>14</v>
      </c>
      <c r="L223">
        <v>1</v>
      </c>
      <c r="N223" s="5" t="s">
        <v>78</v>
      </c>
    </row>
    <row r="224" spans="1:14" x14ac:dyDescent="0.25">
      <c r="A224" s="5" t="s">
        <v>59</v>
      </c>
      <c r="E224" s="5"/>
      <c r="F224" s="5"/>
      <c r="G224" s="5"/>
      <c r="H224" s="5"/>
      <c r="I224" s="5"/>
      <c r="J224" s="5"/>
      <c r="K224" t="s">
        <v>14</v>
      </c>
      <c r="L224">
        <v>1</v>
      </c>
      <c r="N224" s="5" t="s">
        <v>78</v>
      </c>
    </row>
    <row r="225" spans="1:15" x14ac:dyDescent="0.25">
      <c r="A225" s="5" t="s">
        <v>60</v>
      </c>
      <c r="E225" s="5"/>
      <c r="F225" s="5"/>
      <c r="G225" s="5"/>
      <c r="H225" s="5"/>
      <c r="I225" s="5"/>
      <c r="J225" s="5"/>
      <c r="K225" t="s">
        <v>14</v>
      </c>
      <c r="L225">
        <v>1</v>
      </c>
      <c r="N225" s="5" t="s">
        <v>78</v>
      </c>
    </row>
    <row r="226" spans="1:15" x14ac:dyDescent="0.25">
      <c r="A226" s="5" t="s">
        <v>61</v>
      </c>
      <c r="E226" s="5"/>
      <c r="F226" s="5"/>
      <c r="G226" s="5"/>
      <c r="H226" s="5"/>
      <c r="I226" s="5"/>
      <c r="J226" s="5"/>
      <c r="K226" t="s">
        <v>14</v>
      </c>
      <c r="L226">
        <v>1</v>
      </c>
      <c r="N226" s="5" t="s">
        <v>78</v>
      </c>
    </row>
    <row r="227" spans="1:15" x14ac:dyDescent="0.25">
      <c r="A227" s="5" t="s">
        <v>62</v>
      </c>
      <c r="E227" s="5"/>
      <c r="F227" s="5"/>
      <c r="G227" s="5"/>
      <c r="H227" s="5"/>
      <c r="I227" s="5"/>
      <c r="J227" s="5"/>
      <c r="K227" t="s">
        <v>14</v>
      </c>
      <c r="L227">
        <v>1</v>
      </c>
      <c r="N227" s="5" t="s">
        <v>78</v>
      </c>
    </row>
    <row r="228" spans="1:15" x14ac:dyDescent="0.25">
      <c r="A228" s="5" t="s">
        <v>63</v>
      </c>
      <c r="E228" s="5"/>
      <c r="F228" s="5"/>
      <c r="G228" s="5"/>
      <c r="H228" s="5"/>
      <c r="I228" s="5"/>
      <c r="J228" s="5"/>
      <c r="K228" t="s">
        <v>14</v>
      </c>
      <c r="L228">
        <v>1</v>
      </c>
      <c r="N228" s="5" t="s">
        <v>78</v>
      </c>
    </row>
    <row r="229" spans="1:15" x14ac:dyDescent="0.25">
      <c r="A229" s="5" t="s">
        <v>64</v>
      </c>
      <c r="E229" s="5"/>
      <c r="F229" s="5"/>
      <c r="G229" s="5"/>
      <c r="H229" s="5"/>
      <c r="I229" s="5"/>
      <c r="J229" s="5"/>
      <c r="K229" t="s">
        <v>14</v>
      </c>
      <c r="L229">
        <v>1</v>
      </c>
      <c r="N229" s="5" t="s">
        <v>78</v>
      </c>
    </row>
    <row r="230" spans="1:15" x14ac:dyDescent="0.25">
      <c r="A230" s="5" t="s">
        <v>65</v>
      </c>
      <c r="E230" s="5"/>
      <c r="F230" s="5"/>
      <c r="G230" s="5"/>
      <c r="H230" s="5"/>
      <c r="I230" s="5"/>
      <c r="J230" s="5"/>
      <c r="K230" t="s">
        <v>14</v>
      </c>
      <c r="L230">
        <v>1</v>
      </c>
      <c r="N230" s="5" t="s">
        <v>78</v>
      </c>
    </row>
    <row r="231" spans="1:15" x14ac:dyDescent="0.25">
      <c r="A231" s="5" t="s">
        <v>66</v>
      </c>
      <c r="E231" s="5"/>
      <c r="F231" s="5"/>
      <c r="G231" s="5"/>
      <c r="H231" s="5"/>
      <c r="I231" s="5"/>
      <c r="J231" s="5"/>
      <c r="K231" t="s">
        <v>14</v>
      </c>
      <c r="L231">
        <v>1</v>
      </c>
      <c r="N231" s="5" t="s">
        <v>78</v>
      </c>
    </row>
    <row r="232" spans="1:15" x14ac:dyDescent="0.25">
      <c r="A232" s="5" t="s">
        <v>67</v>
      </c>
      <c r="E232" s="5"/>
      <c r="F232" s="5"/>
      <c r="G232" s="5"/>
      <c r="H232" s="5"/>
      <c r="I232" s="5"/>
      <c r="J232" s="5"/>
      <c r="K232" t="s">
        <v>14</v>
      </c>
      <c r="L232">
        <v>1</v>
      </c>
      <c r="N232" s="5" t="s">
        <v>78</v>
      </c>
    </row>
    <row r="233" spans="1:15" x14ac:dyDescent="0.25">
      <c r="A233" s="5" t="s">
        <v>68</v>
      </c>
      <c r="E233" s="5"/>
      <c r="F233" s="5"/>
      <c r="G233" s="5"/>
      <c r="H233" s="5"/>
      <c r="I233" s="5"/>
      <c r="J233" s="5"/>
      <c r="K233" t="s">
        <v>14</v>
      </c>
      <c r="L233">
        <v>1</v>
      </c>
      <c r="N233" s="5" t="s">
        <v>78</v>
      </c>
    </row>
    <row r="234" spans="1:15" x14ac:dyDescent="0.25">
      <c r="A234" s="5" t="s">
        <v>69</v>
      </c>
      <c r="E234" s="5"/>
      <c r="F234" s="5"/>
      <c r="G234" s="5"/>
      <c r="H234" s="5"/>
      <c r="I234" s="5"/>
      <c r="J234" s="5"/>
      <c r="K234" t="s">
        <v>14</v>
      </c>
      <c r="L234">
        <v>1</v>
      </c>
      <c r="N234" s="5" t="s">
        <v>78</v>
      </c>
    </row>
    <row r="235" spans="1:15" x14ac:dyDescent="0.25">
      <c r="A235" s="5" t="s">
        <v>70</v>
      </c>
      <c r="E235" s="5"/>
      <c r="F235" s="5"/>
      <c r="G235" s="5"/>
      <c r="H235" s="5"/>
      <c r="I235" s="5"/>
      <c r="J235" s="5"/>
      <c r="K235" t="s">
        <v>14</v>
      </c>
      <c r="L235">
        <v>1</v>
      </c>
      <c r="N235" s="5" t="s">
        <v>78</v>
      </c>
    </row>
    <row r="236" spans="1:15" x14ac:dyDescent="0.25">
      <c r="A236" s="5" t="s">
        <v>71</v>
      </c>
      <c r="E236" s="5"/>
      <c r="F236" s="5"/>
      <c r="G236" s="5"/>
      <c r="H236" s="5"/>
      <c r="I236" s="5"/>
      <c r="J236" s="5"/>
      <c r="K236" t="s">
        <v>14</v>
      </c>
      <c r="L236">
        <v>1</v>
      </c>
      <c r="N236" s="5" t="s">
        <v>78</v>
      </c>
    </row>
    <row r="237" spans="1:15" x14ac:dyDescent="0.25">
      <c r="A237" s="5" t="s">
        <v>72</v>
      </c>
      <c r="E237" s="5"/>
      <c r="F237" s="5"/>
      <c r="G237" s="5"/>
      <c r="H237" s="5"/>
      <c r="I237" s="5"/>
      <c r="J237" s="5"/>
      <c r="K237" t="s">
        <v>14</v>
      </c>
      <c r="L237">
        <v>1</v>
      </c>
      <c r="N237" s="5" t="s">
        <v>78</v>
      </c>
    </row>
    <row r="239" spans="1:15" x14ac:dyDescent="0.25">
      <c r="A239" s="2" t="s">
        <v>181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x14ac:dyDescent="0.25">
      <c r="J240" s="6" t="s">
        <v>132</v>
      </c>
      <c r="K240" s="6" t="s">
        <v>163</v>
      </c>
      <c r="L240" s="14">
        <v>0</v>
      </c>
      <c r="M240" s="6" t="s">
        <v>133</v>
      </c>
      <c r="N240" s="6" t="s">
        <v>167</v>
      </c>
    </row>
    <row r="241" spans="1:15" x14ac:dyDescent="0.25">
      <c r="A241" s="1" t="s">
        <v>168</v>
      </c>
      <c r="J241" s="6"/>
      <c r="K241" s="6"/>
      <c r="L241" s="14"/>
      <c r="M241" s="6"/>
      <c r="N241" s="6"/>
    </row>
    <row r="242" spans="1:15" x14ac:dyDescent="0.25">
      <c r="E242" t="s">
        <v>126</v>
      </c>
      <c r="J242" t="s">
        <v>132</v>
      </c>
      <c r="K242" t="s">
        <v>163</v>
      </c>
      <c r="L242" s="12">
        <f>8/1000*(14/(1*14+3*2))*100</f>
        <v>0.55999999999999994</v>
      </c>
      <c r="M242" t="s">
        <v>133</v>
      </c>
      <c r="N242" s="5" t="s">
        <v>136</v>
      </c>
      <c r="O242" t="s">
        <v>129</v>
      </c>
    </row>
    <row r="243" spans="1:15" x14ac:dyDescent="0.25">
      <c r="E243" t="s">
        <v>127</v>
      </c>
      <c r="J243" t="s">
        <v>132</v>
      </c>
      <c r="K243" t="s">
        <v>163</v>
      </c>
      <c r="L243" s="12">
        <f>15/1000*(14/(1*14+3*2))*100</f>
        <v>1.0499999999999998</v>
      </c>
      <c r="M243" t="s">
        <v>133</v>
      </c>
      <c r="O243" t="s">
        <v>129</v>
      </c>
    </row>
    <row r="244" spans="1:15" x14ac:dyDescent="0.25">
      <c r="E244" t="s">
        <v>125</v>
      </c>
      <c r="J244" t="s">
        <v>132</v>
      </c>
      <c r="K244" t="s">
        <v>163</v>
      </c>
      <c r="L244" s="12">
        <f>50/1000*(14/(1*14+3*2))*100</f>
        <v>3.4999999999999996</v>
      </c>
      <c r="M244" t="s">
        <v>133</v>
      </c>
      <c r="O244" t="s">
        <v>129</v>
      </c>
    </row>
    <row r="245" spans="1:15" x14ac:dyDescent="0.25">
      <c r="A245" s="1" t="s">
        <v>169</v>
      </c>
      <c r="B245" s="7" t="s">
        <v>189</v>
      </c>
    </row>
    <row r="246" spans="1:15" x14ac:dyDescent="0.25">
      <c r="F246" t="s">
        <v>141</v>
      </c>
      <c r="G246" t="s">
        <v>142</v>
      </c>
      <c r="H246" t="s">
        <v>143</v>
      </c>
      <c r="I246" t="s">
        <v>154</v>
      </c>
      <c r="J246" t="s">
        <v>132</v>
      </c>
      <c r="K246" t="s">
        <v>163</v>
      </c>
      <c r="L246">
        <v>33</v>
      </c>
      <c r="M246" t="s">
        <v>133</v>
      </c>
      <c r="O246" t="s">
        <v>170</v>
      </c>
    </row>
    <row r="247" spans="1:15" x14ac:dyDescent="0.25">
      <c r="F247" t="s">
        <v>141</v>
      </c>
      <c r="G247" t="s">
        <v>142</v>
      </c>
      <c r="H247" t="s">
        <v>143</v>
      </c>
      <c r="I247" t="s">
        <v>155</v>
      </c>
      <c r="J247" t="s">
        <v>132</v>
      </c>
      <c r="K247" t="s">
        <v>163</v>
      </c>
      <c r="L247">
        <v>38</v>
      </c>
      <c r="M247" t="s">
        <v>133</v>
      </c>
      <c r="O247" t="s">
        <v>170</v>
      </c>
    </row>
    <row r="248" spans="1:15" x14ac:dyDescent="0.25">
      <c r="F248" t="s">
        <v>141</v>
      </c>
      <c r="G248" t="s">
        <v>142</v>
      </c>
      <c r="H248" t="s">
        <v>143</v>
      </c>
      <c r="I248" t="s">
        <v>156</v>
      </c>
      <c r="J248" t="s">
        <v>132</v>
      </c>
      <c r="K248" t="s">
        <v>163</v>
      </c>
      <c r="L248">
        <v>41</v>
      </c>
      <c r="M248" t="s">
        <v>133</v>
      </c>
      <c r="O248" t="s">
        <v>170</v>
      </c>
    </row>
    <row r="249" spans="1:15" x14ac:dyDescent="0.25">
      <c r="F249" t="s">
        <v>141</v>
      </c>
      <c r="G249" t="s">
        <v>144</v>
      </c>
      <c r="H249" t="s">
        <v>143</v>
      </c>
      <c r="I249" t="s">
        <v>154</v>
      </c>
      <c r="J249" t="s">
        <v>132</v>
      </c>
      <c r="K249" t="s">
        <v>163</v>
      </c>
      <c r="L249">
        <v>32</v>
      </c>
      <c r="M249" t="s">
        <v>133</v>
      </c>
      <c r="O249" t="s">
        <v>170</v>
      </c>
    </row>
    <row r="250" spans="1:15" x14ac:dyDescent="0.25">
      <c r="F250" t="s">
        <v>141</v>
      </c>
      <c r="G250" t="s">
        <v>144</v>
      </c>
      <c r="H250" t="s">
        <v>143</v>
      </c>
      <c r="I250" t="s">
        <v>155</v>
      </c>
      <c r="J250" t="s">
        <v>132</v>
      </c>
      <c r="K250" t="s">
        <v>163</v>
      </c>
      <c r="L250">
        <v>39</v>
      </c>
      <c r="M250" t="s">
        <v>133</v>
      </c>
      <c r="O250" t="s">
        <v>170</v>
      </c>
    </row>
    <row r="251" spans="1:15" x14ac:dyDescent="0.25">
      <c r="F251" t="s">
        <v>141</v>
      </c>
      <c r="G251" t="s">
        <v>144</v>
      </c>
      <c r="H251" t="s">
        <v>143</v>
      </c>
      <c r="I251" t="s">
        <v>156</v>
      </c>
      <c r="J251" t="s">
        <v>132</v>
      </c>
      <c r="K251" t="s">
        <v>163</v>
      </c>
      <c r="L251">
        <v>46</v>
      </c>
      <c r="M251" t="s">
        <v>133</v>
      </c>
      <c r="O251" t="s">
        <v>170</v>
      </c>
    </row>
    <row r="252" spans="1:15" x14ac:dyDescent="0.25">
      <c r="F252" t="s">
        <v>141</v>
      </c>
      <c r="H252" t="s">
        <v>145</v>
      </c>
      <c r="I252" t="s">
        <v>154</v>
      </c>
      <c r="J252" t="s">
        <v>132</v>
      </c>
      <c r="K252" t="s">
        <v>163</v>
      </c>
      <c r="L252">
        <v>32</v>
      </c>
      <c r="M252" t="s">
        <v>133</v>
      </c>
      <c r="O252" t="s">
        <v>170</v>
      </c>
    </row>
    <row r="253" spans="1:15" x14ac:dyDescent="0.25">
      <c r="F253" t="s">
        <v>141</v>
      </c>
      <c r="H253" t="s">
        <v>145</v>
      </c>
      <c r="I253" t="s">
        <v>155</v>
      </c>
      <c r="J253" t="s">
        <v>132</v>
      </c>
      <c r="K253" t="s">
        <v>163</v>
      </c>
      <c r="L253">
        <v>38</v>
      </c>
      <c r="M253" t="s">
        <v>133</v>
      </c>
      <c r="O253" t="s">
        <v>170</v>
      </c>
    </row>
    <row r="254" spans="1:15" x14ac:dyDescent="0.25">
      <c r="F254" t="s">
        <v>141</v>
      </c>
      <c r="H254" t="s">
        <v>145</v>
      </c>
      <c r="I254" t="s">
        <v>156</v>
      </c>
      <c r="J254" t="s">
        <v>132</v>
      </c>
      <c r="K254" t="s">
        <v>163</v>
      </c>
      <c r="L254">
        <v>47</v>
      </c>
      <c r="M254" t="s">
        <v>133</v>
      </c>
      <c r="O254" t="s">
        <v>170</v>
      </c>
    </row>
    <row r="255" spans="1:15" x14ac:dyDescent="0.25">
      <c r="F255" t="s">
        <v>141</v>
      </c>
      <c r="H255" t="s">
        <v>146</v>
      </c>
      <c r="I255" t="s">
        <v>154</v>
      </c>
      <c r="J255" t="s">
        <v>132</v>
      </c>
      <c r="K255" t="s">
        <v>163</v>
      </c>
      <c r="L255">
        <v>33</v>
      </c>
      <c r="M255" t="s">
        <v>133</v>
      </c>
      <c r="O255" t="s">
        <v>170</v>
      </c>
    </row>
    <row r="256" spans="1:15" x14ac:dyDescent="0.25">
      <c r="F256" t="s">
        <v>141</v>
      </c>
      <c r="H256" t="s">
        <v>146</v>
      </c>
      <c r="I256" t="s">
        <v>155</v>
      </c>
      <c r="J256" t="s">
        <v>132</v>
      </c>
      <c r="K256" t="s">
        <v>163</v>
      </c>
      <c r="L256">
        <v>39</v>
      </c>
      <c r="M256" t="s">
        <v>133</v>
      </c>
      <c r="O256" t="s">
        <v>170</v>
      </c>
    </row>
    <row r="257" spans="6:15" x14ac:dyDescent="0.25">
      <c r="F257" t="s">
        <v>141</v>
      </c>
      <c r="H257" t="s">
        <v>146</v>
      </c>
      <c r="I257" t="s">
        <v>156</v>
      </c>
      <c r="J257" t="s">
        <v>132</v>
      </c>
      <c r="K257" t="s">
        <v>163</v>
      </c>
      <c r="L257">
        <v>47</v>
      </c>
      <c r="M257" t="s">
        <v>133</v>
      </c>
      <c r="O257" t="s">
        <v>170</v>
      </c>
    </row>
    <row r="258" spans="6:15" x14ac:dyDescent="0.25">
      <c r="F258" t="s">
        <v>141</v>
      </c>
      <c r="I258" t="s">
        <v>154</v>
      </c>
      <c r="J258" t="s">
        <v>132</v>
      </c>
      <c r="K258" t="s">
        <v>163</v>
      </c>
      <c r="L258">
        <v>32</v>
      </c>
      <c r="M258" t="s">
        <v>133</v>
      </c>
      <c r="N258" t="s">
        <v>157</v>
      </c>
      <c r="O258" t="s">
        <v>170</v>
      </c>
    </row>
    <row r="259" spans="6:15" x14ac:dyDescent="0.25">
      <c r="F259" t="s">
        <v>141</v>
      </c>
      <c r="I259" t="s">
        <v>155</v>
      </c>
      <c r="J259" t="s">
        <v>132</v>
      </c>
      <c r="K259" t="s">
        <v>163</v>
      </c>
      <c r="L259">
        <v>39</v>
      </c>
      <c r="M259" t="s">
        <v>133</v>
      </c>
      <c r="N259" t="s">
        <v>157</v>
      </c>
      <c r="O259" t="s">
        <v>170</v>
      </c>
    </row>
    <row r="260" spans="6:15" x14ac:dyDescent="0.25">
      <c r="F260" t="s">
        <v>141</v>
      </c>
      <c r="I260" t="s">
        <v>156</v>
      </c>
      <c r="J260" t="s">
        <v>132</v>
      </c>
      <c r="K260" t="s">
        <v>163</v>
      </c>
      <c r="L260">
        <v>46</v>
      </c>
      <c r="M260" t="s">
        <v>133</v>
      </c>
      <c r="N260" t="s">
        <v>157</v>
      </c>
      <c r="O260" t="s">
        <v>170</v>
      </c>
    </row>
    <row r="261" spans="6:15" x14ac:dyDescent="0.25">
      <c r="F261" t="s">
        <v>141</v>
      </c>
      <c r="I261" t="s">
        <v>172</v>
      </c>
      <c r="J261" t="s">
        <v>132</v>
      </c>
      <c r="K261" t="s">
        <v>163</v>
      </c>
      <c r="L261">
        <v>14</v>
      </c>
      <c r="M261" t="s">
        <v>133</v>
      </c>
      <c r="O261" t="s">
        <v>188</v>
      </c>
    </row>
    <row r="262" spans="6:15" x14ac:dyDescent="0.25">
      <c r="F262" t="s">
        <v>160</v>
      </c>
      <c r="I262" t="s">
        <v>155</v>
      </c>
      <c r="J262" t="s">
        <v>132</v>
      </c>
      <c r="K262" t="s">
        <v>163</v>
      </c>
      <c r="L262">
        <v>43</v>
      </c>
      <c r="M262" t="s">
        <v>133</v>
      </c>
      <c r="O262" t="s">
        <v>170</v>
      </c>
    </row>
    <row r="263" spans="6:15" x14ac:dyDescent="0.25">
      <c r="F263" t="s">
        <v>160</v>
      </c>
      <c r="I263" t="s">
        <v>156</v>
      </c>
      <c r="J263" t="s">
        <v>132</v>
      </c>
      <c r="K263" t="s">
        <v>163</v>
      </c>
      <c r="L263">
        <v>47</v>
      </c>
      <c r="M263" t="s">
        <v>133</v>
      </c>
      <c r="O263" t="s">
        <v>170</v>
      </c>
    </row>
    <row r="264" spans="6:15" x14ac:dyDescent="0.25">
      <c r="F264" t="s">
        <v>160</v>
      </c>
      <c r="I264" t="s">
        <v>172</v>
      </c>
      <c r="J264" t="s">
        <v>132</v>
      </c>
      <c r="K264" t="s">
        <v>163</v>
      </c>
      <c r="L264">
        <v>35</v>
      </c>
      <c r="M264" t="s">
        <v>133</v>
      </c>
      <c r="O264" t="s">
        <v>188</v>
      </c>
    </row>
    <row r="265" spans="6:15" x14ac:dyDescent="0.25">
      <c r="F265" t="s">
        <v>147</v>
      </c>
      <c r="H265" t="s">
        <v>148</v>
      </c>
      <c r="I265" t="s">
        <v>154</v>
      </c>
      <c r="J265" t="s">
        <v>132</v>
      </c>
      <c r="K265" t="s">
        <v>163</v>
      </c>
      <c r="L265">
        <v>30</v>
      </c>
      <c r="M265" t="s">
        <v>133</v>
      </c>
      <c r="O265" t="s">
        <v>170</v>
      </c>
    </row>
    <row r="266" spans="6:15" x14ac:dyDescent="0.25">
      <c r="F266" t="s">
        <v>147</v>
      </c>
      <c r="H266" t="s">
        <v>148</v>
      </c>
      <c r="I266" t="s">
        <v>155</v>
      </c>
      <c r="J266" t="s">
        <v>132</v>
      </c>
      <c r="K266" t="s">
        <v>163</v>
      </c>
      <c r="L266">
        <v>35</v>
      </c>
      <c r="M266" t="s">
        <v>133</v>
      </c>
      <c r="O266" t="s">
        <v>170</v>
      </c>
    </row>
    <row r="267" spans="6:15" x14ac:dyDescent="0.25">
      <c r="F267" t="s">
        <v>147</v>
      </c>
      <c r="H267" t="s">
        <v>148</v>
      </c>
      <c r="I267" t="s">
        <v>156</v>
      </c>
      <c r="J267" t="s">
        <v>132</v>
      </c>
      <c r="K267" t="s">
        <v>163</v>
      </c>
      <c r="L267">
        <v>48</v>
      </c>
      <c r="M267" t="s">
        <v>133</v>
      </c>
      <c r="O267" t="s">
        <v>170</v>
      </c>
    </row>
    <row r="268" spans="6:15" x14ac:dyDescent="0.25">
      <c r="F268" t="s">
        <v>147</v>
      </c>
      <c r="H268" t="s">
        <v>149</v>
      </c>
      <c r="I268" t="s">
        <v>154</v>
      </c>
      <c r="J268" t="s">
        <v>132</v>
      </c>
      <c r="K268" t="s">
        <v>163</v>
      </c>
      <c r="L268">
        <v>29</v>
      </c>
      <c r="M268" t="s">
        <v>133</v>
      </c>
      <c r="O268" t="s">
        <v>170</v>
      </c>
    </row>
    <row r="269" spans="6:15" x14ac:dyDescent="0.25">
      <c r="F269" t="s">
        <v>147</v>
      </c>
      <c r="H269" t="s">
        <v>149</v>
      </c>
      <c r="I269" t="s">
        <v>155</v>
      </c>
      <c r="J269" t="s">
        <v>132</v>
      </c>
      <c r="K269" t="s">
        <v>163</v>
      </c>
      <c r="L269">
        <v>34</v>
      </c>
      <c r="M269" t="s">
        <v>133</v>
      </c>
      <c r="O269" t="s">
        <v>170</v>
      </c>
    </row>
    <row r="270" spans="6:15" x14ac:dyDescent="0.25">
      <c r="F270" t="s">
        <v>147</v>
      </c>
      <c r="H270" t="s">
        <v>149</v>
      </c>
      <c r="I270" t="s">
        <v>156</v>
      </c>
      <c r="J270" t="s">
        <v>132</v>
      </c>
      <c r="K270" t="s">
        <v>163</v>
      </c>
      <c r="L270">
        <v>46</v>
      </c>
      <c r="M270" t="s">
        <v>133</v>
      </c>
      <c r="O270" t="s">
        <v>170</v>
      </c>
    </row>
    <row r="271" spans="6:15" x14ac:dyDescent="0.25">
      <c r="F271" t="s">
        <v>147</v>
      </c>
      <c r="H271" t="s">
        <v>150</v>
      </c>
      <c r="I271" t="s">
        <v>154</v>
      </c>
      <c r="J271" t="s">
        <v>132</v>
      </c>
      <c r="K271" t="s">
        <v>163</v>
      </c>
      <c r="L271">
        <v>29</v>
      </c>
      <c r="M271" t="s">
        <v>133</v>
      </c>
      <c r="O271" t="s">
        <v>170</v>
      </c>
    </row>
    <row r="272" spans="6:15" x14ac:dyDescent="0.25">
      <c r="F272" t="s">
        <v>147</v>
      </c>
      <c r="H272" t="s">
        <v>150</v>
      </c>
      <c r="I272" t="s">
        <v>155</v>
      </c>
      <c r="J272" t="s">
        <v>132</v>
      </c>
      <c r="K272" t="s">
        <v>163</v>
      </c>
      <c r="L272">
        <v>35</v>
      </c>
      <c r="M272" t="s">
        <v>133</v>
      </c>
      <c r="O272" t="s">
        <v>170</v>
      </c>
    </row>
    <row r="273" spans="1:15" x14ac:dyDescent="0.25">
      <c r="F273" t="s">
        <v>147</v>
      </c>
      <c r="H273" t="s">
        <v>150</v>
      </c>
      <c r="I273" t="s">
        <v>156</v>
      </c>
      <c r="J273" t="s">
        <v>132</v>
      </c>
      <c r="K273" t="s">
        <v>163</v>
      </c>
      <c r="L273">
        <v>48</v>
      </c>
      <c r="M273" t="s">
        <v>133</v>
      </c>
      <c r="O273" t="s">
        <v>170</v>
      </c>
    </row>
    <row r="274" spans="1:15" x14ac:dyDescent="0.25">
      <c r="F274" t="s">
        <v>147</v>
      </c>
      <c r="H274" t="s">
        <v>151</v>
      </c>
      <c r="I274" t="s">
        <v>154</v>
      </c>
      <c r="J274" t="s">
        <v>132</v>
      </c>
      <c r="K274" t="s">
        <v>163</v>
      </c>
      <c r="L274" s="13">
        <f>L265</f>
        <v>30</v>
      </c>
      <c r="M274" t="s">
        <v>133</v>
      </c>
      <c r="N274" t="s">
        <v>159</v>
      </c>
      <c r="O274" t="s">
        <v>170</v>
      </c>
    </row>
    <row r="275" spans="1:15" x14ac:dyDescent="0.25">
      <c r="F275" t="s">
        <v>147</v>
      </c>
      <c r="H275" t="s">
        <v>151</v>
      </c>
      <c r="I275" t="s">
        <v>155</v>
      </c>
      <c r="J275" t="s">
        <v>132</v>
      </c>
      <c r="K275" t="s">
        <v>163</v>
      </c>
      <c r="L275" s="13">
        <f t="shared" ref="L275:L276" si="4">L266</f>
        <v>35</v>
      </c>
      <c r="M275" t="s">
        <v>133</v>
      </c>
      <c r="N275" t="s">
        <v>159</v>
      </c>
      <c r="O275" t="s">
        <v>170</v>
      </c>
    </row>
    <row r="276" spans="1:15" x14ac:dyDescent="0.25">
      <c r="F276" t="s">
        <v>147</v>
      </c>
      <c r="H276" t="s">
        <v>151</v>
      </c>
      <c r="I276" t="s">
        <v>156</v>
      </c>
      <c r="J276" t="s">
        <v>132</v>
      </c>
      <c r="K276" t="s">
        <v>163</v>
      </c>
      <c r="L276" s="13">
        <f t="shared" si="4"/>
        <v>48</v>
      </c>
      <c r="M276" t="s">
        <v>133</v>
      </c>
      <c r="N276" t="s">
        <v>159</v>
      </c>
      <c r="O276" t="s">
        <v>170</v>
      </c>
    </row>
    <row r="277" spans="1:15" x14ac:dyDescent="0.25">
      <c r="F277" t="s">
        <v>147</v>
      </c>
      <c r="I277" t="s">
        <v>154</v>
      </c>
      <c r="J277" t="s">
        <v>132</v>
      </c>
      <c r="K277" t="s">
        <v>163</v>
      </c>
      <c r="L277">
        <v>29</v>
      </c>
      <c r="M277" t="s">
        <v>133</v>
      </c>
      <c r="N277" t="s">
        <v>158</v>
      </c>
      <c r="O277" t="s">
        <v>170</v>
      </c>
    </row>
    <row r="278" spans="1:15" x14ac:dyDescent="0.25">
      <c r="F278" t="s">
        <v>147</v>
      </c>
      <c r="I278" t="s">
        <v>155</v>
      </c>
      <c r="J278" t="s">
        <v>132</v>
      </c>
      <c r="K278" t="s">
        <v>163</v>
      </c>
      <c r="L278">
        <v>35</v>
      </c>
      <c r="M278" t="s">
        <v>133</v>
      </c>
      <c r="N278" t="s">
        <v>158</v>
      </c>
      <c r="O278" t="s">
        <v>170</v>
      </c>
    </row>
    <row r="279" spans="1:15" x14ac:dyDescent="0.25">
      <c r="F279" t="s">
        <v>147</v>
      </c>
      <c r="I279" t="s">
        <v>156</v>
      </c>
      <c r="J279" t="s">
        <v>132</v>
      </c>
      <c r="K279" t="s">
        <v>163</v>
      </c>
      <c r="L279">
        <v>44</v>
      </c>
      <c r="M279" t="s">
        <v>133</v>
      </c>
      <c r="N279" t="s">
        <v>158</v>
      </c>
      <c r="O279" t="s">
        <v>170</v>
      </c>
    </row>
    <row r="280" spans="1:15" x14ac:dyDescent="0.25">
      <c r="F280" t="s">
        <v>152</v>
      </c>
      <c r="G280" t="s">
        <v>153</v>
      </c>
      <c r="I280" t="s">
        <v>155</v>
      </c>
      <c r="J280" t="s">
        <v>132</v>
      </c>
      <c r="K280" t="s">
        <v>163</v>
      </c>
      <c r="L280">
        <v>41</v>
      </c>
      <c r="M280" t="s">
        <v>133</v>
      </c>
      <c r="O280" t="s">
        <v>170</v>
      </c>
    </row>
    <row r="281" spans="1:15" x14ac:dyDescent="0.25">
      <c r="F281" t="s">
        <v>152</v>
      </c>
      <c r="G281" t="s">
        <v>153</v>
      </c>
      <c r="I281" t="s">
        <v>156</v>
      </c>
      <c r="J281" t="s">
        <v>132</v>
      </c>
      <c r="K281" t="s">
        <v>163</v>
      </c>
      <c r="L281">
        <v>41</v>
      </c>
      <c r="M281" t="s">
        <v>133</v>
      </c>
      <c r="O281" t="s">
        <v>170</v>
      </c>
    </row>
    <row r="283" spans="1:15" x14ac:dyDescent="0.25">
      <c r="A283" s="7" t="s">
        <v>179</v>
      </c>
    </row>
    <row r="285" spans="1:15" x14ac:dyDescent="0.25">
      <c r="A285" s="2" t="s">
        <v>182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7" spans="1:15" x14ac:dyDescent="0.25">
      <c r="J287" t="s">
        <v>171</v>
      </c>
      <c r="K287" t="s">
        <v>183</v>
      </c>
      <c r="L287">
        <v>1</v>
      </c>
      <c r="M287" t="s">
        <v>128</v>
      </c>
      <c r="N287" t="s">
        <v>178</v>
      </c>
      <c r="O287" t="s">
        <v>174</v>
      </c>
    </row>
    <row r="288" spans="1:15" x14ac:dyDescent="0.25">
      <c r="J288" t="s">
        <v>171</v>
      </c>
      <c r="K288" t="s">
        <v>185</v>
      </c>
      <c r="L288">
        <v>1</v>
      </c>
      <c r="M288" t="s">
        <v>128</v>
      </c>
      <c r="N288" t="s">
        <v>180</v>
      </c>
      <c r="O288" t="s">
        <v>174</v>
      </c>
    </row>
    <row r="289" spans="6:15" x14ac:dyDescent="0.25">
      <c r="F289" t="s">
        <v>141</v>
      </c>
      <c r="I289" t="s">
        <v>172</v>
      </c>
      <c r="J289" t="s">
        <v>171</v>
      </c>
      <c r="K289" t="s">
        <v>185</v>
      </c>
      <c r="L289">
        <v>2</v>
      </c>
      <c r="M289" t="s">
        <v>128</v>
      </c>
      <c r="N289" t="s">
        <v>175</v>
      </c>
      <c r="O289" t="s">
        <v>173</v>
      </c>
    </row>
    <row r="290" spans="6:15" x14ac:dyDescent="0.25">
      <c r="I290" t="s">
        <v>172</v>
      </c>
      <c r="J290" t="s">
        <v>171</v>
      </c>
      <c r="K290" t="s">
        <v>185</v>
      </c>
      <c r="L290">
        <v>1</v>
      </c>
      <c r="M290" t="s">
        <v>128</v>
      </c>
      <c r="N290" t="s">
        <v>176</v>
      </c>
      <c r="O290" t="s">
        <v>173</v>
      </c>
    </row>
    <row r="291" spans="6:15" x14ac:dyDescent="0.25">
      <c r="K291" t="s">
        <v>184</v>
      </c>
      <c r="L291">
        <v>1</v>
      </c>
      <c r="M291" t="s">
        <v>128</v>
      </c>
      <c r="N291" t="s">
        <v>187</v>
      </c>
      <c r="O291" t="s">
        <v>174</v>
      </c>
    </row>
    <row r="292" spans="6:15" x14ac:dyDescent="0.25">
      <c r="J292" t="s">
        <v>171</v>
      </c>
      <c r="K292" t="s">
        <v>186</v>
      </c>
      <c r="L292">
        <v>1</v>
      </c>
      <c r="M292" t="s">
        <v>128</v>
      </c>
      <c r="N292" t="s">
        <v>177</v>
      </c>
      <c r="O292" t="s">
        <v>174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"/>
  <sheetViews>
    <sheetView topLeftCell="A78" workbookViewId="0">
      <selection activeCell="B96" sqref="B96"/>
    </sheetView>
  </sheetViews>
  <sheetFormatPr defaultRowHeight="15" x14ac:dyDescent="0.25"/>
  <sheetData>
    <row r="1" spans="1:2" x14ac:dyDescent="0.25">
      <c r="A1" t="s">
        <v>6</v>
      </c>
      <c r="B1" t="s">
        <v>99</v>
      </c>
    </row>
    <row r="2" spans="1:2" x14ac:dyDescent="0.25">
      <c r="A2">
        <v>111</v>
      </c>
      <c r="B2" t="s">
        <v>91</v>
      </c>
    </row>
    <row r="3" spans="1:2" x14ac:dyDescent="0.25">
      <c r="A3">
        <v>112</v>
      </c>
      <c r="B3" t="s">
        <v>91</v>
      </c>
    </row>
    <row r="4" spans="1:2" x14ac:dyDescent="0.25">
      <c r="A4">
        <v>311</v>
      </c>
      <c r="B4" t="s">
        <v>91</v>
      </c>
    </row>
    <row r="5" spans="1:2" x14ac:dyDescent="0.25">
      <c r="A5">
        <v>312</v>
      </c>
      <c r="B5" t="s">
        <v>91</v>
      </c>
    </row>
    <row r="6" spans="1:2" x14ac:dyDescent="0.25">
      <c r="A6">
        <v>321</v>
      </c>
      <c r="B6" t="s">
        <v>91</v>
      </c>
    </row>
    <row r="7" spans="1:2" x14ac:dyDescent="0.25">
      <c r="A7">
        <v>322</v>
      </c>
      <c r="B7" t="s">
        <v>91</v>
      </c>
    </row>
    <row r="8" spans="1:2" x14ac:dyDescent="0.25">
      <c r="A8">
        <v>411</v>
      </c>
      <c r="B8" t="s">
        <v>91</v>
      </c>
    </row>
    <row r="9" spans="1:2" x14ac:dyDescent="0.25">
      <c r="A9">
        <v>421</v>
      </c>
      <c r="B9" t="s">
        <v>91</v>
      </c>
    </row>
    <row r="10" spans="1:2" x14ac:dyDescent="0.25">
      <c r="A10">
        <v>422</v>
      </c>
      <c r="B10" t="s">
        <v>91</v>
      </c>
    </row>
    <row r="11" spans="1:2" x14ac:dyDescent="0.25">
      <c r="A11">
        <v>431</v>
      </c>
      <c r="B11" t="s">
        <v>91</v>
      </c>
    </row>
    <row r="12" spans="1:2" x14ac:dyDescent="0.25">
      <c r="A12">
        <v>511</v>
      </c>
      <c r="B12" t="s">
        <v>92</v>
      </c>
    </row>
    <row r="13" spans="1:2" x14ac:dyDescent="0.25">
      <c r="A13">
        <v>512</v>
      </c>
      <c r="B13" t="s">
        <v>92</v>
      </c>
    </row>
    <row r="14" spans="1:2" x14ac:dyDescent="0.25">
      <c r="A14">
        <v>513</v>
      </c>
      <c r="B14" t="s">
        <v>93</v>
      </c>
    </row>
    <row r="15" spans="1:2" x14ac:dyDescent="0.25">
      <c r="A15">
        <v>514</v>
      </c>
      <c r="B15" t="s">
        <v>93</v>
      </c>
    </row>
    <row r="16" spans="1:2" x14ac:dyDescent="0.25">
      <c r="A16">
        <v>515</v>
      </c>
      <c r="B16" t="s">
        <v>93</v>
      </c>
    </row>
    <row r="17" spans="1:2" x14ac:dyDescent="0.25">
      <c r="A17">
        <v>521</v>
      </c>
      <c r="B17" t="s">
        <v>94</v>
      </c>
    </row>
    <row r="18" spans="1:2" x14ac:dyDescent="0.25">
      <c r="A18">
        <v>611</v>
      </c>
      <c r="B18" t="s">
        <v>92</v>
      </c>
    </row>
    <row r="19" spans="1:2" x14ac:dyDescent="0.25">
      <c r="A19">
        <v>612</v>
      </c>
      <c r="B19" t="s">
        <v>92</v>
      </c>
    </row>
    <row r="20" spans="1:2" x14ac:dyDescent="0.25">
      <c r="A20">
        <v>621</v>
      </c>
      <c r="B20" t="s">
        <v>92</v>
      </c>
    </row>
    <row r="21" spans="1:2" x14ac:dyDescent="0.25">
      <c r="A21">
        <v>622</v>
      </c>
      <c r="B21" t="s">
        <v>92</v>
      </c>
    </row>
    <row r="22" spans="1:2" x14ac:dyDescent="0.25">
      <c r="A22">
        <v>711</v>
      </c>
      <c r="B22" t="s">
        <v>92</v>
      </c>
    </row>
    <row r="23" spans="1:2" x14ac:dyDescent="0.25">
      <c r="A23">
        <v>731</v>
      </c>
      <c r="B23" t="s">
        <v>92</v>
      </c>
    </row>
    <row r="24" spans="1:2" x14ac:dyDescent="0.25">
      <c r="A24">
        <v>811</v>
      </c>
      <c r="B24" t="s">
        <v>95</v>
      </c>
    </row>
    <row r="25" spans="1:2" x14ac:dyDescent="0.25">
      <c r="A25">
        <v>812</v>
      </c>
      <c r="B25" t="s">
        <v>95</v>
      </c>
    </row>
    <row r="26" spans="1:2" x14ac:dyDescent="0.25">
      <c r="A26">
        <v>813</v>
      </c>
      <c r="B26" t="s">
        <v>92</v>
      </c>
    </row>
    <row r="27" spans="1:2" x14ac:dyDescent="0.25">
      <c r="A27">
        <v>814</v>
      </c>
      <c r="B27" t="s">
        <v>92</v>
      </c>
    </row>
    <row r="28" spans="1:2" x14ac:dyDescent="0.25">
      <c r="A28">
        <v>821</v>
      </c>
      <c r="B28" t="s">
        <v>92</v>
      </c>
    </row>
    <row r="29" spans="1:2" x14ac:dyDescent="0.25">
      <c r="A29">
        <v>831</v>
      </c>
      <c r="B29" t="s">
        <v>92</v>
      </c>
    </row>
    <row r="30" spans="1:2" x14ac:dyDescent="0.25">
      <c r="A30">
        <v>911</v>
      </c>
      <c r="B30" t="s">
        <v>95</v>
      </c>
    </row>
    <row r="31" spans="1:2" x14ac:dyDescent="0.25">
      <c r="A31">
        <v>912</v>
      </c>
      <c r="B31" t="s">
        <v>95</v>
      </c>
    </row>
    <row r="32" spans="1:2" x14ac:dyDescent="0.25">
      <c r="A32">
        <v>913</v>
      </c>
      <c r="B32" t="s">
        <v>95</v>
      </c>
    </row>
    <row r="33" spans="1:2" x14ac:dyDescent="0.25">
      <c r="A33">
        <v>1011</v>
      </c>
      <c r="B33" t="s">
        <v>95</v>
      </c>
    </row>
    <row r="34" spans="1:2" x14ac:dyDescent="0.25">
      <c r="A34">
        <v>1111</v>
      </c>
      <c r="B34" t="s">
        <v>95</v>
      </c>
    </row>
    <row r="35" spans="1:2" x14ac:dyDescent="0.25">
      <c r="A35">
        <v>1112</v>
      </c>
      <c r="B35" t="s">
        <v>95</v>
      </c>
    </row>
    <row r="36" spans="1:2" x14ac:dyDescent="0.25">
      <c r="A36">
        <v>1121</v>
      </c>
      <c r="B36" t="s">
        <v>96</v>
      </c>
    </row>
    <row r="37" spans="1:2" x14ac:dyDescent="0.25">
      <c r="A37">
        <v>1122</v>
      </c>
      <c r="B37" t="s">
        <v>95</v>
      </c>
    </row>
    <row r="38" spans="1:2" x14ac:dyDescent="0.25">
      <c r="A38">
        <v>1123</v>
      </c>
      <c r="B38" t="s">
        <v>96</v>
      </c>
    </row>
    <row r="39" spans="1:2" x14ac:dyDescent="0.25">
      <c r="A39">
        <v>1124</v>
      </c>
      <c r="B39" t="s">
        <v>92</v>
      </c>
    </row>
    <row r="40" spans="1:2" x14ac:dyDescent="0.25">
      <c r="A40">
        <v>1131</v>
      </c>
      <c r="B40" t="s">
        <v>92</v>
      </c>
    </row>
    <row r="41" spans="1:2" x14ac:dyDescent="0.25">
      <c r="A41">
        <v>1211</v>
      </c>
      <c r="B41" t="s">
        <v>96</v>
      </c>
    </row>
    <row r="42" spans="1:2" x14ac:dyDescent="0.25">
      <c r="A42">
        <v>1212</v>
      </c>
      <c r="B42" t="s">
        <v>96</v>
      </c>
    </row>
    <row r="43" spans="1:2" x14ac:dyDescent="0.25">
      <c r="A43">
        <v>1213</v>
      </c>
      <c r="B43" t="s">
        <v>95</v>
      </c>
    </row>
    <row r="44" spans="1:2" x14ac:dyDescent="0.25">
      <c r="A44">
        <v>1214</v>
      </c>
      <c r="B44" t="s">
        <v>96</v>
      </c>
    </row>
    <row r="45" spans="1:2" x14ac:dyDescent="0.25">
      <c r="A45">
        <v>1215</v>
      </c>
      <c r="B45" t="s">
        <v>95</v>
      </c>
    </row>
    <row r="46" spans="1:2" x14ac:dyDescent="0.25">
      <c r="A46">
        <v>1216</v>
      </c>
      <c r="B46" t="s">
        <v>96</v>
      </c>
    </row>
    <row r="47" spans="1:2" x14ac:dyDescent="0.25">
      <c r="A47">
        <v>1221</v>
      </c>
      <c r="B47" t="s">
        <v>92</v>
      </c>
    </row>
    <row r="48" spans="1:2" x14ac:dyDescent="0.25">
      <c r="A48">
        <v>1222</v>
      </c>
      <c r="B48" t="s">
        <v>96</v>
      </c>
    </row>
    <row r="49" spans="1:2" x14ac:dyDescent="0.25">
      <c r="A49">
        <v>1311</v>
      </c>
      <c r="B49" t="s">
        <v>96</v>
      </c>
    </row>
    <row r="50" spans="1:2" x14ac:dyDescent="0.25">
      <c r="A50">
        <v>1321</v>
      </c>
      <c r="B50" t="s">
        <v>96</v>
      </c>
    </row>
    <row r="51" spans="1:2" x14ac:dyDescent="0.25">
      <c r="A51">
        <v>1322</v>
      </c>
      <c r="B51" t="s">
        <v>92</v>
      </c>
    </row>
    <row r="52" spans="1:2" x14ac:dyDescent="0.25">
      <c r="A52">
        <v>1331</v>
      </c>
      <c r="B52" t="s">
        <v>92</v>
      </c>
    </row>
    <row r="53" spans="1:2" x14ac:dyDescent="0.25">
      <c r="A53">
        <v>1411</v>
      </c>
      <c r="B53" t="s">
        <v>92</v>
      </c>
    </row>
    <row r="54" spans="1:2" x14ac:dyDescent="0.25">
      <c r="A54">
        <v>1412</v>
      </c>
      <c r="B54" t="s">
        <v>92</v>
      </c>
    </row>
    <row r="55" spans="1:2" x14ac:dyDescent="0.25">
      <c r="A55">
        <v>1421</v>
      </c>
      <c r="B55" t="s">
        <v>92</v>
      </c>
    </row>
    <row r="56" spans="1:2" x14ac:dyDescent="0.25">
      <c r="A56">
        <v>1511</v>
      </c>
      <c r="B56" t="s">
        <v>92</v>
      </c>
    </row>
    <row r="57" spans="1:2" x14ac:dyDescent="0.25">
      <c r="A57">
        <v>1512</v>
      </c>
      <c r="B57" t="s">
        <v>93</v>
      </c>
    </row>
    <row r="58" spans="1:2" x14ac:dyDescent="0.25">
      <c r="A58">
        <v>1521</v>
      </c>
      <c r="B58" t="s">
        <v>92</v>
      </c>
    </row>
    <row r="59" spans="1:2" x14ac:dyDescent="0.25">
      <c r="A59">
        <v>1522</v>
      </c>
      <c r="B59" t="s">
        <v>92</v>
      </c>
    </row>
    <row r="60" spans="1:2" x14ac:dyDescent="0.25">
      <c r="A60">
        <v>1611</v>
      </c>
      <c r="B60" t="s">
        <v>92</v>
      </c>
    </row>
    <row r="61" spans="1:2" x14ac:dyDescent="0.25">
      <c r="A61">
        <v>1612</v>
      </c>
      <c r="B61" t="s">
        <v>93</v>
      </c>
    </row>
    <row r="62" spans="1:2" x14ac:dyDescent="0.25">
      <c r="A62">
        <v>1613</v>
      </c>
      <c r="B62" t="s">
        <v>93</v>
      </c>
    </row>
    <row r="63" spans="1:2" x14ac:dyDescent="0.25">
      <c r="A63">
        <v>1614</v>
      </c>
      <c r="B63" t="s">
        <v>93</v>
      </c>
    </row>
    <row r="64" spans="1:2" x14ac:dyDescent="0.25">
      <c r="A64">
        <v>1615</v>
      </c>
      <c r="B64" t="s">
        <v>93</v>
      </c>
    </row>
    <row r="65" spans="1:2" x14ac:dyDescent="0.25">
      <c r="A65">
        <v>1616</v>
      </c>
      <c r="B65" t="s">
        <v>93</v>
      </c>
    </row>
    <row r="66" spans="1:2" x14ac:dyDescent="0.25">
      <c r="A66">
        <v>1617</v>
      </c>
      <c r="B66" t="s">
        <v>94</v>
      </c>
    </row>
    <row r="67" spans="1:2" x14ac:dyDescent="0.25">
      <c r="A67">
        <v>1621</v>
      </c>
      <c r="B67" t="s">
        <v>93</v>
      </c>
    </row>
    <row r="68" spans="1:2" x14ac:dyDescent="0.25">
      <c r="A68">
        <v>1622</v>
      </c>
      <c r="B68" t="s">
        <v>93</v>
      </c>
    </row>
    <row r="69" spans="1:2" x14ac:dyDescent="0.25">
      <c r="A69">
        <v>1623</v>
      </c>
      <c r="B69" t="s">
        <v>93</v>
      </c>
    </row>
    <row r="70" spans="1:2" x14ac:dyDescent="0.25">
      <c r="A70">
        <v>1711</v>
      </c>
      <c r="B70" t="s">
        <v>91</v>
      </c>
    </row>
    <row r="71" spans="1:2" x14ac:dyDescent="0.25">
      <c r="A71">
        <v>1712</v>
      </c>
      <c r="B71" t="s">
        <v>91</v>
      </c>
    </row>
    <row r="72" spans="1:2" x14ac:dyDescent="0.25">
      <c r="A72">
        <v>1713</v>
      </c>
      <c r="B72" t="s">
        <v>94</v>
      </c>
    </row>
    <row r="73" spans="1:2" x14ac:dyDescent="0.25">
      <c r="A73">
        <v>1721</v>
      </c>
      <c r="B73" t="s">
        <v>94</v>
      </c>
    </row>
    <row r="74" spans="1:2" x14ac:dyDescent="0.25">
      <c r="A74">
        <v>1722</v>
      </c>
      <c r="B74" t="s">
        <v>91</v>
      </c>
    </row>
    <row r="75" spans="1:2" x14ac:dyDescent="0.25">
      <c r="A75">
        <v>1723</v>
      </c>
      <c r="B75" t="s">
        <v>94</v>
      </c>
    </row>
    <row r="76" spans="1:2" x14ac:dyDescent="0.25">
      <c r="A76">
        <v>1724</v>
      </c>
      <c r="B76" t="s">
        <v>97</v>
      </c>
    </row>
    <row r="77" spans="1:2" x14ac:dyDescent="0.25">
      <c r="A77">
        <v>1811</v>
      </c>
      <c r="B77" t="s">
        <v>94</v>
      </c>
    </row>
    <row r="78" spans="1:2" x14ac:dyDescent="0.25">
      <c r="A78">
        <v>1812</v>
      </c>
      <c r="B78" t="s">
        <v>91</v>
      </c>
    </row>
    <row r="79" spans="1:2" x14ac:dyDescent="0.25">
      <c r="A79">
        <v>1813</v>
      </c>
      <c r="B79" t="s">
        <v>94</v>
      </c>
    </row>
    <row r="80" spans="1:2" x14ac:dyDescent="0.25">
      <c r="A80">
        <v>1821</v>
      </c>
      <c r="B80" t="s">
        <v>91</v>
      </c>
    </row>
    <row r="81" spans="1:2" x14ac:dyDescent="0.25">
      <c r="A81">
        <v>1911</v>
      </c>
      <c r="B81" t="s">
        <v>91</v>
      </c>
    </row>
    <row r="82" spans="1:2" x14ac:dyDescent="0.25">
      <c r="A82">
        <v>1912</v>
      </c>
      <c r="B82" t="s">
        <v>91</v>
      </c>
    </row>
    <row r="83" spans="1:2" x14ac:dyDescent="0.25">
      <c r="A83">
        <v>1921</v>
      </c>
      <c r="B83" t="s">
        <v>91</v>
      </c>
    </row>
    <row r="84" spans="1:2" x14ac:dyDescent="0.25">
      <c r="A84">
        <v>1922</v>
      </c>
      <c r="B84" t="s">
        <v>91</v>
      </c>
    </row>
    <row r="85" spans="1:2" x14ac:dyDescent="0.25">
      <c r="A85">
        <v>2011</v>
      </c>
      <c r="B85" t="s">
        <v>94</v>
      </c>
    </row>
    <row r="86" spans="1:2" x14ac:dyDescent="0.25">
      <c r="A86">
        <v>2012</v>
      </c>
      <c r="B86" t="s">
        <v>97</v>
      </c>
    </row>
    <row r="87" spans="1:2" x14ac:dyDescent="0.25">
      <c r="A87">
        <v>2019</v>
      </c>
      <c r="B87" t="s">
        <v>98</v>
      </c>
    </row>
    <row r="88" spans="1:2" x14ac:dyDescent="0.25">
      <c r="A88">
        <v>2111</v>
      </c>
      <c r="B88" t="s">
        <v>97</v>
      </c>
    </row>
    <row r="89" spans="1:2" x14ac:dyDescent="0.25">
      <c r="A89">
        <v>2121</v>
      </c>
      <c r="B89" t="s">
        <v>94</v>
      </c>
    </row>
    <row r="90" spans="1:2" x14ac:dyDescent="0.25">
      <c r="A90">
        <v>2122</v>
      </c>
      <c r="B90" t="s">
        <v>94</v>
      </c>
    </row>
    <row r="91" spans="1:2" x14ac:dyDescent="0.25">
      <c r="A91">
        <v>2211</v>
      </c>
      <c r="B91" t="s">
        <v>97</v>
      </c>
    </row>
    <row r="92" spans="1:2" x14ac:dyDescent="0.25">
      <c r="A92">
        <v>2212</v>
      </c>
      <c r="B92" t="s">
        <v>97</v>
      </c>
    </row>
    <row r="93" spans="1:2" x14ac:dyDescent="0.25">
      <c r="A93">
        <v>2221</v>
      </c>
      <c r="B93" t="s">
        <v>97</v>
      </c>
    </row>
    <row r="94" spans="1:2" x14ac:dyDescent="0.25">
      <c r="A94">
        <v>2311</v>
      </c>
      <c r="B94" t="s">
        <v>97</v>
      </c>
    </row>
    <row r="95" spans="1:2" x14ac:dyDescent="0.25">
      <c r="A95">
        <v>2312</v>
      </c>
      <c r="B95" t="s">
        <v>97</v>
      </c>
    </row>
    <row r="96" spans="1:2" x14ac:dyDescent="0.25">
      <c r="A96">
        <v>2319</v>
      </c>
      <c r="B96" t="s">
        <v>98</v>
      </c>
    </row>
    <row r="97" spans="1:2" x14ac:dyDescent="0.25">
      <c r="A97">
        <v>2331</v>
      </c>
      <c r="B97" t="s">
        <v>98</v>
      </c>
    </row>
    <row r="98" spans="1:2" x14ac:dyDescent="0.25">
      <c r="A98">
        <v>2411</v>
      </c>
      <c r="B98" t="s">
        <v>98</v>
      </c>
    </row>
    <row r="99" spans="1:2" x14ac:dyDescent="0.25">
      <c r="A99">
        <v>2412</v>
      </c>
      <c r="B99" t="s">
        <v>98</v>
      </c>
    </row>
    <row r="100" spans="1:2" x14ac:dyDescent="0.25">
      <c r="A100">
        <v>2413</v>
      </c>
      <c r="B100" t="s">
        <v>98</v>
      </c>
    </row>
    <row r="101" spans="1:2" x14ac:dyDescent="0.25">
      <c r="A101">
        <v>2414</v>
      </c>
      <c r="B101" t="s">
        <v>98</v>
      </c>
    </row>
    <row r="102" spans="1:2" x14ac:dyDescent="0.25">
      <c r="A102">
        <v>2415</v>
      </c>
      <c r="B102" t="s">
        <v>98</v>
      </c>
    </row>
    <row r="103" spans="1:2" x14ac:dyDescent="0.25">
      <c r="A103">
        <v>2419</v>
      </c>
      <c r="B103" t="s">
        <v>98</v>
      </c>
    </row>
    <row r="104" spans="1:2" x14ac:dyDescent="0.25">
      <c r="A104">
        <v>2511</v>
      </c>
      <c r="B104" t="s">
        <v>98</v>
      </c>
    </row>
    <row r="105" spans="1:2" x14ac:dyDescent="0.25">
      <c r="A105">
        <v>2512</v>
      </c>
      <c r="B105" t="s">
        <v>98</v>
      </c>
    </row>
    <row r="106" spans="1:2" x14ac:dyDescent="0.25">
      <c r="A106">
        <v>2519</v>
      </c>
      <c r="B106" t="s">
        <v>98</v>
      </c>
    </row>
    <row r="107" spans="1:2" x14ac:dyDescent="0.25">
      <c r="A107">
        <v>2521</v>
      </c>
      <c r="B10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2023-09-13T11:40:03Z</dcterms:modified>
</cp:coreProperties>
</file>