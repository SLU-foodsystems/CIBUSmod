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19020" windowHeight="6705" tabRatio="846" activeTab="4"/>
  </bookViews>
  <sheets>
    <sheet name="references" sheetId="13" r:id="rId1"/>
    <sheet name="default" sheetId="1" r:id="rId2"/>
    <sheet name="scn_baseline" sheetId="2" r:id="rId3"/>
    <sheet name="Antal djur" sheetId="8" r:id="rId4"/>
    <sheet name="Foderstater" sheetId="21" r:id="rId5"/>
    <sheet name="G&amp;D slakt" sheetId="9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5" hidden="1">'G&amp;D slakt'!$A$1:$H$421</definedName>
    <definedName name="solver_adj" localSheetId="3" hidden="1">'Antal djur'!$P$39:$P$40,'Antal djur'!$T$36:$T$37,'Antal djur'!$AM$39:$AM$40,'Antal djur'!$AQ$36:$AQ$37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djur'!#REF!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/>
  <pivotCaches>
    <pivotCache cacheId="1" r:id="rId13"/>
  </pivotCaches>
</workbook>
</file>

<file path=xl/calcChain.xml><?xml version="1.0" encoding="utf-8"?>
<calcChain xmlns="http://schemas.openxmlformats.org/spreadsheetml/2006/main">
  <c r="T47" i="21" l="1"/>
  <c r="E350" i="1" l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595" i="1"/>
  <c r="I595" i="1" s="1"/>
  <c r="E594" i="1"/>
  <c r="I594" i="1" s="1"/>
  <c r="E593" i="1"/>
  <c r="I593" i="1" s="1"/>
  <c r="E592" i="1"/>
  <c r="I592" i="1" s="1"/>
  <c r="E591" i="1"/>
  <c r="I591" i="1" s="1"/>
  <c r="E590" i="1"/>
  <c r="I590" i="1" s="1"/>
  <c r="E589" i="1"/>
  <c r="I589" i="1" s="1"/>
  <c r="E588" i="1"/>
  <c r="I588" i="1" s="1"/>
  <c r="E587" i="1"/>
  <c r="I587" i="1" s="1"/>
  <c r="E586" i="1"/>
  <c r="I586" i="1" s="1"/>
  <c r="E585" i="1"/>
  <c r="I585" i="1" s="1"/>
  <c r="E584" i="1"/>
  <c r="I584" i="1" s="1"/>
  <c r="E583" i="1"/>
  <c r="I583" i="1" s="1"/>
  <c r="E582" i="1"/>
  <c r="I582" i="1" s="1"/>
  <c r="E581" i="1"/>
  <c r="I581" i="1" s="1"/>
  <c r="E580" i="1"/>
  <c r="I580" i="1" s="1"/>
  <c r="E579" i="1"/>
  <c r="I579" i="1" s="1"/>
  <c r="E578" i="1"/>
  <c r="I578" i="1" s="1"/>
  <c r="E577" i="1"/>
  <c r="I577" i="1" s="1"/>
  <c r="E576" i="1"/>
  <c r="I576" i="1" s="1"/>
  <c r="E575" i="1"/>
  <c r="I575" i="1" s="1"/>
  <c r="E574" i="1"/>
  <c r="I574" i="1" s="1"/>
  <c r="E573" i="1"/>
  <c r="I573" i="1" s="1"/>
  <c r="E572" i="1"/>
  <c r="I572" i="1" s="1"/>
  <c r="E571" i="1"/>
  <c r="I571" i="1" s="1"/>
  <c r="E570" i="1"/>
  <c r="I570" i="1" s="1"/>
  <c r="E569" i="1"/>
  <c r="I569" i="1" s="1"/>
  <c r="E568" i="1"/>
  <c r="I568" i="1" s="1"/>
  <c r="E567" i="1"/>
  <c r="I567" i="1" s="1"/>
  <c r="E566" i="1"/>
  <c r="I566" i="1" s="1"/>
  <c r="E565" i="1"/>
  <c r="I565" i="1" s="1"/>
  <c r="E564" i="1"/>
  <c r="I564" i="1" s="1"/>
  <c r="E563" i="1"/>
  <c r="I563" i="1" s="1"/>
  <c r="E562" i="1"/>
  <c r="I562" i="1" s="1"/>
  <c r="E561" i="1"/>
  <c r="I561" i="1" s="1"/>
  <c r="E560" i="1"/>
  <c r="I560" i="1" s="1"/>
  <c r="E559" i="1"/>
  <c r="I559" i="1" s="1"/>
  <c r="E558" i="1"/>
  <c r="I558" i="1" s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4" i="1"/>
  <c r="I514" i="1" s="1"/>
  <c r="E513" i="1"/>
  <c r="I513" i="1" s="1"/>
  <c r="E512" i="1"/>
  <c r="I512" i="1" s="1"/>
  <c r="E511" i="1"/>
  <c r="I511" i="1" s="1"/>
  <c r="E510" i="1"/>
  <c r="I510" i="1" s="1"/>
  <c r="E509" i="1"/>
  <c r="I509" i="1" s="1"/>
  <c r="E508" i="1"/>
  <c r="I508" i="1" s="1"/>
  <c r="E507" i="1"/>
  <c r="I507" i="1" s="1"/>
  <c r="E506" i="1"/>
  <c r="I506" i="1" s="1"/>
  <c r="E505" i="1"/>
  <c r="I505" i="1" s="1"/>
  <c r="E504" i="1"/>
  <c r="I504" i="1" s="1"/>
  <c r="E503" i="1"/>
  <c r="I503" i="1" s="1"/>
  <c r="E502" i="1"/>
  <c r="I502" i="1" s="1"/>
  <c r="E501" i="1"/>
  <c r="I501" i="1" s="1"/>
  <c r="E500" i="1"/>
  <c r="I500" i="1" s="1"/>
  <c r="E499" i="1"/>
  <c r="I499" i="1" s="1"/>
  <c r="E498" i="1"/>
  <c r="I498" i="1" s="1"/>
  <c r="E497" i="1"/>
  <c r="I497" i="1" s="1"/>
  <c r="E496" i="1"/>
  <c r="I496" i="1" s="1"/>
  <c r="E495" i="1"/>
  <c r="I495" i="1" s="1"/>
  <c r="E494" i="1"/>
  <c r="I494" i="1" s="1"/>
  <c r="E493" i="1"/>
  <c r="I493" i="1" s="1"/>
  <c r="E492" i="1"/>
  <c r="I492" i="1" s="1"/>
  <c r="E491" i="1"/>
  <c r="I491" i="1" s="1"/>
  <c r="E490" i="1"/>
  <c r="I490" i="1" s="1"/>
  <c r="E489" i="1"/>
  <c r="I489" i="1" s="1"/>
  <c r="E488" i="1"/>
  <c r="I488" i="1" s="1"/>
  <c r="E487" i="1"/>
  <c r="I487" i="1" s="1"/>
  <c r="E486" i="1"/>
  <c r="I486" i="1" s="1"/>
  <c r="E485" i="1"/>
  <c r="I485" i="1" s="1"/>
  <c r="E484" i="1"/>
  <c r="I484" i="1" s="1"/>
  <c r="E483" i="1"/>
  <c r="I483" i="1" s="1"/>
  <c r="E482" i="1"/>
  <c r="I482" i="1" s="1"/>
  <c r="E481" i="1"/>
  <c r="I481" i="1" s="1"/>
  <c r="E480" i="1"/>
  <c r="I480" i="1" s="1"/>
  <c r="E479" i="1"/>
  <c r="I479" i="1" s="1"/>
  <c r="E478" i="1"/>
  <c r="I478" i="1" s="1"/>
  <c r="E477" i="1"/>
  <c r="I477" i="1" s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2" i="1"/>
  <c r="I432" i="1" s="1"/>
  <c r="E431" i="1"/>
  <c r="I431" i="1" s="1"/>
  <c r="E430" i="1"/>
  <c r="I430" i="1" s="1"/>
  <c r="E429" i="1"/>
  <c r="I429" i="1" s="1"/>
  <c r="E428" i="1"/>
  <c r="I428" i="1" s="1"/>
  <c r="E427" i="1"/>
  <c r="I427" i="1" s="1"/>
  <c r="E426" i="1"/>
  <c r="I426" i="1" s="1"/>
  <c r="E425" i="1"/>
  <c r="I425" i="1" s="1"/>
  <c r="E424" i="1"/>
  <c r="I424" i="1" s="1"/>
  <c r="E423" i="1"/>
  <c r="I423" i="1" s="1"/>
  <c r="E422" i="1"/>
  <c r="I422" i="1" s="1"/>
  <c r="E421" i="1"/>
  <c r="I421" i="1" s="1"/>
  <c r="E420" i="1"/>
  <c r="I420" i="1" s="1"/>
  <c r="E419" i="1"/>
  <c r="I419" i="1" s="1"/>
  <c r="E418" i="1"/>
  <c r="I418" i="1" s="1"/>
  <c r="E417" i="1"/>
  <c r="I417" i="1" s="1"/>
  <c r="E416" i="1"/>
  <c r="I416" i="1" s="1"/>
  <c r="E415" i="1"/>
  <c r="I415" i="1" s="1"/>
  <c r="E414" i="1"/>
  <c r="I414" i="1" s="1"/>
  <c r="E413" i="1"/>
  <c r="I413" i="1" s="1"/>
  <c r="E412" i="1"/>
  <c r="I412" i="1" s="1"/>
  <c r="E411" i="1"/>
  <c r="I411" i="1" s="1"/>
  <c r="E410" i="1"/>
  <c r="I410" i="1" s="1"/>
  <c r="E409" i="1"/>
  <c r="I409" i="1" s="1"/>
  <c r="E408" i="1"/>
  <c r="I408" i="1" s="1"/>
  <c r="E407" i="1"/>
  <c r="I407" i="1" s="1"/>
  <c r="E406" i="1"/>
  <c r="I406" i="1" s="1"/>
  <c r="E405" i="1"/>
  <c r="I405" i="1" s="1"/>
  <c r="E404" i="1"/>
  <c r="I404" i="1" s="1"/>
  <c r="E403" i="1"/>
  <c r="I403" i="1" s="1"/>
  <c r="E402" i="1"/>
  <c r="I402" i="1" s="1"/>
  <c r="E401" i="1"/>
  <c r="I401" i="1" s="1"/>
  <c r="E400" i="1"/>
  <c r="I400" i="1" s="1"/>
  <c r="E399" i="1"/>
  <c r="I399" i="1" s="1"/>
  <c r="E398" i="1"/>
  <c r="I398" i="1" s="1"/>
  <c r="E397" i="1"/>
  <c r="I397" i="1" s="1"/>
  <c r="E396" i="1"/>
  <c r="I396" i="1" s="1"/>
  <c r="E395" i="1"/>
  <c r="I395" i="1" s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Z75" i="21"/>
  <c r="AA75" i="21"/>
  <c r="AA102" i="21" s="1"/>
  <c r="AC75" i="21"/>
  <c r="Z76" i="21"/>
  <c r="AA76" i="21"/>
  <c r="AC76" i="21"/>
  <c r="AC102" i="21" s="1"/>
  <c r="X76" i="21"/>
  <c r="X75" i="21"/>
  <c r="I116" i="21"/>
  <c r="Z102" i="21"/>
  <c r="X70" i="21"/>
  <c r="X69" i="21"/>
  <c r="Z63" i="21"/>
  <c r="AA63" i="21"/>
  <c r="AC63" i="21"/>
  <c r="Z64" i="21"/>
  <c r="AA64" i="21"/>
  <c r="AC64" i="21"/>
  <c r="Z65" i="21"/>
  <c r="AA65" i="21"/>
  <c r="AC65" i="21"/>
  <c r="Z66" i="21"/>
  <c r="AA66" i="21"/>
  <c r="AC66" i="21"/>
  <c r="Z67" i="21"/>
  <c r="AA67" i="21"/>
  <c r="AC67" i="21"/>
  <c r="Z68" i="21"/>
  <c r="AA68" i="21"/>
  <c r="AC68" i="21"/>
  <c r="X68" i="21"/>
  <c r="X67" i="21"/>
  <c r="X66" i="21"/>
  <c r="X65" i="21"/>
  <c r="X64" i="21"/>
  <c r="X63" i="21"/>
  <c r="F116" i="21"/>
  <c r="D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X73" i="21"/>
  <c r="X72" i="21"/>
  <c r="X71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X100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X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Y17" i="21" l="1"/>
  <c r="Z17" i="21"/>
  <c r="N81" i="21" s="1"/>
  <c r="U59" i="21"/>
  <c r="X102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X93" i="21"/>
  <c r="X92" i="21"/>
  <c r="X91" i="21"/>
  <c r="X90" i="21"/>
  <c r="X89" i="21"/>
  <c r="X88" i="21"/>
  <c r="X87" i="21"/>
  <c r="X86" i="21"/>
  <c r="X85" i="21"/>
  <c r="X84" i="21"/>
  <c r="X83" i="21"/>
  <c r="X82" i="21"/>
  <c r="X81" i="21"/>
  <c r="X80" i="21"/>
  <c r="X79" i="21"/>
  <c r="X78" i="21"/>
  <c r="X77" i="21"/>
  <c r="X74" i="21"/>
  <c r="X97" i="21"/>
  <c r="X96" i="21"/>
  <c r="X95" i="21"/>
  <c r="X94" i="21"/>
  <c r="X99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AG62" i="21"/>
  <c r="AH62" i="21"/>
  <c r="AI62" i="21"/>
  <c r="AE62" i="21"/>
  <c r="Y62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I35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I12" i="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E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E2" i="2"/>
  <c r="F2" i="2" s="1"/>
  <c r="G2" i="2" s="1"/>
  <c r="H2" i="2" s="1"/>
  <c r="I2" i="2" s="1"/>
  <c r="J2" i="2" s="1"/>
  <c r="O116" i="21" l="1"/>
  <c r="AF69" i="21"/>
  <c r="I278" i="1" s="1"/>
  <c r="L116" i="21"/>
  <c r="AF75" i="21" s="1"/>
  <c r="AG70" i="21"/>
  <c r="I320" i="1" s="1"/>
  <c r="AF76" i="21"/>
  <c r="I285" i="1" s="1"/>
  <c r="AI71" i="21"/>
  <c r="I361" i="1" s="1"/>
  <c r="M116" i="21"/>
  <c r="AG69" i="21"/>
  <c r="I319" i="1" s="1"/>
  <c r="AE69" i="21"/>
  <c r="I237" i="1" s="1"/>
  <c r="K116" i="21"/>
  <c r="AE72" i="21" s="1"/>
  <c r="I240" i="1" s="1"/>
  <c r="AE76" i="21"/>
  <c r="I244" i="1" s="1"/>
  <c r="AI72" i="21"/>
  <c r="I362" i="1" s="1"/>
  <c r="AG72" i="21"/>
  <c r="I322" i="1" s="1"/>
  <c r="AI70" i="21"/>
  <c r="I360" i="1" s="1"/>
  <c r="Y69" i="21"/>
  <c r="I442" i="1" s="1"/>
  <c r="E116" i="21"/>
  <c r="Y72" i="21" s="1"/>
  <c r="I445" i="1" s="1"/>
  <c r="AG71" i="21"/>
  <c r="I321" i="1" s="1"/>
  <c r="AE71" i="21"/>
  <c r="I239" i="1" s="1"/>
  <c r="Y76" i="21"/>
  <c r="I449" i="1" s="1"/>
  <c r="AI76" i="21"/>
  <c r="I366" i="1" s="1"/>
  <c r="AB73" i="21"/>
  <c r="I528" i="1" s="1"/>
  <c r="Y73" i="21"/>
  <c r="I446" i="1" s="1"/>
  <c r="AI73" i="21"/>
  <c r="I363" i="1" s="1"/>
  <c r="AE73" i="21"/>
  <c r="I241" i="1" s="1"/>
  <c r="AE75" i="21"/>
  <c r="I243" i="1" s="1"/>
  <c r="Y75" i="21"/>
  <c r="I448" i="1" s="1"/>
  <c r="H116" i="21"/>
  <c r="AB69" i="21"/>
  <c r="I524" i="1" s="1"/>
  <c r="AB71" i="21"/>
  <c r="I526" i="1" s="1"/>
  <c r="AE70" i="21"/>
  <c r="I238" i="1" s="1"/>
  <c r="Y70" i="21"/>
  <c r="I443" i="1" s="1"/>
  <c r="AG76" i="21"/>
  <c r="AF72" i="21"/>
  <c r="I281" i="1" s="1"/>
  <c r="AN37" i="8"/>
  <c r="AM37" i="8"/>
  <c r="P37" i="8"/>
  <c r="Q37" i="8"/>
  <c r="I284" i="1" l="1"/>
  <c r="AI65" i="21"/>
  <c r="I355" i="1" s="1"/>
  <c r="AI63" i="21"/>
  <c r="AI67" i="21"/>
  <c r="I357" i="1" s="1"/>
  <c r="AI66" i="21"/>
  <c r="I356" i="1" s="1"/>
  <c r="AI64" i="21"/>
  <c r="I354" i="1" s="1"/>
  <c r="AI68" i="21"/>
  <c r="I358" i="1" s="1"/>
  <c r="AI75" i="21"/>
  <c r="I365" i="1" s="1"/>
  <c r="AI69" i="21"/>
  <c r="I359" i="1" s="1"/>
  <c r="I326" i="1"/>
  <c r="AB70" i="21"/>
  <c r="I525" i="1" s="1"/>
  <c r="AB63" i="21"/>
  <c r="I518" i="1" s="1"/>
  <c r="AB66" i="21"/>
  <c r="I521" i="1" s="1"/>
  <c r="AB64" i="21"/>
  <c r="I519" i="1" s="1"/>
  <c r="AB68" i="21"/>
  <c r="I523" i="1" s="1"/>
  <c r="AB67" i="21"/>
  <c r="I522" i="1" s="1"/>
  <c r="AB65" i="21"/>
  <c r="I520" i="1" s="1"/>
  <c r="Y71" i="21"/>
  <c r="I444" i="1" s="1"/>
  <c r="AG63" i="21"/>
  <c r="I313" i="1" s="1"/>
  <c r="AG67" i="21"/>
  <c r="I317" i="1" s="1"/>
  <c r="AG65" i="21"/>
  <c r="I315" i="1" s="1"/>
  <c r="AG64" i="21"/>
  <c r="I314" i="1" s="1"/>
  <c r="AG68" i="21"/>
  <c r="I318" i="1" s="1"/>
  <c r="AG66" i="21"/>
  <c r="I316" i="1" s="1"/>
  <c r="AF71" i="21"/>
  <c r="I280" i="1" s="1"/>
  <c r="AG75" i="21"/>
  <c r="I325" i="1" s="1"/>
  <c r="AB72" i="21"/>
  <c r="I527" i="1" s="1"/>
  <c r="Y67" i="21"/>
  <c r="I440" i="1" s="1"/>
  <c r="Y65" i="21"/>
  <c r="I438" i="1" s="1"/>
  <c r="Y64" i="21"/>
  <c r="I437" i="1" s="1"/>
  <c r="Y68" i="21"/>
  <c r="I441" i="1" s="1"/>
  <c r="Y63" i="21"/>
  <c r="Y66" i="21"/>
  <c r="I439" i="1" s="1"/>
  <c r="AE65" i="21"/>
  <c r="I233" i="1" s="1"/>
  <c r="AE68" i="21"/>
  <c r="I236" i="1" s="1"/>
  <c r="AE63" i="21"/>
  <c r="AE67" i="21"/>
  <c r="I235" i="1" s="1"/>
  <c r="AE66" i="21"/>
  <c r="I234" i="1" s="1"/>
  <c r="AE64" i="21"/>
  <c r="I232" i="1" s="1"/>
  <c r="AB75" i="21"/>
  <c r="AB76" i="21"/>
  <c r="I531" i="1" s="1"/>
  <c r="AF70" i="21"/>
  <c r="I279" i="1" s="1"/>
  <c r="AF66" i="21"/>
  <c r="I275" i="1" s="1"/>
  <c r="AF64" i="21"/>
  <c r="I273" i="1" s="1"/>
  <c r="AF68" i="21"/>
  <c r="I277" i="1" s="1"/>
  <c r="AF63" i="21"/>
  <c r="I272" i="1" s="1"/>
  <c r="AF67" i="21"/>
  <c r="I276" i="1" s="1"/>
  <c r="AF65" i="21"/>
  <c r="I274" i="1" s="1"/>
  <c r="AG73" i="21"/>
  <c r="I323" i="1" s="1"/>
  <c r="AF73" i="21"/>
  <c r="I282" i="1" s="1"/>
  <c r="AF62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X20" i="21"/>
  <c r="I353" i="1" l="1"/>
  <c r="I530" i="1"/>
  <c r="I231" i="1"/>
  <c r="I436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D62" i="21"/>
  <c r="AB62" i="21"/>
  <c r="AA62" i="21"/>
  <c r="Z62" i="21"/>
  <c r="X62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I197" i="1" s="1"/>
  <c r="J116" i="21"/>
  <c r="AH96" i="21"/>
  <c r="I223" i="1" s="1"/>
  <c r="AH95" i="21"/>
  <c r="I222" i="1" s="1"/>
  <c r="AH79" i="21"/>
  <c r="I206" i="1" s="1"/>
  <c r="AH93" i="21"/>
  <c r="I220" i="1" s="1"/>
  <c r="AH80" i="21"/>
  <c r="I207" i="1" s="1"/>
  <c r="AH89" i="21"/>
  <c r="I216" i="1" s="1"/>
  <c r="AH81" i="21"/>
  <c r="I208" i="1" s="1"/>
  <c r="AH94" i="21"/>
  <c r="I221" i="1" s="1"/>
  <c r="AH91" i="21"/>
  <c r="I218" i="1" s="1"/>
  <c r="AH87" i="21"/>
  <c r="I214" i="1" s="1"/>
  <c r="AH86" i="21"/>
  <c r="I213" i="1" s="1"/>
  <c r="AH82" i="21"/>
  <c r="I209" i="1" s="1"/>
  <c r="AH77" i="21"/>
  <c r="I204" i="1" s="1"/>
  <c r="AH78" i="21"/>
  <c r="I205" i="1" s="1"/>
  <c r="AH88" i="21"/>
  <c r="I215" i="1" s="1"/>
  <c r="AH84" i="21"/>
  <c r="I211" i="1" s="1"/>
  <c r="AH99" i="21"/>
  <c r="I226" i="1" s="1"/>
  <c r="AH100" i="21"/>
  <c r="I227" i="1" s="1"/>
  <c r="AH92" i="21"/>
  <c r="I219" i="1" s="1"/>
  <c r="AH85" i="21"/>
  <c r="I212" i="1" s="1"/>
  <c r="AH90" i="21"/>
  <c r="I217" i="1" s="1"/>
  <c r="AH97" i="21"/>
  <c r="I224" i="1" s="1"/>
  <c r="AH98" i="21"/>
  <c r="I225" i="1" s="1"/>
  <c r="AH74" i="21"/>
  <c r="I201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AC62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71" i="21"/>
  <c r="D70" i="21"/>
  <c r="D68" i="21"/>
  <c r="AD72" i="21" l="1"/>
  <c r="I159" i="1" s="1"/>
  <c r="AD63" i="21"/>
  <c r="AD64" i="21"/>
  <c r="I151" i="1" s="1"/>
  <c r="AD68" i="21"/>
  <c r="I155" i="1" s="1"/>
  <c r="AD67" i="21"/>
  <c r="I154" i="1" s="1"/>
  <c r="AD66" i="21"/>
  <c r="I153" i="1" s="1"/>
  <c r="AD65" i="21"/>
  <c r="I152" i="1" s="1"/>
  <c r="AD75" i="21"/>
  <c r="I162" i="1" s="1"/>
  <c r="AD73" i="21"/>
  <c r="I160" i="1" s="1"/>
  <c r="AD76" i="21"/>
  <c r="I163" i="1" s="1"/>
  <c r="AD70" i="21"/>
  <c r="I157" i="1" s="1"/>
  <c r="AD69" i="21"/>
  <c r="I156" i="1" s="1"/>
  <c r="AD71" i="21"/>
  <c r="I158" i="1" s="1"/>
  <c r="AH72" i="21"/>
  <c r="I199" i="1" s="1"/>
  <c r="AH64" i="21"/>
  <c r="I191" i="1" s="1"/>
  <c r="AH68" i="21"/>
  <c r="I195" i="1" s="1"/>
  <c r="AH66" i="21"/>
  <c r="I193" i="1" s="1"/>
  <c r="AH65" i="21"/>
  <c r="I192" i="1" s="1"/>
  <c r="AH63" i="21"/>
  <c r="AH67" i="21"/>
  <c r="I194" i="1" s="1"/>
  <c r="AH75" i="21"/>
  <c r="I202" i="1" s="1"/>
  <c r="AH73" i="21"/>
  <c r="I200" i="1" s="1"/>
  <c r="AH76" i="21"/>
  <c r="I203" i="1" s="1"/>
  <c r="AH83" i="21"/>
  <c r="I210" i="1" s="1"/>
  <c r="AH71" i="21"/>
  <c r="I198" i="1" s="1"/>
  <c r="AH69" i="21"/>
  <c r="I196" i="1" s="1"/>
  <c r="AD83" i="21"/>
  <c r="I170" i="1" s="1"/>
  <c r="AD97" i="21"/>
  <c r="I184" i="1" s="1"/>
  <c r="AD99" i="21"/>
  <c r="I186" i="1" s="1"/>
  <c r="AD100" i="21"/>
  <c r="I187" i="1" s="1"/>
  <c r="AD95" i="21"/>
  <c r="I182" i="1" s="1"/>
  <c r="AD80" i="21"/>
  <c r="I167" i="1" s="1"/>
  <c r="AD94" i="21"/>
  <c r="I181" i="1" s="1"/>
  <c r="AD74" i="21"/>
  <c r="I161" i="1" s="1"/>
  <c r="AD78" i="21"/>
  <c r="I165" i="1" s="1"/>
  <c r="AD88" i="21"/>
  <c r="I175" i="1" s="1"/>
  <c r="AD79" i="21"/>
  <c r="I166" i="1" s="1"/>
  <c r="AD87" i="21"/>
  <c r="I174" i="1" s="1"/>
  <c r="AD81" i="21"/>
  <c r="I168" i="1" s="1"/>
  <c r="AD82" i="21"/>
  <c r="I169" i="1" s="1"/>
  <c r="AD96" i="21"/>
  <c r="I183" i="1" s="1"/>
  <c r="AD92" i="21"/>
  <c r="I179" i="1" s="1"/>
  <c r="AD77" i="21"/>
  <c r="I164" i="1" s="1"/>
  <c r="AD89" i="21"/>
  <c r="I176" i="1" s="1"/>
  <c r="AD98" i="21"/>
  <c r="I185" i="1" s="1"/>
  <c r="AD91" i="21"/>
  <c r="I178" i="1" s="1"/>
  <c r="AD86" i="21"/>
  <c r="I173" i="1" s="1"/>
  <c r="AD85" i="21"/>
  <c r="I172" i="1" s="1"/>
  <c r="AD90" i="21"/>
  <c r="I177" i="1" s="1"/>
  <c r="AD84" i="21"/>
  <c r="I171" i="1" s="1"/>
  <c r="AD93" i="21"/>
  <c r="I180" i="1" s="1"/>
  <c r="Y99" i="21"/>
  <c r="I472" i="1" s="1"/>
  <c r="Y83" i="21"/>
  <c r="I456" i="1" s="1"/>
  <c r="Y86" i="21"/>
  <c r="I459" i="1" s="1"/>
  <c r="Y93" i="21"/>
  <c r="I466" i="1" s="1"/>
  <c r="Y77" i="21"/>
  <c r="I450" i="1" s="1"/>
  <c r="Y90" i="21"/>
  <c r="I463" i="1" s="1"/>
  <c r="Y94" i="21"/>
  <c r="I467" i="1" s="1"/>
  <c r="Y87" i="21"/>
  <c r="I460" i="1" s="1"/>
  <c r="Y100" i="21"/>
  <c r="I473" i="1" s="1"/>
  <c r="Y80" i="21"/>
  <c r="I453" i="1" s="1"/>
  <c r="Y92" i="21"/>
  <c r="I465" i="1" s="1"/>
  <c r="Y91" i="21"/>
  <c r="I464" i="1" s="1"/>
  <c r="Y78" i="21"/>
  <c r="I451" i="1" s="1"/>
  <c r="Y82" i="21"/>
  <c r="I455" i="1" s="1"/>
  <c r="Y97" i="21"/>
  <c r="I470" i="1" s="1"/>
  <c r="Y79" i="21"/>
  <c r="I452" i="1" s="1"/>
  <c r="Y98" i="21"/>
  <c r="I471" i="1" s="1"/>
  <c r="Y81" i="21"/>
  <c r="I454" i="1" s="1"/>
  <c r="Y85" i="21"/>
  <c r="I458" i="1" s="1"/>
  <c r="Y95" i="21"/>
  <c r="I468" i="1" s="1"/>
  <c r="Y89" i="21"/>
  <c r="I462" i="1" s="1"/>
  <c r="Y84" i="21"/>
  <c r="I457" i="1" s="1"/>
  <c r="Y96" i="21"/>
  <c r="I469" i="1" s="1"/>
  <c r="Y74" i="21"/>
  <c r="Y88" i="21"/>
  <c r="I461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I447" i="1" l="1"/>
  <c r="Y102" i="21"/>
  <c r="AH102" i="21"/>
  <c r="I190" i="1"/>
  <c r="AD102" i="21"/>
  <c r="I150" i="1"/>
  <c r="AE91" i="21"/>
  <c r="I259" i="1" s="1"/>
  <c r="AE78" i="21"/>
  <c r="I246" i="1" s="1"/>
  <c r="AE82" i="21"/>
  <c r="I250" i="1" s="1"/>
  <c r="AE96" i="21"/>
  <c r="I264" i="1" s="1"/>
  <c r="AE79" i="21"/>
  <c r="I247" i="1" s="1"/>
  <c r="AE99" i="21"/>
  <c r="I267" i="1" s="1"/>
  <c r="AE77" i="21"/>
  <c r="I245" i="1" s="1"/>
  <c r="AE87" i="21"/>
  <c r="I255" i="1" s="1"/>
  <c r="AE95" i="21"/>
  <c r="I263" i="1" s="1"/>
  <c r="AE83" i="21"/>
  <c r="I251" i="1" s="1"/>
  <c r="AE88" i="21"/>
  <c r="I256" i="1" s="1"/>
  <c r="AE89" i="21"/>
  <c r="I257" i="1" s="1"/>
  <c r="AE74" i="21"/>
  <c r="AE94" i="21"/>
  <c r="I262" i="1" s="1"/>
  <c r="AE97" i="21"/>
  <c r="I265" i="1" s="1"/>
  <c r="AE90" i="21"/>
  <c r="I258" i="1" s="1"/>
  <c r="AE86" i="21"/>
  <c r="I254" i="1" s="1"/>
  <c r="AE80" i="21"/>
  <c r="I248" i="1" s="1"/>
  <c r="AE81" i="21"/>
  <c r="I249" i="1" s="1"/>
  <c r="AE85" i="21"/>
  <c r="I253" i="1" s="1"/>
  <c r="AE84" i="21"/>
  <c r="I252" i="1" s="1"/>
  <c r="AE100" i="21"/>
  <c r="I268" i="1" s="1"/>
  <c r="AE93" i="21"/>
  <c r="I261" i="1" s="1"/>
  <c r="AE92" i="21"/>
  <c r="I260" i="1" s="1"/>
  <c r="AE98" i="21"/>
  <c r="I266" i="1" s="1"/>
  <c r="I242" i="1" l="1"/>
  <c r="AE102" i="21"/>
  <c r="X104" i="21"/>
  <c r="AG85" i="21"/>
  <c r="I335" i="1" s="1"/>
  <c r="AG83" i="21"/>
  <c r="I333" i="1" s="1"/>
  <c r="AG95" i="21"/>
  <c r="I345" i="1" s="1"/>
  <c r="AG93" i="21"/>
  <c r="I343" i="1" s="1"/>
  <c r="AG87" i="21"/>
  <c r="I337" i="1" s="1"/>
  <c r="AG86" i="21"/>
  <c r="I336" i="1" s="1"/>
  <c r="AG80" i="21"/>
  <c r="I330" i="1" s="1"/>
  <c r="AG88" i="21"/>
  <c r="I338" i="1" s="1"/>
  <c r="AG89" i="21"/>
  <c r="I339" i="1" s="1"/>
  <c r="AG77" i="21"/>
  <c r="I327" i="1" s="1"/>
  <c r="AG100" i="21"/>
  <c r="I350" i="1" s="1"/>
  <c r="AG78" i="21"/>
  <c r="I328" i="1" s="1"/>
  <c r="AG92" i="21"/>
  <c r="I342" i="1" s="1"/>
  <c r="AG90" i="21"/>
  <c r="I340" i="1" s="1"/>
  <c r="AG81" i="21"/>
  <c r="I331" i="1" s="1"/>
  <c r="AG84" i="21"/>
  <c r="I334" i="1" s="1"/>
  <c r="AG91" i="21"/>
  <c r="I341" i="1" s="1"/>
  <c r="AG74" i="21"/>
  <c r="AG99" i="21"/>
  <c r="I349" i="1" s="1"/>
  <c r="AG96" i="21"/>
  <c r="I346" i="1" s="1"/>
  <c r="AG97" i="21"/>
  <c r="I347" i="1" s="1"/>
  <c r="AG79" i="21"/>
  <c r="I329" i="1" s="1"/>
  <c r="AG94" i="21"/>
  <c r="I344" i="1" s="1"/>
  <c r="AG98" i="21"/>
  <c r="I348" i="1" s="1"/>
  <c r="AG82" i="21"/>
  <c r="I332" i="1" s="1"/>
  <c r="AB85" i="21"/>
  <c r="I540" i="1" s="1"/>
  <c r="AB84" i="21"/>
  <c r="I539" i="1" s="1"/>
  <c r="AB95" i="21"/>
  <c r="I550" i="1" s="1"/>
  <c r="AB98" i="21"/>
  <c r="I553" i="1" s="1"/>
  <c r="AB96" i="21"/>
  <c r="I551" i="1" s="1"/>
  <c r="AB86" i="21"/>
  <c r="I541" i="1" s="1"/>
  <c r="AB93" i="21"/>
  <c r="I548" i="1" s="1"/>
  <c r="AB74" i="21"/>
  <c r="AB92" i="21"/>
  <c r="I547" i="1" s="1"/>
  <c r="AB90" i="21"/>
  <c r="I545" i="1" s="1"/>
  <c r="AB77" i="21"/>
  <c r="I532" i="1" s="1"/>
  <c r="AB78" i="21"/>
  <c r="I533" i="1" s="1"/>
  <c r="AB89" i="21"/>
  <c r="I544" i="1" s="1"/>
  <c r="AB79" i="21"/>
  <c r="I534" i="1" s="1"/>
  <c r="AB87" i="21"/>
  <c r="I542" i="1" s="1"/>
  <c r="AB88" i="21"/>
  <c r="I543" i="1" s="1"/>
  <c r="AB94" i="21"/>
  <c r="I549" i="1" s="1"/>
  <c r="AB81" i="21"/>
  <c r="I536" i="1" s="1"/>
  <c r="AB80" i="21"/>
  <c r="I535" i="1" s="1"/>
  <c r="AB83" i="21"/>
  <c r="I538" i="1" s="1"/>
  <c r="AB97" i="21"/>
  <c r="I552" i="1" s="1"/>
  <c r="AB100" i="21"/>
  <c r="I555" i="1" s="1"/>
  <c r="AB99" i="21"/>
  <c r="I554" i="1" s="1"/>
  <c r="AB91" i="21"/>
  <c r="I546" i="1" s="1"/>
  <c r="AB82" i="21"/>
  <c r="I537" i="1" s="1"/>
  <c r="AF78" i="21"/>
  <c r="I287" i="1" s="1"/>
  <c r="AF89" i="21"/>
  <c r="I298" i="1" s="1"/>
  <c r="AF85" i="21"/>
  <c r="I294" i="1" s="1"/>
  <c r="AF93" i="21"/>
  <c r="I302" i="1" s="1"/>
  <c r="AF81" i="21"/>
  <c r="I290" i="1" s="1"/>
  <c r="AF92" i="21"/>
  <c r="I301" i="1" s="1"/>
  <c r="AF79" i="21"/>
  <c r="I288" i="1" s="1"/>
  <c r="AF87" i="21"/>
  <c r="I296" i="1" s="1"/>
  <c r="AF100" i="21"/>
  <c r="I309" i="1" s="1"/>
  <c r="AF80" i="21"/>
  <c r="I289" i="1" s="1"/>
  <c r="AF83" i="21"/>
  <c r="I292" i="1" s="1"/>
  <c r="AF84" i="21"/>
  <c r="I293" i="1" s="1"/>
  <c r="AF96" i="21"/>
  <c r="I305" i="1" s="1"/>
  <c r="AF95" i="21"/>
  <c r="I304" i="1" s="1"/>
  <c r="AF91" i="21"/>
  <c r="I300" i="1" s="1"/>
  <c r="AF82" i="21"/>
  <c r="I291" i="1" s="1"/>
  <c r="AF94" i="21"/>
  <c r="I303" i="1" s="1"/>
  <c r="AF74" i="21"/>
  <c r="AF86" i="21"/>
  <c r="I295" i="1" s="1"/>
  <c r="AF77" i="21"/>
  <c r="I286" i="1" s="1"/>
  <c r="AF90" i="21"/>
  <c r="I299" i="1" s="1"/>
  <c r="AF97" i="21"/>
  <c r="I306" i="1" s="1"/>
  <c r="AF98" i="21"/>
  <c r="I307" i="1" s="1"/>
  <c r="AF88" i="21"/>
  <c r="I297" i="1" s="1"/>
  <c r="AF99" i="21"/>
  <c r="I308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I373" i="1" s="1"/>
  <c r="AI78" i="21"/>
  <c r="I368" i="1" s="1"/>
  <c r="AI74" i="21"/>
  <c r="AI98" i="21"/>
  <c r="I388" i="1" s="1"/>
  <c r="AI89" i="21"/>
  <c r="I379" i="1" s="1"/>
  <c r="AI81" i="21"/>
  <c r="I371" i="1" s="1"/>
  <c r="AI97" i="21"/>
  <c r="I387" i="1" s="1"/>
  <c r="AI91" i="21"/>
  <c r="I381" i="1" s="1"/>
  <c r="AI82" i="21"/>
  <c r="I372" i="1" s="1"/>
  <c r="AI96" i="21"/>
  <c r="I386" i="1" s="1"/>
  <c r="AI95" i="21"/>
  <c r="I385" i="1" s="1"/>
  <c r="AI77" i="21"/>
  <c r="I367" i="1" s="1"/>
  <c r="AI80" i="21"/>
  <c r="I370" i="1" s="1"/>
  <c r="AI86" i="21"/>
  <c r="I376" i="1" s="1"/>
  <c r="AI93" i="21"/>
  <c r="I383" i="1" s="1"/>
  <c r="AI85" i="21"/>
  <c r="I375" i="1" s="1"/>
  <c r="AI88" i="21"/>
  <c r="I378" i="1" s="1"/>
  <c r="AI84" i="21"/>
  <c r="I374" i="1" s="1"/>
  <c r="AI92" i="21"/>
  <c r="I382" i="1" s="1"/>
  <c r="AI87" i="21"/>
  <c r="I377" i="1" s="1"/>
  <c r="AI99" i="21"/>
  <c r="I389" i="1" s="1"/>
  <c r="AI100" i="21"/>
  <c r="I390" i="1" s="1"/>
  <c r="AI90" i="21"/>
  <c r="I380" i="1" s="1"/>
  <c r="AI79" i="21"/>
  <c r="I369" i="1" s="1"/>
  <c r="AI94" i="21"/>
  <c r="I384" i="1" s="1"/>
  <c r="AA104" i="21"/>
  <c r="Z104" i="21"/>
  <c r="I529" i="1" l="1"/>
  <c r="AB102" i="21"/>
  <c r="I283" i="1"/>
  <c r="AF102" i="21"/>
  <c r="I364" i="1"/>
  <c r="AI102" i="21"/>
  <c r="I324" i="1"/>
  <c r="AG102" i="21"/>
  <c r="AC104" i="21"/>
  <c r="I134" i="1"/>
  <c r="I133" i="1"/>
  <c r="AE104" i="21" l="1"/>
  <c r="Y104" i="21"/>
  <c r="AH104" i="21"/>
  <c r="AD104" i="21"/>
  <c r="AI104" i="21"/>
  <c r="AF104" i="21"/>
  <c r="AB104" i="21"/>
  <c r="AG104" i="2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<sst xmlns="http://schemas.openxmlformats.org/spreadsheetml/2006/main" count="4053" uniqueCount="603">
  <si>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</si>
  <si>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</si>
  <si>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</si>
  <si>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</si>
  <si>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</si>
  <si>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</si>
  <si>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</si>
  <si>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</si>
  <si>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</si>
  <si>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</si>
  <si>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</si>
  <si>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</si>
  <si>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</si>
  <si>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</si>
  <si>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</si>
  <si>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</si>
  <si>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</si>
  <si>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</si>
  <si>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</si>
  <si>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</si>
  <si>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</si>
  <si>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</si>
  <si>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</si>
  <si>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</si>
  <si>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</si>
  <si>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</si>
  <si>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</si>
  <si>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</si>
  <si>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</si>
  <si>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</si>
  <si>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</si>
  <si>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</si>
  <si>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</si>
  <si>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</si>
  <si>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</si>
  <si>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</si>
  <si>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</si>
  <si>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</si>
  <si>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</si>
  <si>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</si>
  <si>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</si>
  <si>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</si>
  <si>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</si>
  <si>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</si>
  <si>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</si>
  <si>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</si>
  <si>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</si>
  <si>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</si>
  <si>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</si>
  <si>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</si>
  <si>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</si>
  <si>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</si>
  <si>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</si>
  <si>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</si>
  <si>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</si>
  <si>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</si>
  <si>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</si>
  <si>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</si>
  <si>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</si>
  <si>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</si>
  <si>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</si>
  <si>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</si>
  <si>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</si>
  <si>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</si>
  <si>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</si>
  <si>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</si>
  <si>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</si>
  <si>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</si>
  <si>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</si>
  <si>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</si>
  <si>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</si>
  <si>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</si>
  <si>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</si>
  <si>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</si>
  <si>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</si>
  <si>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</si>
  <si>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</si>
  <si>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</si>
  <si>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</si>
  <si>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</si>
  <si>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</si>
  <si>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</si>
  <si>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</si>
  <si>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</si>
  <si>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</si>
  <si>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</si>
  <si>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</si>
  <si>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</si>
  <si>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</si>
  <si>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</si>
  <si>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</si>
  <si>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</si>
  <si>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</si>
  <si>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</si>
  <si>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</si>
  <si>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</si>
  <si>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</si>
  <si>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</si>
  <si>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</si>
  <si>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</si>
  <si>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</si>
  <si>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</si>
  <si>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</si>
  <si>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</si>
  <si>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</si>
  <si>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</si>
  <si>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</si>
  <si>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</si>
  <si>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</si>
  <si>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</si>
  <si>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</si>
  <si>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</si>
  <si>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</si>
  <si>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</si>
  <si>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</si>
  <si>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</si>
  <si>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</si>
  <si>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</si>
  <si>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</si>
  <si>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</si>
  <si>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</si>
  <si>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</si>
  <si>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</si>
  <si>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</si>
  <si>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</si>
  <si>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</si>
  <si>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</si>
  <si>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</si>
  <si>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</si>
  <si>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</si>
  <si>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</si>
  <si>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</si>
  <si>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</si>
  <si>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</si>
  <si>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</si>
  <si>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</si>
  <si>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</si>
  <si>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</si>
  <si>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</si>
  <si>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</si>
  <si>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</si>
  <si>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</si>
  <si>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</si>
  <si>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</si>
  <si>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</si>
  <si>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</si>
  <si>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</si>
  <si>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</si>
  <si>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</si>
  <si>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</si>
  <si>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</si>
  <si>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</si>
  <si>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</si>
  <si>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</si>
  <si>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</si>
  <si>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</si>
  <si>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</si>
  <si>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</si>
  <si>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</si>
  <si>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</si>
  <si>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</si>
  <si>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</si>
  <si>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</si>
  <si>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</si>
  <si>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</si>
  <si>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</si>
  <si>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</si>
  <si>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</si>
  <si>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</si>
  <si>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</si>
  <si>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</si>
  <si>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</si>
  <si>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</si>
  <si>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</si>
  <si>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</si>
  <si>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</si>
  <si>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</si>
  <si>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</si>
  <si>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</si>
  <si>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</si>
  <si>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</si>
  <si>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</si>
  <si>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</si>
  <si>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</si>
  <si>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</si>
  <si>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</si>
  <si>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</si>
  <si>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</si>
  <si>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</si>
  <si>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</si>
  <si>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</si>
  <si>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</si>
  <si>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</si>
  <si>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</si>
  <si>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</si>
  <si>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</si>
  <si>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</si>
  <si>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</si>
  <si>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</si>
  <si>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</si>
  <si>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</si>
  <si>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</si>
  <si>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</si>
  <si>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</si>
  <si>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</si>
  <si>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</si>
  <si>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</si>
  <si>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</si>
  <si>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</si>
  <si>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</si>
  <si>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</si>
  <si>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</si>
  <si>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</si>
  <si>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</si>
  <si>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</si>
  <si>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</si>
  <si>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</si>
  <si>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</si>
  <si>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</si>
  <si>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</si>
  <si>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</si>
  <si>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</si>
  <si>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</si>
  <si>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</si>
  <si>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</si>
  <si>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</si>
  <si>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</si>
  <si>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</si>
  <si>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</si>
  <si>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</si>
  <si>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</si>
  <si>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</si>
  <si>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</si>
  <si>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</si>
  <si>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</si>
  <si>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</si>
  <si>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</si>
  <si>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</si>
  <si>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</si>
  <si>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</si>
  <si>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</si>
  <si>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</si>
  <si>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</si>
  <si>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</si>
  <si>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</si>
  <si>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</si>
  <si>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</si>
  <si>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</si>
  <si>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</si>
  <si>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</si>
  <si>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</si>
  <si>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</si>
  <si>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</si>
  <si>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</si>
  <si>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</si>
  <si>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</si>
  <si>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</si>
  <si>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</si>
  <si>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</si>
  <si>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</si>
  <si>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</si>
  <si>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</si>
  <si>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</si>
  <si>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</si>
  <si>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</si>
  <si>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</si>
  <si>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</si>
  <si>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</si>
  <si>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</si>
  <si>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</si>
  <si>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</si>
  <si>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</si>
  <si>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</si>
  <si>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</si>
  <si>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</si>
  <si>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</si>
  <si>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</si>
  <si>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</si>
  <si>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</si>
  <si>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</si>
  <si>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</si>
  <si>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</si>
  <si>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</si>
  <si>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</si>
  <si>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</si>
  <si>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</si>
  <si>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</si>
  <si>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</si>
  <si>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</si>
  <si>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</si>
  <si>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</si>
  <si>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</si>
  <si>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</si>
  <si>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</si>
  <si>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</si>
  <si>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</si>
  <si>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</si>
  <si>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</si>
  <si>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</si>
  <si>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</si>
  <si>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</si>
  <si>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</si>
  <si>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</si>
  <si>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</si>
  <si>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</si>
  <si>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</si>
  <si>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</si>
  <si>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</si>
  <si>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</si>
  <si>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</si>
  <si>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</si>
  <si>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</si>
  <si>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</si>
  <si>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</si>
  <si>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</si>
  <si>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</si>
  <si>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</si>
  <si>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</si>
  <si>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</si>
  <si>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</si>
  <si>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</si>
  <si>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</si>
  <si>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</si>
  <si>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</si>
  <si>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</si>
  <si>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</si>
  <si>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</si>
  <si>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</si>
  <si>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</si>
  <si>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</si>
  <si>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</si>
  <si>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</si>
  <si>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</si>
  <si>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</si>
  <si>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</si>
  <si>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</si>
  <si>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</si>
  <si>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</si>
  <si>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</si>
  <si>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</si>
  <si>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</si>
  <si>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</si>
  <si>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</si>
  <si>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</si>
  <si>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</si>
  <si>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</si>
  <si>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</si>
  <si>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</si>
  <si>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</si>
  <si>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</si>
  <si>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</si>
  <si>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</si>
  <si>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</si>
  <si>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</si>
  <si>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</si>
  <si>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</si>
  <si>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</si>
  <si>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</si>
  <si>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</si>
  <si>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</si>
  <si>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</si>
  <si>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</si>
  <si>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</si>
  <si>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</si>
  <si>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</si>
  <si>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</si>
  <si>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</si>
  <si>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</si>
  <si>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</si>
  <si>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</si>
  <si>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</si>
  <si>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</si>
  <si>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</si>
  <si>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</si>
  <si>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</si>
  <si>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</si>
  <si>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</si>
  <si>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</si>
  <si>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</si>
  <si>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</si>
  <si>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</si>
  <si>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</si>
  <si>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</si>
  <si>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</si>
  <si>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</si>
  <si>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</si>
  <si>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</si>
  <si>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</si>
  <si>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</si>
  <si>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</si>
  <si>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</si>
  <si>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</si>
  <si>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</si>
  <si>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</si>
  <si>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</si>
  <si>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</si>
  <si>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</si>
  <si>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</si>
  <si>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</si>
  <si>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</si>
  <si>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</si>
  <si>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</si>
  <si>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</si>
  <si>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</si>
  <si>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</si>
  <si>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</si>
  <si>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</si>
  <si>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</si>
  <si>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</si>
  <si>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</si>
  <si>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</si>
  <si>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</si>
  <si>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</si>
  <si>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</si>
  <si>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</si>
  <si>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</si>
  <si>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</si>
  <si>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</si>
  <si>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</si>
  <si>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</si>
  <si>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</si>
  <si>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</si>
  <si>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</si>
  <si>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</si>
  <si>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</si>
  <si>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</si>
  <si>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</si>
  <si>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</si>
  <si>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</si>
  <si>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</si>
  <si>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</si>
  <si>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</si>
  <si>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</si>
  <si>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</si>
  <si>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</si>
  <si>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</si>
  <si>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</si>
  <si>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</si>
  <si>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</si>
  <si>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</si>
  <si>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</si>
  <si>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</si>
  <si>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Diko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</si>
  <si>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</si>
  <si>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</si>
  <si>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</si>
  <si>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</si>
  <si>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</si>
  <si>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</si>
  <si>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</si>
  <si>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</si>
  <si>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</si>
  <si>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</si>
  <si>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</si>
  <si>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</si>
  <si>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</si>
  <si>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</si>
  <si>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</si>
  <si>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</si>
  <si>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</si>
  <si>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</si>
  <si>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</si>
  <si>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</si>
  <si>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</si>
  <si>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</si>
  <si>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</si>
  <si>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</si>
  <si>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</si>
  <si>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</si>
  <si>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</si>
  <si>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</si>
  <si>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</si>
  <si>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</si>
  <si>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</si>
  <si>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</si>
  <si>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</si>
  <si>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</si>
  <si>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</si>
  <si>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</si>
  <si>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</si>
  <si>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</si>
  <si>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</si>
  <si>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</si>
  <si>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</si>
  <si>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</si>
  <si>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</si>
  <si>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</si>
  <si>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</si>
  <si>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</si>
  <si>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</si>
  <si>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</si>
  <si>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</si>
  <si>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</si>
  <si>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</si>
  <si>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</si>
  <si>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</si>
  <si>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</si>
  <si>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</si>
  <si>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</si>
  <si>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</si>
  <si>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</si>
  <si>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</si>
  <si>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</si>
  <si>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</si>
  <si>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</si>
  <si>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</si>
  <si>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</si>
  <si>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</si>
  <si>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</si>
  <si>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</si>
  <si>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</si>
  <si>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</si>
  <si>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</si>
  <si>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</si>
  <si>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</si>
  <si>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</si>
  <si>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</si>
  <si>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</si>
  <si>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</si>
  <si>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</si>
  <si>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</si>
  <si>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</si>
  <si>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</si>
  <si>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</si>
  <si>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</si>
  <si>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</si>
  <si>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</si>
  <si>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</si>
  <si>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</si>
  <si>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</si>
  <si>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</si>
  <si>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</si>
  <si>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Converted from ECM. 2013 kg ECM/cow/year</t>
  </si>
  <si>
    <t>Ahlgren et al. (2022) Miljöpåverkan av svensk nöt- och lammköttsproduktion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</si>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</sst>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63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O603"/>
  <sheetViews>
    <sheetView zoomScale="80" zoomScaleNormal="80" workbookViewId="0">
      <pane ySplit="1" topLeftCell="A488" activePane="bottomLeft" state="frozen"/>
      <selection pane="bottomLeft" activeCell="K507" sqref="K507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5" x14ac:dyDescent="0.25">
      <c r="A1" s="6" t="s">
        <v>51</v>
      </c>
      <c r="B1" s="6" t="s">
        <v>295</v>
      </c>
      <c r="C1" s="6" t="s">
        <v>394</v>
      </c>
      <c r="D1" s="6" t="s">
        <v>52</v>
      </c>
      <c r="E1" s="6" t="s">
        <v>325</v>
      </c>
      <c r="F1" s="6" t="s">
        <v>334</v>
      </c>
      <c r="G1" s="6" t="s">
        <v>335</v>
      </c>
      <c r="H1" s="6" t="s">
        <v>47</v>
      </c>
      <c r="I1" s="6" t="s">
        <v>0</v>
      </c>
      <c r="J1" s="6" t="s">
        <v>48</v>
      </c>
      <c r="K1" s="6" t="s">
        <v>49</v>
      </c>
      <c r="L1" s="6" t="s">
        <v>50</v>
      </c>
    </row>
    <row r="2" spans="1:15" x14ac:dyDescent="0.25">
      <c r="A2" s="94" t="s">
        <v>297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5" x14ac:dyDescent="0.25">
      <c r="A3" s="97" t="s">
        <v>303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5" x14ac:dyDescent="0.25">
      <c r="A4" t="s">
        <v>2</v>
      </c>
      <c r="B4" t="s">
        <v>1</v>
      </c>
      <c r="H4" t="s">
        <v>43</v>
      </c>
      <c r="I4" s="2">
        <f>AVERAGE(9829,9903,9953,10112,10330)</f>
        <v>10025.4</v>
      </c>
      <c r="J4" t="s">
        <v>44</v>
      </c>
      <c r="K4" t="s">
        <v>393</v>
      </c>
      <c r="L4" t="s">
        <v>60</v>
      </c>
    </row>
    <row r="5" spans="1:15" x14ac:dyDescent="0.25">
      <c r="A5" t="s">
        <v>2</v>
      </c>
      <c r="B5" t="s">
        <v>1</v>
      </c>
      <c r="H5" t="s">
        <v>45</v>
      </c>
      <c r="I5" s="1">
        <f>AVERAGE(4.3,4.2,4.2,4.3,4.3)</f>
        <v>4.26</v>
      </c>
      <c r="J5" t="s">
        <v>9</v>
      </c>
      <c r="L5" t="s">
        <v>60</v>
      </c>
    </row>
    <row r="6" spans="1:15" x14ac:dyDescent="0.25">
      <c r="A6" t="s">
        <v>2</v>
      </c>
      <c r="B6" t="s">
        <v>1</v>
      </c>
      <c r="H6" t="s">
        <v>46</v>
      </c>
      <c r="I6" s="1">
        <f>AVERAGE(3.5,3.6,3.5,3.6,3.6)</f>
        <v>3.56</v>
      </c>
      <c r="J6" t="s">
        <v>9</v>
      </c>
      <c r="L6" t="s">
        <v>60</v>
      </c>
    </row>
    <row r="7" spans="1:15" x14ac:dyDescent="0.25">
      <c r="A7" t="s">
        <v>2</v>
      </c>
      <c r="B7" t="s">
        <v>5</v>
      </c>
      <c r="H7" t="s">
        <v>43</v>
      </c>
      <c r="I7" s="2">
        <f>AVERAGE(9135,9246,9280,9499,9676)</f>
        <v>9367.2000000000007</v>
      </c>
      <c r="J7" t="s">
        <v>44</v>
      </c>
      <c r="L7" t="s">
        <v>60</v>
      </c>
    </row>
    <row r="8" spans="1:15" x14ac:dyDescent="0.25">
      <c r="A8" t="s">
        <v>2</v>
      </c>
      <c r="B8" t="s">
        <v>5</v>
      </c>
      <c r="H8" t="s">
        <v>45</v>
      </c>
      <c r="I8" s="1">
        <f>AVERAGE(4.2,4.1,4.1,4.1,4.2)</f>
        <v>4.1399999999999997</v>
      </c>
      <c r="J8" t="s">
        <v>9</v>
      </c>
      <c r="L8" t="s">
        <v>60</v>
      </c>
    </row>
    <row r="9" spans="1:15" x14ac:dyDescent="0.25">
      <c r="A9" t="s">
        <v>2</v>
      </c>
      <c r="B9" t="s">
        <v>5</v>
      </c>
      <c r="H9" t="s">
        <v>46</v>
      </c>
      <c r="I9" s="1">
        <f>AVERAGE(3.4,3.4,3.4,3.5,3.5)</f>
        <v>3.44</v>
      </c>
      <c r="J9" t="s">
        <v>9</v>
      </c>
      <c r="L9" t="s">
        <v>60</v>
      </c>
    </row>
    <row r="10" spans="1:15" x14ac:dyDescent="0.25">
      <c r="A10" t="s">
        <v>2</v>
      </c>
      <c r="H10" t="s">
        <v>291</v>
      </c>
      <c r="I10" s="2">
        <v>89</v>
      </c>
      <c r="J10" t="s">
        <v>9</v>
      </c>
      <c r="K10" t="s">
        <v>333</v>
      </c>
      <c r="L10" t="s">
        <v>292</v>
      </c>
    </row>
    <row r="11" spans="1:15" x14ac:dyDescent="0.25">
      <c r="A11" s="100" t="s">
        <v>304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5" x14ac:dyDescent="0.25">
      <c r="A12" t="s">
        <v>38</v>
      </c>
      <c r="H12" t="s">
        <v>43</v>
      </c>
      <c r="I12" s="2">
        <f>2013/(0.25+I13/100*12.2+I14/100*7.7)</f>
        <v>1973.6068081101221</v>
      </c>
      <c r="J12" t="s">
        <v>44</v>
      </c>
      <c r="K12" s="110" t="s">
        <v>532</v>
      </c>
      <c r="L12" t="s">
        <v>530</v>
      </c>
    </row>
    <row r="13" spans="1:15" x14ac:dyDescent="0.25">
      <c r="A13" t="s">
        <v>38</v>
      </c>
      <c r="H13" t="s">
        <v>45</v>
      </c>
      <c r="I13" s="184">
        <v>4.1399999999999997</v>
      </c>
      <c r="J13" t="s">
        <v>9</v>
      </c>
      <c r="K13" t="s">
        <v>531</v>
      </c>
    </row>
    <row r="14" spans="1:15" x14ac:dyDescent="0.25">
      <c r="A14" t="s">
        <v>38</v>
      </c>
      <c r="H14" t="s">
        <v>46</v>
      </c>
      <c r="I14" s="184">
        <v>3.44</v>
      </c>
      <c r="J14" t="s">
        <v>9</v>
      </c>
      <c r="K14" t="s">
        <v>531</v>
      </c>
      <c r="O14" s="183" t="s">
        <v>529</v>
      </c>
    </row>
    <row r="15" spans="1:15" x14ac:dyDescent="0.25">
      <c r="A15" t="s">
        <v>38</v>
      </c>
      <c r="H15" t="s">
        <v>291</v>
      </c>
      <c r="I15" s="2">
        <v>0</v>
      </c>
      <c r="J15" t="s">
        <v>9</v>
      </c>
    </row>
    <row r="16" spans="1:15" x14ac:dyDescent="0.25">
      <c r="I16" s="2"/>
    </row>
    <row r="17" spans="1:12" x14ac:dyDescent="0.25">
      <c r="A17" s="94" t="s">
        <v>298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303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403</v>
      </c>
      <c r="I30" s="93">
        <v>0</v>
      </c>
      <c r="J30" t="s">
        <v>404</v>
      </c>
    </row>
    <row r="31" spans="1:12" x14ac:dyDescent="0.25">
      <c r="A31" t="s">
        <v>2</v>
      </c>
      <c r="B31" t="s">
        <v>5</v>
      </c>
      <c r="H31" t="s">
        <v>403</v>
      </c>
      <c r="I31" s="93">
        <v>0</v>
      </c>
      <c r="J31" t="s">
        <v>404</v>
      </c>
    </row>
    <row r="33" spans="1:12" x14ac:dyDescent="0.25">
      <c r="A33" s="100" t="s">
        <v>304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38</v>
      </c>
      <c r="H34" t="s">
        <v>3</v>
      </c>
      <c r="I34">
        <v>12.7</v>
      </c>
      <c r="J34" t="s">
        <v>4</v>
      </c>
    </row>
    <row r="35" spans="1:12" x14ac:dyDescent="0.25">
      <c r="A35" t="s">
        <v>38</v>
      </c>
      <c r="H35" t="s">
        <v>6</v>
      </c>
      <c r="I35">
        <f>(27.5+28.4+27.6+29.9+30)/5</f>
        <v>28.68</v>
      </c>
      <c r="J35" t="s">
        <v>4</v>
      </c>
      <c r="K35" t="s">
        <v>7</v>
      </c>
      <c r="L35" t="s">
        <v>534</v>
      </c>
    </row>
    <row r="36" spans="1:12" x14ac:dyDescent="0.25">
      <c r="A36" t="s">
        <v>38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38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38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38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38</v>
      </c>
      <c r="H40" t="s">
        <v>16</v>
      </c>
      <c r="I40">
        <v>212.8</v>
      </c>
      <c r="J40" t="s">
        <v>17</v>
      </c>
    </row>
    <row r="41" spans="1:12" x14ac:dyDescent="0.25">
      <c r="A41" t="s">
        <v>38</v>
      </c>
      <c r="B41" t="s">
        <v>1</v>
      </c>
      <c r="H41" t="s">
        <v>403</v>
      </c>
      <c r="I41" s="93">
        <v>0</v>
      </c>
      <c r="J41" t="s">
        <v>404</v>
      </c>
    </row>
    <row r="42" spans="1:12" x14ac:dyDescent="0.25">
      <c r="A42" t="s">
        <v>38</v>
      </c>
      <c r="B42" t="s">
        <v>5</v>
      </c>
      <c r="H42" t="s">
        <v>403</v>
      </c>
      <c r="I42" s="93">
        <v>0</v>
      </c>
      <c r="J42" t="s">
        <v>404</v>
      </c>
    </row>
    <row r="44" spans="1:12" x14ac:dyDescent="0.25">
      <c r="A44" s="94" t="s">
        <v>299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303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300</v>
      </c>
      <c r="I46" s="2">
        <f>I94/(47/100)</f>
        <v>651.52821361702138</v>
      </c>
      <c r="J46" t="s">
        <v>133</v>
      </c>
      <c r="K46" s="109" t="s">
        <v>332</v>
      </c>
      <c r="L46" t="s">
        <v>331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342</v>
      </c>
      <c r="I47" s="93">
        <v>40</v>
      </c>
      <c r="J47" t="s">
        <v>133</v>
      </c>
      <c r="K47" s="93" t="s">
        <v>389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387</v>
      </c>
      <c r="I48" s="111">
        <f>I47+(I95/0.5-I47)/(I90*30.4)*I29</f>
        <v>130.26609162869005</v>
      </c>
      <c r="J48" t="s">
        <v>133</v>
      </c>
      <c r="K48" s="93" t="s">
        <v>390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328</v>
      </c>
      <c r="I49" s="111">
        <f>I$50</f>
        <v>339.02685500000001</v>
      </c>
      <c r="J49" t="s">
        <v>133</v>
      </c>
      <c r="K49" s="93" t="s">
        <v>348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296</v>
      </c>
      <c r="I50" s="2">
        <f>I95/(50/100)</f>
        <v>339.02685500000001</v>
      </c>
      <c r="J50" t="s">
        <v>133</v>
      </c>
      <c r="K50" s="109" t="s">
        <v>330</v>
      </c>
      <c r="L50" t="s">
        <v>331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296</v>
      </c>
      <c r="I51" s="2">
        <f>I96/(50/100)</f>
        <v>596.09653539999999</v>
      </c>
      <c r="J51" t="s">
        <v>133</v>
      </c>
      <c r="K51" s="109" t="s">
        <v>330</v>
      </c>
      <c r="L51" t="s">
        <v>331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296</v>
      </c>
      <c r="I52" s="2">
        <f>I97/(50/100)</f>
        <v>651.61428720000004</v>
      </c>
      <c r="J52" t="s">
        <v>133</v>
      </c>
      <c r="K52" s="109" t="s">
        <v>330</v>
      </c>
      <c r="L52" t="s">
        <v>331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296</v>
      </c>
      <c r="I53" s="2">
        <f>I98/(50/100)</f>
        <v>657.75311299999998</v>
      </c>
      <c r="J53" t="s">
        <v>133</v>
      </c>
      <c r="K53" s="109" t="s">
        <v>330</v>
      </c>
      <c r="L53" t="s">
        <v>331</v>
      </c>
    </row>
    <row r="54" spans="1:12" x14ac:dyDescent="0.25">
      <c r="A54" s="100" t="s">
        <v>304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38</v>
      </c>
      <c r="B55" s="4"/>
      <c r="C55" s="4"/>
      <c r="D55" s="110" t="s">
        <v>18</v>
      </c>
      <c r="E55" s="110"/>
      <c r="F55" s="110"/>
      <c r="G55" s="110"/>
      <c r="H55" s="110" t="s">
        <v>300</v>
      </c>
      <c r="I55" s="2">
        <f>I110/(47/100)</f>
        <v>724.68023255319144</v>
      </c>
      <c r="J55" t="s">
        <v>133</v>
      </c>
      <c r="K55" s="109" t="s">
        <v>332</v>
      </c>
      <c r="L55" t="s">
        <v>331</v>
      </c>
    </row>
    <row r="56" spans="1:12" x14ac:dyDescent="0.25">
      <c r="A56" t="s">
        <v>38</v>
      </c>
      <c r="D56" s="110" t="s">
        <v>20</v>
      </c>
      <c r="E56" s="110"/>
      <c r="F56" s="110"/>
      <c r="G56" s="110"/>
      <c r="H56" s="110" t="s">
        <v>342</v>
      </c>
      <c r="I56" s="93">
        <v>40</v>
      </c>
      <c r="J56" t="s">
        <v>133</v>
      </c>
      <c r="K56" s="93" t="s">
        <v>389</v>
      </c>
    </row>
    <row r="57" spans="1:12" x14ac:dyDescent="0.25">
      <c r="A57" t="s">
        <v>38</v>
      </c>
      <c r="D57" s="110" t="s">
        <v>20</v>
      </c>
      <c r="E57" s="110"/>
      <c r="F57" s="110"/>
      <c r="G57" s="110"/>
      <c r="H57" s="110" t="s">
        <v>387</v>
      </c>
      <c r="I57" s="111">
        <f>I56+(I111/0.5-I56)/(I106*30.4)*I40</f>
        <v>215.80423925763492</v>
      </c>
      <c r="J57" t="s">
        <v>133</v>
      </c>
      <c r="K57" s="93" t="s">
        <v>390</v>
      </c>
    </row>
    <row r="58" spans="1:12" x14ac:dyDescent="0.25">
      <c r="A58" t="s">
        <v>38</v>
      </c>
      <c r="D58" s="110" t="s">
        <v>20</v>
      </c>
      <c r="E58" s="110"/>
      <c r="F58" s="110"/>
      <c r="G58" s="110"/>
      <c r="H58" s="110" t="s">
        <v>328</v>
      </c>
      <c r="I58" s="111">
        <f>I$59</f>
        <v>314.63230679999998</v>
      </c>
      <c r="J58" t="s">
        <v>133</v>
      </c>
      <c r="K58" s="93" t="s">
        <v>348</v>
      </c>
    </row>
    <row r="59" spans="1:12" x14ac:dyDescent="0.25">
      <c r="A59" t="s">
        <v>38</v>
      </c>
      <c r="D59" s="110" t="s">
        <v>20</v>
      </c>
      <c r="E59" s="110"/>
      <c r="F59" s="110"/>
      <c r="G59" s="110"/>
      <c r="H59" s="110" t="s">
        <v>296</v>
      </c>
      <c r="I59" s="2">
        <f>I111/(50/100)</f>
        <v>314.63230679999998</v>
      </c>
      <c r="J59" t="s">
        <v>133</v>
      </c>
      <c r="K59" s="109" t="s">
        <v>330</v>
      </c>
      <c r="L59" t="s">
        <v>331</v>
      </c>
    </row>
    <row r="60" spans="1:12" x14ac:dyDescent="0.25">
      <c r="A60" t="s">
        <v>38</v>
      </c>
      <c r="D60" s="110" t="s">
        <v>33</v>
      </c>
      <c r="E60" s="110"/>
      <c r="F60" s="110"/>
      <c r="G60" s="110"/>
      <c r="H60" s="110" t="s">
        <v>296</v>
      </c>
      <c r="I60" s="2">
        <f t="shared" ref="I60:I62" si="0">I112/(50/100)</f>
        <v>618.33216919999995</v>
      </c>
      <c r="J60" t="s">
        <v>133</v>
      </c>
      <c r="K60" s="109" t="s">
        <v>330</v>
      </c>
      <c r="L60" t="s">
        <v>331</v>
      </c>
    </row>
    <row r="61" spans="1:12" x14ac:dyDescent="0.25">
      <c r="A61" t="s">
        <v>38</v>
      </c>
      <c r="D61" s="110" t="s">
        <v>34</v>
      </c>
      <c r="E61" s="110"/>
      <c r="F61" s="110"/>
      <c r="G61" s="110"/>
      <c r="H61" s="110" t="s">
        <v>296</v>
      </c>
      <c r="I61" s="2">
        <f t="shared" si="0"/>
        <v>671.19136400000002</v>
      </c>
      <c r="J61" t="s">
        <v>133</v>
      </c>
      <c r="K61" s="109" t="s">
        <v>330</v>
      </c>
      <c r="L61" t="s">
        <v>331</v>
      </c>
    </row>
    <row r="62" spans="1:12" x14ac:dyDescent="0.25">
      <c r="A62" t="s">
        <v>38</v>
      </c>
      <c r="D62" s="110" t="s">
        <v>35</v>
      </c>
      <c r="E62" s="110"/>
      <c r="F62" s="110"/>
      <c r="G62" s="110"/>
      <c r="H62" s="110" t="s">
        <v>296</v>
      </c>
      <c r="I62" s="2">
        <f t="shared" si="0"/>
        <v>716.86797000000001</v>
      </c>
      <c r="J62" t="s">
        <v>133</v>
      </c>
      <c r="K62" s="109" t="s">
        <v>330</v>
      </c>
      <c r="L62" t="s">
        <v>331</v>
      </c>
    </row>
    <row r="63" spans="1:12" x14ac:dyDescent="0.25">
      <c r="H63" s="159" t="s">
        <v>300</v>
      </c>
      <c r="I63" s="159">
        <v>0</v>
      </c>
      <c r="J63" s="159"/>
      <c r="K63" s="160" t="s">
        <v>426</v>
      </c>
    </row>
    <row r="64" spans="1:12" x14ac:dyDescent="0.25">
      <c r="A64" s="94" t="s">
        <v>301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303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  <c r="L66" t="s">
        <v>533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  <c r="L67" t="s">
        <v>533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  <c r="L68" t="s">
        <v>533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  <c r="L69" t="s">
        <v>533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  <c r="L70" t="s">
        <v>533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  <c r="L71" t="s">
        <v>533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  <c r="L72" t="s">
        <v>533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  <c r="L73" t="s">
        <v>533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  <c r="L74" t="s">
        <v>533</v>
      </c>
    </row>
    <row r="75" spans="1:12" x14ac:dyDescent="0.25">
      <c r="A75" s="100" t="s">
        <v>304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38</v>
      </c>
      <c r="D76" t="s">
        <v>18</v>
      </c>
      <c r="H76" t="s">
        <v>19</v>
      </c>
      <c r="I76">
        <v>2</v>
      </c>
      <c r="J76" t="s">
        <v>9</v>
      </c>
      <c r="K76" t="s">
        <v>10</v>
      </c>
      <c r="L76" t="s">
        <v>533</v>
      </c>
    </row>
    <row r="77" spans="1:12" x14ac:dyDescent="0.25">
      <c r="A77" t="s">
        <v>38</v>
      </c>
      <c r="D77" t="s">
        <v>20</v>
      </c>
      <c r="H77" t="s">
        <v>21</v>
      </c>
      <c r="I77">
        <v>4</v>
      </c>
      <c r="J77" t="s">
        <v>9</v>
      </c>
      <c r="K77" t="s">
        <v>22</v>
      </c>
      <c r="L77" t="s">
        <v>533</v>
      </c>
    </row>
    <row r="78" spans="1:12" x14ac:dyDescent="0.25">
      <c r="A78" t="s">
        <v>38</v>
      </c>
      <c r="D78" t="s">
        <v>20</v>
      </c>
      <c r="H78" t="s">
        <v>23</v>
      </c>
      <c r="I78">
        <v>3</v>
      </c>
      <c r="J78" t="s">
        <v>17</v>
      </c>
      <c r="K78" t="s">
        <v>39</v>
      </c>
      <c r="L78" t="s">
        <v>533</v>
      </c>
    </row>
    <row r="79" spans="1:12" x14ac:dyDescent="0.25">
      <c r="A79" t="s">
        <v>38</v>
      </c>
      <c r="D79" t="s">
        <v>20</v>
      </c>
      <c r="H79" t="s">
        <v>25</v>
      </c>
      <c r="I79">
        <v>3.2</v>
      </c>
      <c r="J79" t="s">
        <v>9</v>
      </c>
      <c r="K79" t="s">
        <v>22</v>
      </c>
      <c r="L79" t="s">
        <v>533</v>
      </c>
    </row>
    <row r="80" spans="1:12" x14ac:dyDescent="0.25">
      <c r="A80" t="s">
        <v>38</v>
      </c>
      <c r="D80" t="s">
        <v>20</v>
      </c>
      <c r="H80" t="s">
        <v>26</v>
      </c>
      <c r="I80">
        <v>10</v>
      </c>
      <c r="J80" t="s">
        <v>17</v>
      </c>
      <c r="K80" t="s">
        <v>39</v>
      </c>
      <c r="L80" t="s">
        <v>533</v>
      </c>
    </row>
    <row r="81" spans="1:12" x14ac:dyDescent="0.25">
      <c r="A81" t="s">
        <v>38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  <c r="L81" t="s">
        <v>533</v>
      </c>
    </row>
    <row r="82" spans="1:12" x14ac:dyDescent="0.25">
      <c r="A82" t="s">
        <v>38</v>
      </c>
      <c r="D82" t="s">
        <v>20</v>
      </c>
      <c r="H82" t="s">
        <v>29</v>
      </c>
      <c r="I82">
        <v>234</v>
      </c>
      <c r="J82" t="s">
        <v>17</v>
      </c>
      <c r="K82" t="s">
        <v>39</v>
      </c>
      <c r="L82" t="s">
        <v>533</v>
      </c>
    </row>
    <row r="83" spans="1:12" x14ac:dyDescent="0.25">
      <c r="A83" t="s">
        <v>38</v>
      </c>
      <c r="D83" t="s">
        <v>20</v>
      </c>
      <c r="H83" t="s">
        <v>30</v>
      </c>
      <c r="I83">
        <v>1.6</v>
      </c>
      <c r="J83" t="s">
        <v>9</v>
      </c>
      <c r="K83" t="s">
        <v>28</v>
      </c>
      <c r="L83" t="s">
        <v>533</v>
      </c>
    </row>
    <row r="84" spans="1:12" x14ac:dyDescent="0.25">
      <c r="A84" t="s">
        <v>38</v>
      </c>
      <c r="D84" t="s">
        <v>20</v>
      </c>
      <c r="H84" t="s">
        <v>31</v>
      </c>
      <c r="I84">
        <v>241</v>
      </c>
      <c r="J84" t="s">
        <v>17</v>
      </c>
      <c r="K84" t="s">
        <v>39</v>
      </c>
      <c r="L84" t="s">
        <v>533</v>
      </c>
    </row>
    <row r="86" spans="1:12" x14ac:dyDescent="0.25">
      <c r="A86" s="94" t="s">
        <v>302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303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427</v>
      </c>
      <c r="H99" t="s">
        <v>36</v>
      </c>
      <c r="I99" s="157">
        <v>0</v>
      </c>
      <c r="J99" s="93" t="s">
        <v>37</v>
      </c>
    </row>
    <row r="100" spans="1:12" x14ac:dyDescent="0.25">
      <c r="A100" t="s">
        <v>2</v>
      </c>
      <c r="B100" t="s">
        <v>1</v>
      </c>
      <c r="H100" t="s">
        <v>523</v>
      </c>
      <c r="I100" s="13">
        <v>7.708382338966838</v>
      </c>
      <c r="J100" t="s">
        <v>9</v>
      </c>
      <c r="K100" t="s">
        <v>527</v>
      </c>
      <c r="L100" t="s">
        <v>405</v>
      </c>
    </row>
    <row r="101" spans="1:12" x14ac:dyDescent="0.25">
      <c r="A101" t="s">
        <v>2</v>
      </c>
      <c r="B101" t="s">
        <v>1</v>
      </c>
      <c r="H101" t="s">
        <v>526</v>
      </c>
      <c r="I101" s="13">
        <v>14.798145933014354</v>
      </c>
      <c r="J101" t="s">
        <v>9</v>
      </c>
      <c r="K101" t="s">
        <v>528</v>
      </c>
      <c r="L101" t="s">
        <v>405</v>
      </c>
    </row>
    <row r="102" spans="1:12" x14ac:dyDescent="0.25">
      <c r="A102" t="s">
        <v>2</v>
      </c>
      <c r="B102" t="s">
        <v>5</v>
      </c>
      <c r="H102" t="s">
        <v>523</v>
      </c>
      <c r="I102" s="13">
        <v>7.708382338966838</v>
      </c>
      <c r="J102" t="s">
        <v>9</v>
      </c>
      <c r="K102" t="s">
        <v>527</v>
      </c>
      <c r="L102" t="s">
        <v>405</v>
      </c>
    </row>
    <row r="103" spans="1:12" x14ac:dyDescent="0.25">
      <c r="A103" t="s">
        <v>2</v>
      </c>
      <c r="B103" t="s">
        <v>5</v>
      </c>
      <c r="H103" t="s">
        <v>526</v>
      </c>
      <c r="I103" s="13">
        <v>65.534646274777856</v>
      </c>
      <c r="J103" t="s">
        <v>9</v>
      </c>
      <c r="K103" t="s">
        <v>528</v>
      </c>
      <c r="L103" t="s">
        <v>405</v>
      </c>
    </row>
    <row r="104" spans="1:12" x14ac:dyDescent="0.25">
      <c r="A104" s="100" t="s">
        <v>304</v>
      </c>
      <c r="B104" s="100"/>
      <c r="C104" s="100"/>
      <c r="D104" s="101"/>
      <c r="E104" s="101"/>
      <c r="F104" s="101"/>
      <c r="G104" s="101"/>
      <c r="H104" s="101"/>
      <c r="I104" s="101"/>
      <c r="J104" s="101"/>
      <c r="K104" s="101"/>
      <c r="L104" s="101"/>
    </row>
    <row r="105" spans="1:12" x14ac:dyDescent="0.25">
      <c r="A105" t="s">
        <v>38</v>
      </c>
      <c r="D105" t="s">
        <v>18</v>
      </c>
      <c r="H105" t="s">
        <v>32</v>
      </c>
      <c r="I105" s="13">
        <v>76.487234630000003</v>
      </c>
      <c r="J105" t="s">
        <v>4</v>
      </c>
    </row>
    <row r="106" spans="1:12" x14ac:dyDescent="0.25">
      <c r="A106" t="s">
        <v>38</v>
      </c>
      <c r="D106" t="s">
        <v>20</v>
      </c>
      <c r="H106" t="s">
        <v>32</v>
      </c>
      <c r="I106" s="13">
        <v>10.935038629999999</v>
      </c>
      <c r="J106" t="s">
        <v>4</v>
      </c>
    </row>
    <row r="107" spans="1:12" x14ac:dyDescent="0.25">
      <c r="A107" t="s">
        <v>38</v>
      </c>
      <c r="D107" t="s">
        <v>33</v>
      </c>
      <c r="H107" t="s">
        <v>32</v>
      </c>
      <c r="I107" s="13">
        <v>26.97454827</v>
      </c>
      <c r="J107" t="s">
        <v>4</v>
      </c>
    </row>
    <row r="108" spans="1:12" x14ac:dyDescent="0.25">
      <c r="A108" t="s">
        <v>38</v>
      </c>
      <c r="D108" t="s">
        <v>34</v>
      </c>
      <c r="H108" t="s">
        <v>32</v>
      </c>
      <c r="I108" s="13">
        <v>28.44764464</v>
      </c>
      <c r="J108" t="s">
        <v>4</v>
      </c>
    </row>
    <row r="109" spans="1:12" x14ac:dyDescent="0.25">
      <c r="A109" t="s">
        <v>38</v>
      </c>
      <c r="D109" t="s">
        <v>35</v>
      </c>
      <c r="H109" t="s">
        <v>32</v>
      </c>
      <c r="I109" s="13">
        <v>20.108223370000001</v>
      </c>
      <c r="J109" t="s">
        <v>4</v>
      </c>
    </row>
    <row r="110" spans="1:12" x14ac:dyDescent="0.25">
      <c r="A110" t="s">
        <v>38</v>
      </c>
      <c r="D110" t="s">
        <v>18</v>
      </c>
      <c r="H110" t="s">
        <v>36</v>
      </c>
      <c r="I110" s="13">
        <v>340.59970929999997</v>
      </c>
      <c r="J110" t="s">
        <v>37</v>
      </c>
    </row>
    <row r="111" spans="1:12" x14ac:dyDescent="0.25">
      <c r="A111" t="s">
        <v>38</v>
      </c>
      <c r="D111" t="s">
        <v>20</v>
      </c>
      <c r="H111" t="s">
        <v>36</v>
      </c>
      <c r="I111" s="13">
        <v>157.31615339999999</v>
      </c>
      <c r="J111" t="s">
        <v>37</v>
      </c>
    </row>
    <row r="112" spans="1:12" x14ac:dyDescent="0.25">
      <c r="A112" t="s">
        <v>38</v>
      </c>
      <c r="D112" t="s">
        <v>33</v>
      </c>
      <c r="H112" t="s">
        <v>36</v>
      </c>
      <c r="I112" s="13">
        <v>309.16608459999998</v>
      </c>
      <c r="J112" t="s">
        <v>37</v>
      </c>
    </row>
    <row r="113" spans="1:12" x14ac:dyDescent="0.25">
      <c r="A113" t="s">
        <v>38</v>
      </c>
      <c r="D113" t="s">
        <v>34</v>
      </c>
      <c r="H113" t="s">
        <v>36</v>
      </c>
      <c r="I113" s="13">
        <v>335.59568200000001</v>
      </c>
      <c r="J113" t="s">
        <v>37</v>
      </c>
    </row>
    <row r="114" spans="1:12" x14ac:dyDescent="0.25">
      <c r="A114" t="s">
        <v>38</v>
      </c>
      <c r="D114" t="s">
        <v>35</v>
      </c>
      <c r="H114" t="s">
        <v>36</v>
      </c>
      <c r="I114" s="13">
        <v>358.43398500000001</v>
      </c>
      <c r="J114" t="s">
        <v>37</v>
      </c>
    </row>
    <row r="115" spans="1:12" x14ac:dyDescent="0.25">
      <c r="A115" t="s">
        <v>38</v>
      </c>
      <c r="D115" t="s">
        <v>427</v>
      </c>
      <c r="H115" t="s">
        <v>36</v>
      </c>
      <c r="I115" s="157">
        <v>0</v>
      </c>
      <c r="J115" s="93" t="s">
        <v>37</v>
      </c>
    </row>
    <row r="116" spans="1:12" x14ac:dyDescent="0.25">
      <c r="A116" t="s">
        <v>38</v>
      </c>
      <c r="B116" t="s">
        <v>1</v>
      </c>
      <c r="H116" t="s">
        <v>523</v>
      </c>
      <c r="I116" s="13">
        <v>2.4579700542883822</v>
      </c>
      <c r="J116" t="s">
        <v>9</v>
      </c>
      <c r="K116" t="s">
        <v>527</v>
      </c>
      <c r="L116" t="s">
        <v>405</v>
      </c>
    </row>
    <row r="117" spans="1:12" x14ac:dyDescent="0.25">
      <c r="A117" t="s">
        <v>38</v>
      </c>
      <c r="B117" t="s">
        <v>1</v>
      </c>
      <c r="H117" t="s">
        <v>526</v>
      </c>
      <c r="I117" s="13">
        <v>9.2748685002842954</v>
      </c>
      <c r="J117" t="s">
        <v>9</v>
      </c>
      <c r="K117" t="s">
        <v>528</v>
      </c>
      <c r="L117" t="s">
        <v>405</v>
      </c>
    </row>
    <row r="118" spans="1:12" x14ac:dyDescent="0.25">
      <c r="A118" t="s">
        <v>38</v>
      </c>
      <c r="B118" t="s">
        <v>5</v>
      </c>
      <c r="H118" t="s">
        <v>523</v>
      </c>
      <c r="I118" s="13">
        <v>2.4579700542883822</v>
      </c>
      <c r="J118" t="s">
        <v>9</v>
      </c>
      <c r="K118" t="s">
        <v>527</v>
      </c>
      <c r="L118" t="s">
        <v>405</v>
      </c>
    </row>
    <row r="119" spans="1:12" x14ac:dyDescent="0.25">
      <c r="A119" t="s">
        <v>38</v>
      </c>
      <c r="B119" t="s">
        <v>5</v>
      </c>
      <c r="H119" t="s">
        <v>526</v>
      </c>
      <c r="I119" s="13">
        <v>35.940115438601644</v>
      </c>
      <c r="J119" t="s">
        <v>9</v>
      </c>
      <c r="K119" t="s">
        <v>528</v>
      </c>
      <c r="L119" t="s">
        <v>405</v>
      </c>
    </row>
    <row r="121" spans="1:12" x14ac:dyDescent="0.25">
      <c r="A121" s="94" t="s">
        <v>306</v>
      </c>
      <c r="B121" s="94"/>
      <c r="C121" s="94"/>
      <c r="D121" s="95"/>
      <c r="E121" s="95"/>
      <c r="F121" s="95"/>
      <c r="G121" s="95"/>
      <c r="H121" s="95"/>
      <c r="I121" s="95"/>
      <c r="J121" s="95"/>
      <c r="K121" s="95"/>
      <c r="L121" s="95"/>
    </row>
    <row r="122" spans="1:12" x14ac:dyDescent="0.25">
      <c r="A122" s="97" t="s">
        <v>303</v>
      </c>
      <c r="B122" s="97"/>
      <c r="C122" s="97"/>
      <c r="D122" s="98"/>
      <c r="E122" s="98"/>
      <c r="F122" s="98"/>
      <c r="G122" s="98"/>
      <c r="H122" s="98"/>
      <c r="I122" s="99"/>
      <c r="J122" s="98"/>
      <c r="K122" s="98"/>
      <c r="L122" s="98"/>
    </row>
    <row r="123" spans="1:12" x14ac:dyDescent="0.25">
      <c r="A123" t="s">
        <v>2</v>
      </c>
      <c r="F123" t="s">
        <v>5</v>
      </c>
      <c r="G123" t="s">
        <v>1</v>
      </c>
      <c r="H123" t="s">
        <v>336</v>
      </c>
      <c r="I123">
        <v>89</v>
      </c>
      <c r="J123" t="s">
        <v>9</v>
      </c>
      <c r="K123" t="s">
        <v>339</v>
      </c>
    </row>
    <row r="124" spans="1:12" x14ac:dyDescent="0.25">
      <c r="A124" t="s">
        <v>2</v>
      </c>
      <c r="F124" t="s">
        <v>5</v>
      </c>
      <c r="G124" t="s">
        <v>1</v>
      </c>
      <c r="H124" t="s">
        <v>337</v>
      </c>
      <c r="I124">
        <v>8.5</v>
      </c>
      <c r="J124" t="s">
        <v>9</v>
      </c>
      <c r="K124" t="s">
        <v>339</v>
      </c>
    </row>
    <row r="125" spans="1:12" x14ac:dyDescent="0.25">
      <c r="A125" s="100" t="s">
        <v>304</v>
      </c>
      <c r="B125" s="100"/>
      <c r="C125" s="100"/>
      <c r="D125" s="101"/>
      <c r="E125" s="101"/>
      <c r="F125" s="101"/>
      <c r="G125" s="101"/>
      <c r="H125" s="101"/>
      <c r="I125" s="101"/>
      <c r="J125" s="101"/>
      <c r="K125" s="101"/>
      <c r="L125" s="101"/>
    </row>
    <row r="126" spans="1:12" x14ac:dyDescent="0.25">
      <c r="A126" t="s">
        <v>38</v>
      </c>
      <c r="F126" t="s">
        <v>5</v>
      </c>
      <c r="G126" t="s">
        <v>1</v>
      </c>
      <c r="H126" t="s">
        <v>336</v>
      </c>
      <c r="I126">
        <v>14</v>
      </c>
      <c r="J126" t="s">
        <v>9</v>
      </c>
      <c r="K126" t="s">
        <v>339</v>
      </c>
    </row>
    <row r="127" spans="1:12" x14ac:dyDescent="0.25">
      <c r="A127" t="s">
        <v>38</v>
      </c>
      <c r="F127" t="s">
        <v>5</v>
      </c>
      <c r="G127" t="s">
        <v>1</v>
      </c>
      <c r="H127" t="s">
        <v>337</v>
      </c>
      <c r="I127">
        <v>8.5</v>
      </c>
      <c r="J127" t="s">
        <v>9</v>
      </c>
      <c r="K127" t="s">
        <v>339</v>
      </c>
    </row>
    <row r="129" spans="1:12" x14ac:dyDescent="0.25">
      <c r="A129" s="94" t="s">
        <v>407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D130" t="s">
        <v>18</v>
      </c>
      <c r="H130" t="s">
        <v>408</v>
      </c>
      <c r="I130">
        <v>0.50700000000000001</v>
      </c>
      <c r="J130" t="s">
        <v>409</v>
      </c>
      <c r="L130" t="s">
        <v>411</v>
      </c>
    </row>
    <row r="131" spans="1:12" x14ac:dyDescent="0.25">
      <c r="H131" t="s">
        <v>408</v>
      </c>
      <c r="I131">
        <v>0.47499999999999998</v>
      </c>
      <c r="J131" t="s">
        <v>409</v>
      </c>
      <c r="L131" t="s">
        <v>412</v>
      </c>
    </row>
    <row r="132" spans="1:12" x14ac:dyDescent="0.25">
      <c r="D132" t="s">
        <v>18</v>
      </c>
      <c r="H132" t="s">
        <v>423</v>
      </c>
      <c r="I132" s="13">
        <v>5</v>
      </c>
      <c r="J132" t="s">
        <v>422</v>
      </c>
      <c r="L132" t="s">
        <v>411</v>
      </c>
    </row>
    <row r="133" spans="1:12" x14ac:dyDescent="0.25">
      <c r="A133" t="s">
        <v>2</v>
      </c>
      <c r="D133" t="s">
        <v>18</v>
      </c>
      <c r="H133" t="s">
        <v>413</v>
      </c>
      <c r="I133" s="13">
        <f>(0.013+0.021+0.038) * 30.4</f>
        <v>2.1888000000000001</v>
      </c>
      <c r="J133" t="s">
        <v>414</v>
      </c>
      <c r="K133" t="s">
        <v>415</v>
      </c>
      <c r="L133" t="s">
        <v>410</v>
      </c>
    </row>
    <row r="134" spans="1:12" x14ac:dyDescent="0.25">
      <c r="A134" t="s">
        <v>38</v>
      </c>
      <c r="D134" t="s">
        <v>18</v>
      </c>
      <c r="H134" t="s">
        <v>413</v>
      </c>
      <c r="I134" s="13">
        <f>(8 * 7 * 3.6)/100</f>
        <v>2.016</v>
      </c>
      <c r="J134" t="s">
        <v>414</v>
      </c>
      <c r="K134" t="s">
        <v>416</v>
      </c>
      <c r="L134" t="s">
        <v>417</v>
      </c>
    </row>
    <row r="135" spans="1:12" x14ac:dyDescent="0.25">
      <c r="H135" t="s">
        <v>418</v>
      </c>
      <c r="I135" s="1">
        <v>1</v>
      </c>
      <c r="J135" t="s">
        <v>424</v>
      </c>
    </row>
    <row r="136" spans="1:12" x14ac:dyDescent="0.25">
      <c r="A136" t="s">
        <v>2</v>
      </c>
      <c r="D136" t="s">
        <v>18</v>
      </c>
      <c r="H136" t="s">
        <v>418</v>
      </c>
      <c r="I136" s="1">
        <v>1.1100000000000001</v>
      </c>
      <c r="J136" t="s">
        <v>424</v>
      </c>
      <c r="L136" t="s">
        <v>410</v>
      </c>
    </row>
    <row r="137" spans="1:12" x14ac:dyDescent="0.25">
      <c r="A137" t="s">
        <v>38</v>
      </c>
      <c r="D137" t="s">
        <v>35</v>
      </c>
      <c r="H137" t="s">
        <v>418</v>
      </c>
      <c r="I137" s="1">
        <v>0.9</v>
      </c>
      <c r="J137" t="s">
        <v>424</v>
      </c>
      <c r="K137" t="s">
        <v>420</v>
      </c>
      <c r="L137" t="s">
        <v>419</v>
      </c>
    </row>
    <row r="138" spans="1:12" x14ac:dyDescent="0.25">
      <c r="D138" t="s">
        <v>33</v>
      </c>
      <c r="H138" t="s">
        <v>418</v>
      </c>
      <c r="I138" s="1">
        <v>1.05</v>
      </c>
      <c r="J138" t="s">
        <v>424</v>
      </c>
      <c r="L138" t="s">
        <v>419</v>
      </c>
    </row>
    <row r="139" spans="1:12" x14ac:dyDescent="0.25">
      <c r="A139" t="s">
        <v>2</v>
      </c>
      <c r="D139" t="s">
        <v>34</v>
      </c>
      <c r="H139" t="s">
        <v>418</v>
      </c>
      <c r="I139" s="1">
        <v>1.05</v>
      </c>
      <c r="J139" t="s">
        <v>424</v>
      </c>
      <c r="L139" t="s">
        <v>419</v>
      </c>
    </row>
    <row r="140" spans="1:12" x14ac:dyDescent="0.25">
      <c r="H140" t="s">
        <v>421</v>
      </c>
      <c r="I140" s="13">
        <v>0</v>
      </c>
      <c r="J140" t="s">
        <v>424</v>
      </c>
    </row>
    <row r="141" spans="1:12" x14ac:dyDescent="0.25">
      <c r="A141" t="s">
        <v>2</v>
      </c>
      <c r="D141" t="s">
        <v>18</v>
      </c>
      <c r="H141" t="s">
        <v>421</v>
      </c>
      <c r="I141" s="13">
        <v>-13.6</v>
      </c>
      <c r="J141" t="s">
        <v>424</v>
      </c>
      <c r="L141" t="s">
        <v>410</v>
      </c>
    </row>
    <row r="142" spans="1:12" x14ac:dyDescent="0.25">
      <c r="A142" s="97" t="s">
        <v>303</v>
      </c>
      <c r="B142" s="97"/>
      <c r="C142" s="97"/>
      <c r="D142" s="98"/>
      <c r="E142" s="98"/>
      <c r="F142" s="98"/>
      <c r="G142" s="98"/>
      <c r="H142" s="98"/>
      <c r="I142" s="99"/>
      <c r="J142" s="98"/>
      <c r="K142" s="98"/>
      <c r="L142" s="98"/>
    </row>
    <row r="143" spans="1:12" x14ac:dyDescent="0.25">
      <c r="A143" s="100" t="s">
        <v>304</v>
      </c>
      <c r="B143" s="100"/>
      <c r="C143" s="100"/>
      <c r="D143" s="101"/>
      <c r="E143" s="101"/>
      <c r="F143" s="101"/>
      <c r="G143" s="101"/>
      <c r="H143" s="101"/>
      <c r="I143" s="101"/>
      <c r="J143" s="101"/>
      <c r="K143" s="101"/>
      <c r="L143" s="101"/>
    </row>
    <row r="145" spans="1:12" x14ac:dyDescent="0.25">
      <c r="A145" s="94" t="s">
        <v>406</v>
      </c>
      <c r="B145" s="94"/>
      <c r="C145" s="94"/>
      <c r="D145" s="95"/>
      <c r="E145" s="95"/>
      <c r="F145" s="95"/>
      <c r="G145" s="95"/>
      <c r="H145" s="95"/>
      <c r="I145" s="95"/>
      <c r="J145" s="95" t="s">
        <v>327</v>
      </c>
      <c r="K145" s="95"/>
      <c r="L145" s="95"/>
    </row>
    <row r="146" spans="1:12" x14ac:dyDescent="0.25">
      <c r="H146" s="159" t="s">
        <v>326</v>
      </c>
      <c r="I146" s="159">
        <v>0</v>
      </c>
      <c r="J146" s="159"/>
      <c r="K146" s="159" t="s">
        <v>426</v>
      </c>
    </row>
    <row r="147" spans="1:12" x14ac:dyDescent="0.25">
      <c r="A147" s="97" t="s">
        <v>303</v>
      </c>
      <c r="B147" s="97"/>
      <c r="C147" s="97"/>
      <c r="D147" s="98"/>
      <c r="E147" s="98"/>
      <c r="F147" s="98"/>
      <c r="G147" s="98"/>
      <c r="H147" s="98"/>
      <c r="I147" s="99"/>
      <c r="J147" s="98"/>
      <c r="K147" s="98"/>
      <c r="L147" s="98"/>
    </row>
    <row r="148" spans="1:12" x14ac:dyDescent="0.25">
      <c r="A148" s="81" t="s">
        <v>74</v>
      </c>
      <c r="B148" s="48"/>
      <c r="C148" s="48"/>
      <c r="D148" s="49"/>
      <c r="E148" s="49"/>
      <c r="F148" s="49"/>
      <c r="G148" s="49"/>
      <c r="H148" s="49"/>
      <c r="I148" s="162"/>
      <c r="J148" s="49"/>
      <c r="K148" s="49"/>
      <c r="L148" s="49"/>
    </row>
    <row r="149" spans="1:12" x14ac:dyDescent="0.25">
      <c r="A149" s="159" t="s">
        <v>2</v>
      </c>
      <c r="B149" s="159"/>
      <c r="C149" s="159"/>
      <c r="D149" s="159" t="s">
        <v>18</v>
      </c>
      <c r="H149" s="159" t="s">
        <v>326</v>
      </c>
      <c r="I149" s="159">
        <v>0</v>
      </c>
      <c r="J149" s="159"/>
      <c r="K149" s="159" t="s">
        <v>426</v>
      </c>
    </row>
    <row r="150" spans="1:12" x14ac:dyDescent="0.25">
      <c r="A150" t="s">
        <v>2</v>
      </c>
      <c r="D150" t="s">
        <v>18</v>
      </c>
      <c r="E150" t="str">
        <f>Foderstater!U$63</f>
        <v>ley silage, 1st cut</v>
      </c>
      <c r="H150" t="s">
        <v>326</v>
      </c>
      <c r="I150" s="13">
        <f>INDEX(Foderstater!$X$63:$AI$100,MATCH(E150,Foderstater!$U$63:$U$100,0),MATCH(A150&amp;C150&amp;D150,Foderstater!$X$62:$AI$62,0))</f>
        <v>38.609681277854051</v>
      </c>
      <c r="J150" s="159"/>
      <c r="K150" s="159"/>
    </row>
    <row r="151" spans="1:12" x14ac:dyDescent="0.25">
      <c r="A151" t="s">
        <v>2</v>
      </c>
      <c r="D151" t="s">
        <v>18</v>
      </c>
      <c r="E151" t="str">
        <f>Foderstater!U$64</f>
        <v>ley silage, regrowth</v>
      </c>
      <c r="H151" t="s">
        <v>326</v>
      </c>
      <c r="I151" s="13">
        <f>INDEX(Foderstater!$X$63:$AI$100,MATCH(E151,Foderstater!$U$63:$U$100,0),MATCH(A151&amp;C151&amp;D151,Foderstater!$X$62:$AI$62,0))</f>
        <v>9.2377598080515053</v>
      </c>
      <c r="J151" s="159"/>
      <c r="K151" s="159"/>
    </row>
    <row r="152" spans="1:12" x14ac:dyDescent="0.25">
      <c r="A152" t="s">
        <v>2</v>
      </c>
      <c r="D152" t="s">
        <v>18</v>
      </c>
      <c r="E152" t="str">
        <f>Foderstater!U$65</f>
        <v>other silage</v>
      </c>
      <c r="H152" t="s">
        <v>326</v>
      </c>
      <c r="I152" s="13">
        <f>INDEX(Foderstater!$X$63:$AI$100,MATCH(E152,Foderstater!$U$63:$U$100,0),MATCH(A152&amp;C152&amp;D152,Foderstater!$X$62:$AI$62,0))</f>
        <v>0</v>
      </c>
      <c r="J152" s="159"/>
      <c r="K152" s="159"/>
    </row>
    <row r="153" spans="1:12" x14ac:dyDescent="0.25">
      <c r="A153" t="s">
        <v>2</v>
      </c>
      <c r="D153" t="s">
        <v>18</v>
      </c>
      <c r="E153" t="str">
        <f>Foderstater!U$66</f>
        <v>maize silage</v>
      </c>
      <c r="H153" t="s">
        <v>326</v>
      </c>
      <c r="I153" s="13">
        <f>INDEX(Foderstater!$X$63:$AI$100,MATCH(E153,Foderstater!$U$63:$U$100,0),MATCH(A153&amp;C153&amp;D153,Foderstater!$X$62:$AI$62,0))</f>
        <v>0</v>
      </c>
      <c r="J153" s="159"/>
      <c r="K153" s="159"/>
    </row>
    <row r="154" spans="1:12" x14ac:dyDescent="0.25">
      <c r="A154" t="s">
        <v>2</v>
      </c>
      <c r="D154" t="s">
        <v>18</v>
      </c>
      <c r="E154" t="str">
        <f>Foderstater!U$67</f>
        <v>straw</v>
      </c>
      <c r="H154" t="s">
        <v>326</v>
      </c>
      <c r="I154" s="13">
        <f>INDEX(Foderstater!$X$63:$AI$100,MATCH(E154,Foderstater!$U$63:$U$100,0),MATCH(A154&amp;C154&amp;D154,Foderstater!$X$62:$AI$62,0))</f>
        <v>3.1679738484393072</v>
      </c>
      <c r="J154" s="159"/>
      <c r="K154" s="159"/>
    </row>
    <row r="155" spans="1:12" x14ac:dyDescent="0.25">
      <c r="A155" t="s">
        <v>2</v>
      </c>
      <c r="D155" t="s">
        <v>18</v>
      </c>
      <c r="E155" t="str">
        <f>Foderstater!U$68</f>
        <v>grazing</v>
      </c>
      <c r="H155" t="s">
        <v>326</v>
      </c>
      <c r="I155" s="13">
        <f>INDEX(Foderstater!$X$63:$AI$100,MATCH(E155,Foderstater!$U$63:$U$100,0),MATCH(A155&amp;C155&amp;D155,Foderstater!$X$62:$AI$62,0))</f>
        <v>10.166080013639251</v>
      </c>
      <c r="J155" s="159"/>
      <c r="K155" s="159"/>
    </row>
    <row r="156" spans="1:12" x14ac:dyDescent="0.25">
      <c r="A156" t="s">
        <v>2</v>
      </c>
      <c r="D156" t="s">
        <v>18</v>
      </c>
      <c r="E156" t="str">
        <f>Foderstater!U$69</f>
        <v>wheat</v>
      </c>
      <c r="H156" t="s">
        <v>326</v>
      </c>
      <c r="I156" s="13">
        <f>INDEX(Foderstater!$X$63:$AI$100,MATCH(E156,Foderstater!$U$63:$U$100,0),MATCH(A156&amp;C156&amp;D156,Foderstater!$X$62:$AI$62,0))</f>
        <v>6.1497391870569844</v>
      </c>
      <c r="J156" s="159"/>
      <c r="K156" s="159"/>
    </row>
    <row r="157" spans="1:12" x14ac:dyDescent="0.25">
      <c r="A157" t="s">
        <v>2</v>
      </c>
      <c r="D157" t="s">
        <v>18</v>
      </c>
      <c r="E157" t="str">
        <f>Foderstater!U$70</f>
        <v>barley</v>
      </c>
      <c r="H157" t="s">
        <v>326</v>
      </c>
      <c r="I157" s="13">
        <f>INDEX(Foderstater!$X$63:$AI$100,MATCH(E157,Foderstater!$U$63:$U$100,0),MATCH(A157&amp;C157&amp;D157,Foderstater!$X$62:$AI$62,0))</f>
        <v>11.290606059990822</v>
      </c>
      <c r="J157" s="159"/>
      <c r="K157" s="159"/>
    </row>
    <row r="158" spans="1:12" x14ac:dyDescent="0.25">
      <c r="A158" t="s">
        <v>2</v>
      </c>
      <c r="D158" t="s">
        <v>18</v>
      </c>
      <c r="E158" t="str">
        <f>Foderstater!U$71</f>
        <v>oats</v>
      </c>
      <c r="H158" t="s">
        <v>326</v>
      </c>
      <c r="I158" s="13">
        <f>INDEX(Foderstater!$X$63:$AI$100,MATCH(E158,Foderstater!$U$63:$U$100,0),MATCH(A158&amp;C158&amp;D158,Foderstater!$X$62:$AI$62,0))</f>
        <v>2.5305995086863016</v>
      </c>
      <c r="J158" s="159"/>
      <c r="K158" s="159"/>
    </row>
    <row r="159" spans="1:12" x14ac:dyDescent="0.25">
      <c r="A159" t="s">
        <v>2</v>
      </c>
      <c r="D159" t="s">
        <v>18</v>
      </c>
      <c r="E159" t="str">
        <f>Foderstater!U$72</f>
        <v>triticale</v>
      </c>
      <c r="H159" t="s">
        <v>326</v>
      </c>
      <c r="I159" s="13">
        <f>INDEX(Foderstater!$X$63:$AI$100,MATCH(E159,Foderstater!$U$63:$U$100,0),MATCH(A159&amp;C159&amp;D159,Foderstater!$X$62:$AI$62,0))</f>
        <v>3.9696382637077976</v>
      </c>
      <c r="J159" s="159"/>
      <c r="K159" s="159"/>
    </row>
    <row r="160" spans="1:12" x14ac:dyDescent="0.25">
      <c r="A160" t="s">
        <v>2</v>
      </c>
      <c r="D160" t="s">
        <v>18</v>
      </c>
      <c r="E160" t="str">
        <f>Foderstater!U$73</f>
        <v>rye</v>
      </c>
      <c r="H160" t="s">
        <v>326</v>
      </c>
      <c r="I160" s="13">
        <f>INDEX(Foderstater!$X$63:$AI$100,MATCH(E160,Foderstater!$U$63:$U$100,0),MATCH(A160&amp;C160&amp;D160,Foderstater!$X$62:$AI$62,0))</f>
        <v>1.1272622080408017E-2</v>
      </c>
      <c r="J160" s="159"/>
      <c r="K160" s="159"/>
    </row>
    <row r="161" spans="1:11" x14ac:dyDescent="0.25">
      <c r="A161" t="s">
        <v>2</v>
      </c>
      <c r="D161" t="s">
        <v>18</v>
      </c>
      <c r="E161" t="str">
        <f>Foderstater!U$74</f>
        <v>maize</v>
      </c>
      <c r="H161" t="s">
        <v>326</v>
      </c>
      <c r="I161" s="13">
        <f>INDEX(Foderstater!$X$63:$AI$100,MATCH(E161,Foderstater!$U$63:$U$100,0),MATCH(A161&amp;C161&amp;D161,Foderstater!$X$62:$AI$62,0))</f>
        <v>0.39798335104430993</v>
      </c>
      <c r="J161" s="159"/>
      <c r="K161" s="159"/>
    </row>
    <row r="162" spans="1:11" x14ac:dyDescent="0.25">
      <c r="A162" t="s">
        <v>2</v>
      </c>
      <c r="D162" t="s">
        <v>18</v>
      </c>
      <c r="E162" t="str">
        <f>Foderstater!U$75</f>
        <v>peas</v>
      </c>
      <c r="H162" t="s">
        <v>326</v>
      </c>
      <c r="I162" s="13">
        <f>INDEX(Foderstater!$X$63:$AI$100,MATCH(E162,Foderstater!$U$63:$U$100,0),MATCH(A162&amp;C162&amp;D162,Foderstater!$X$62:$AI$62,0))</f>
        <v>6.2198540886316538E-2</v>
      </c>
      <c r="J162" s="159"/>
      <c r="K162" s="159"/>
    </row>
    <row r="163" spans="1:11" x14ac:dyDescent="0.25">
      <c r="A163" t="s">
        <v>2</v>
      </c>
      <c r="D163" t="s">
        <v>18</v>
      </c>
      <c r="E163" t="str">
        <f>Foderstater!U$76</f>
        <v>broad beans</v>
      </c>
      <c r="H163" t="s">
        <v>326</v>
      </c>
      <c r="I163" s="13">
        <f>INDEX(Foderstater!$X$63:$AI$100,MATCH(E163,Foderstater!$U$63:$U$100,0),MATCH(A163&amp;C163&amp;D163,Foderstater!$X$62:$AI$62,0))</f>
        <v>0.21373263842786655</v>
      </c>
      <c r="J163" s="159"/>
      <c r="K163" s="159"/>
    </row>
    <row r="164" spans="1:11" x14ac:dyDescent="0.25">
      <c r="A164" t="s">
        <v>2</v>
      </c>
      <c r="D164" t="s">
        <v>18</v>
      </c>
      <c r="E164" t="str">
        <f>Foderstater!U$77</f>
        <v>rapeseed</v>
      </c>
      <c r="H164" t="s">
        <v>326</v>
      </c>
      <c r="I164" s="13">
        <f>INDEX(Foderstater!$X$63:$AI$100,MATCH(E164,Foderstater!$U$63:$U$100,0),MATCH(A164&amp;C164&amp;D164,Foderstater!$X$62:$AI$62,0))</f>
        <v>3.3834826631664936</v>
      </c>
      <c r="J164" s="159"/>
      <c r="K164" s="159"/>
    </row>
    <row r="165" spans="1:11" x14ac:dyDescent="0.25">
      <c r="A165" t="s">
        <v>2</v>
      </c>
      <c r="D165" t="s">
        <v>18</v>
      </c>
      <c r="E165" t="str">
        <f>Foderstater!U$78</f>
        <v>linseed</v>
      </c>
      <c r="H165" t="s">
        <v>326</v>
      </c>
      <c r="I165" s="13">
        <f>INDEX(Foderstater!$X$63:$AI$100,MATCH(E165,Foderstater!$U$63:$U$100,0),MATCH(A165&amp;C165&amp;D165,Foderstater!$X$62:$AI$62,0))</f>
        <v>2.4958557242137649E-3</v>
      </c>
      <c r="J165" s="159"/>
      <c r="K165" s="159"/>
    </row>
    <row r="166" spans="1:11" x14ac:dyDescent="0.25">
      <c r="A166" t="s">
        <v>2</v>
      </c>
      <c r="D166" t="s">
        <v>18</v>
      </c>
      <c r="E166" t="str">
        <f>Foderstater!U$79</f>
        <v>vegetable oils</v>
      </c>
      <c r="H166" t="s">
        <v>326</v>
      </c>
      <c r="I166" s="13">
        <f>INDEX(Foderstater!$X$63:$AI$100,MATCH(E166,Foderstater!$U$63:$U$100,0),MATCH(A166&amp;C166&amp;D166,Foderstater!$X$62:$AI$62,0))</f>
        <v>6.4435354702415792E-2</v>
      </c>
      <c r="J166" s="159"/>
      <c r="K166" s="159"/>
    </row>
    <row r="167" spans="1:11" x14ac:dyDescent="0.25">
      <c r="A167" t="s">
        <v>2</v>
      </c>
      <c r="D167" t="s">
        <v>18</v>
      </c>
      <c r="E167" t="str">
        <f>Foderstater!U$80</f>
        <v>soybeans</v>
      </c>
      <c r="H167" t="s">
        <v>326</v>
      </c>
      <c r="I167" s="13">
        <f>INDEX(Foderstater!$X$63:$AI$100,MATCH(E167,Foderstater!$U$63:$U$100,0),MATCH(A167&amp;C167&amp;D167,Foderstater!$X$62:$AI$62,0))</f>
        <v>6.2968191575980506E-2</v>
      </c>
      <c r="J167" s="159"/>
      <c r="K167" s="159"/>
    </row>
    <row r="168" spans="1:11" x14ac:dyDescent="0.25">
      <c r="A168" t="s">
        <v>2</v>
      </c>
      <c r="D168" t="s">
        <v>18</v>
      </c>
      <c r="E168" t="str">
        <f>Foderstater!U$81</f>
        <v>soybean meal</v>
      </c>
      <c r="H168" t="s">
        <v>326</v>
      </c>
      <c r="I168" s="13">
        <f>INDEX(Foderstater!$X$63:$AI$100,MATCH(E168,Foderstater!$U$63:$U$100,0),MATCH(A168&amp;C168&amp;D168,Foderstater!$X$62:$AI$62,0))</f>
        <v>0.57519106653391427</v>
      </c>
      <c r="J168" s="159"/>
      <c r="K168" s="159"/>
    </row>
    <row r="169" spans="1:11" x14ac:dyDescent="0.25">
      <c r="A169" t="s">
        <v>2</v>
      </c>
      <c r="D169" t="s">
        <v>18</v>
      </c>
      <c r="E169" t="str">
        <f>Foderstater!U$82</f>
        <v>soybean protein concentrate</v>
      </c>
      <c r="H169" t="s">
        <v>326</v>
      </c>
      <c r="I169" s="13">
        <f>INDEX(Foderstater!$X$63:$AI$100,MATCH(E169,Foderstater!$U$63:$U$100,0),MATCH(A169&amp;C169&amp;D169,Foderstater!$X$62:$AI$62,0))</f>
        <v>0</v>
      </c>
      <c r="J169" s="159"/>
      <c r="K169" s="159"/>
    </row>
    <row r="170" spans="1:11" x14ac:dyDescent="0.25">
      <c r="A170" t="s">
        <v>2</v>
      </c>
      <c r="D170" t="s">
        <v>18</v>
      </c>
      <c r="E170" t="str">
        <f>Foderstater!U$83</f>
        <v>rapeseed meal</v>
      </c>
      <c r="H170" t="s">
        <v>326</v>
      </c>
      <c r="I170" s="13">
        <f>INDEX(Foderstater!$X$63:$AI$100,MATCH(E170,Foderstater!$U$63:$U$100,0),MATCH(A170&amp;C170&amp;D170,Foderstater!$X$62:$AI$62,0))</f>
        <v>4.4425645420347344</v>
      </c>
      <c r="J170" s="159"/>
      <c r="K170" s="159"/>
    </row>
    <row r="171" spans="1:11" x14ac:dyDescent="0.25">
      <c r="A171" t="s">
        <v>2</v>
      </c>
      <c r="D171" t="s">
        <v>18</v>
      </c>
      <c r="E171" t="str">
        <f>Foderstater!U$84</f>
        <v>sunflower seed meal</v>
      </c>
      <c r="H171" t="s">
        <v>326</v>
      </c>
      <c r="I171" s="13">
        <f>INDEX(Foderstater!$X$63:$AI$100,MATCH(E171,Foderstater!$U$63:$U$100,0),MATCH(A171&amp;C171&amp;D171,Foderstater!$X$62:$AI$62,0))</f>
        <v>6.136972904857535E-2</v>
      </c>
    </row>
    <row r="172" spans="1:11" x14ac:dyDescent="0.25">
      <c r="A172" t="s">
        <v>2</v>
      </c>
      <c r="D172" t="s">
        <v>18</v>
      </c>
      <c r="E172" t="str">
        <f>Foderstater!U$85</f>
        <v>palm kernel expeller</v>
      </c>
      <c r="H172" t="s">
        <v>326</v>
      </c>
      <c r="I172" s="13">
        <f>INDEX(Foderstater!$X$63:$AI$100,MATCH(E172,Foderstater!$U$63:$U$100,0),MATCH(A172&amp;C172&amp;D172,Foderstater!$X$62:$AI$62,0))</f>
        <v>0.39877553799094467</v>
      </c>
    </row>
    <row r="173" spans="1:11" x14ac:dyDescent="0.25">
      <c r="A173" t="s">
        <v>2</v>
      </c>
      <c r="D173" t="s">
        <v>18</v>
      </c>
      <c r="E173" t="str">
        <f>Foderstater!U$86</f>
        <v>luzern meal</v>
      </c>
      <c r="H173" t="s">
        <v>326</v>
      </c>
      <c r="I173" s="13">
        <f>INDEX(Foderstater!$X$63:$AI$100,MATCH(E173,Foderstater!$U$63:$U$100,0),MATCH(A173&amp;C173&amp;D173,Foderstater!$X$62:$AI$62,0))</f>
        <v>0.12130313990935594</v>
      </c>
    </row>
    <row r="174" spans="1:11" x14ac:dyDescent="0.25">
      <c r="A174" t="s">
        <v>2</v>
      </c>
      <c r="D174" t="s">
        <v>18</v>
      </c>
      <c r="E174" t="str">
        <f>Foderstater!U$87</f>
        <v>wheat bran</v>
      </c>
      <c r="H174" t="s">
        <v>326</v>
      </c>
      <c r="I174" s="13">
        <f>INDEX(Foderstater!$X$63:$AI$100,MATCH(E174,Foderstater!$U$63:$U$100,0),MATCH(A174&amp;C174&amp;D174,Foderstater!$X$62:$AI$62,0))</f>
        <v>1.321614002942858</v>
      </c>
    </row>
    <row r="175" spans="1:11" x14ac:dyDescent="0.25">
      <c r="A175" t="s">
        <v>2</v>
      </c>
      <c r="D175" t="s">
        <v>18</v>
      </c>
      <c r="E175" t="str">
        <f>Foderstater!U$88</f>
        <v>wheat bran, fine</v>
      </c>
      <c r="H175" t="s">
        <v>326</v>
      </c>
      <c r="I175" s="13">
        <f>INDEX(Foderstater!$X$63:$AI$100,MATCH(E175,Foderstater!$U$63:$U$100,0),MATCH(A175&amp;C175&amp;D175,Foderstater!$X$62:$AI$62,0))</f>
        <v>3.4645257386917328E-3</v>
      </c>
    </row>
    <row r="176" spans="1:11" x14ac:dyDescent="0.25">
      <c r="A176" t="s">
        <v>2</v>
      </c>
      <c r="D176" t="s">
        <v>18</v>
      </c>
      <c r="E176" t="str">
        <f>Foderstater!U$89</f>
        <v>oat hulls</v>
      </c>
      <c r="H176" t="s">
        <v>326</v>
      </c>
      <c r="I176" s="13">
        <f>INDEX(Foderstater!$X$63:$AI$100,MATCH(E176,Foderstater!$U$63:$U$100,0),MATCH(A176&amp;C176&amp;D176,Foderstater!$X$62:$AI$62,0))</f>
        <v>0.15917555594859789</v>
      </c>
    </row>
    <row r="177" spans="1:11" x14ac:dyDescent="0.25">
      <c r="A177" t="s">
        <v>2</v>
      </c>
      <c r="D177" t="s">
        <v>18</v>
      </c>
      <c r="E177" t="str">
        <f>Foderstater!U$90</f>
        <v>oat bran</v>
      </c>
      <c r="H177" t="s">
        <v>326</v>
      </c>
      <c r="I177" s="13">
        <f>INDEX(Foderstater!$X$63:$AI$100,MATCH(E177,Foderstater!$U$63:$U$100,0),MATCH(A177&amp;C177&amp;D177,Foderstater!$X$62:$AI$62,0))</f>
        <v>1.7964759181842063E-2</v>
      </c>
    </row>
    <row r="178" spans="1:11" x14ac:dyDescent="0.25">
      <c r="A178" t="s">
        <v>2</v>
      </c>
      <c r="D178" t="s">
        <v>18</v>
      </c>
      <c r="E178" t="str">
        <f>Foderstater!U$91</f>
        <v>rye bran</v>
      </c>
      <c r="H178" t="s">
        <v>326</v>
      </c>
      <c r="I178" s="13">
        <f>INDEX(Foderstater!$X$63:$AI$100,MATCH(E178,Foderstater!$U$63:$U$100,0),MATCH(A178&amp;C178&amp;D178,Foderstater!$X$62:$AI$62,0))</f>
        <v>5.5403512056737859E-2</v>
      </c>
    </row>
    <row r="179" spans="1:11" x14ac:dyDescent="0.25">
      <c r="A179" t="s">
        <v>2</v>
      </c>
      <c r="D179" t="s">
        <v>18</v>
      </c>
      <c r="E179" t="str">
        <f>Foderstater!U$92</f>
        <v>wheat distillers grain, dry</v>
      </c>
      <c r="H179" t="s">
        <v>326</v>
      </c>
      <c r="I179" s="13">
        <f>INDEX(Foderstater!$X$63:$AI$100,MATCH(E179,Foderstater!$U$63:$U$100,0),MATCH(A179&amp;C179&amp;D179,Foderstater!$X$62:$AI$62,0))</f>
        <v>1.4206094996744831</v>
      </c>
    </row>
    <row r="180" spans="1:11" x14ac:dyDescent="0.25">
      <c r="A180" t="s">
        <v>2</v>
      </c>
      <c r="D180" t="s">
        <v>18</v>
      </c>
      <c r="E180" t="str">
        <f>Foderstater!U$93</f>
        <v>barley brewers grain</v>
      </c>
      <c r="H180" t="s">
        <v>326</v>
      </c>
      <c r="I180" s="13">
        <f>INDEX(Foderstater!$X$63:$AI$100,MATCH(E180,Foderstater!$U$63:$U$100,0),MATCH(A180&amp;C180&amp;D180,Foderstater!$X$62:$AI$62,0))</f>
        <v>0</v>
      </c>
    </row>
    <row r="181" spans="1:11" x14ac:dyDescent="0.25">
      <c r="A181" t="s">
        <v>2</v>
      </c>
      <c r="D181" t="s">
        <v>18</v>
      </c>
      <c r="E181" t="str">
        <f>Foderstater!U$94</f>
        <v>maize gluten meal</v>
      </c>
      <c r="H181" t="s">
        <v>326</v>
      </c>
      <c r="I181" s="13">
        <f>INDEX(Foderstater!$X$63:$AI$100,MATCH(E181,Foderstater!$U$63:$U$100,0),MATCH(A181&amp;C181&amp;D181,Foderstater!$X$62:$AI$62,0))</f>
        <v>4.2926359235494246E-2</v>
      </c>
    </row>
    <row r="182" spans="1:11" x14ac:dyDescent="0.25">
      <c r="A182" t="s">
        <v>2</v>
      </c>
      <c r="D182" t="s">
        <v>18</v>
      </c>
      <c r="E182" t="str">
        <f>Foderstater!U$95</f>
        <v>sugar beet molasses</v>
      </c>
      <c r="H182" t="s">
        <v>326</v>
      </c>
      <c r="I182" s="13">
        <f>INDEX(Foderstater!$X$63:$AI$100,MATCH(E182,Foderstater!$U$63:$U$100,0),MATCH(A182&amp;C182&amp;D182,Foderstater!$X$62:$AI$62,0))</f>
        <v>0.47602729121024218</v>
      </c>
    </row>
    <row r="183" spans="1:11" x14ac:dyDescent="0.25">
      <c r="A183" t="s">
        <v>2</v>
      </c>
      <c r="D183" t="s">
        <v>18</v>
      </c>
      <c r="E183" t="str">
        <f>Foderstater!U$96</f>
        <v>sugar beet pulp</v>
      </c>
      <c r="H183" t="s">
        <v>326</v>
      </c>
      <c r="I183" s="13">
        <f>INDEX(Foderstater!$X$63:$AI$100,MATCH(E183,Foderstater!$U$63:$U$100,0),MATCH(A183&amp;C183&amp;D183,Foderstater!$X$62:$AI$62,0))</f>
        <v>0.91853231005300495</v>
      </c>
    </row>
    <row r="184" spans="1:11" x14ac:dyDescent="0.25">
      <c r="A184" t="s">
        <v>2</v>
      </c>
      <c r="D184" t="s">
        <v>18</v>
      </c>
      <c r="E184" t="str">
        <f>Foderstater!U$97</f>
        <v>whey powder</v>
      </c>
      <c r="H184" t="s">
        <v>326</v>
      </c>
      <c r="I184" s="13">
        <f>INDEX(Foderstater!$X$63:$AI$100,MATCH(E184,Foderstater!$U$63:$U$100,0),MATCH(A184&amp;C184&amp;D184,Foderstater!$X$62:$AI$62,0))</f>
        <v>0</v>
      </c>
    </row>
    <row r="185" spans="1:11" x14ac:dyDescent="0.25">
      <c r="A185" t="s">
        <v>2</v>
      </c>
      <c r="D185" t="s">
        <v>18</v>
      </c>
      <c r="E185" t="str">
        <f>Foderstater!U$98</f>
        <v>potatoe protein</v>
      </c>
      <c r="H185" t="s">
        <v>326</v>
      </c>
      <c r="I185" s="13">
        <f>INDEX(Foderstater!$X$63:$AI$100,MATCH(E185,Foderstater!$U$63:$U$100,0),MATCH(A185&amp;C185&amp;D185,Foderstater!$X$62:$AI$62,0))</f>
        <v>4.2052766660258274E-3</v>
      </c>
    </row>
    <row r="186" spans="1:11" x14ac:dyDescent="0.25">
      <c r="A186" t="s">
        <v>2</v>
      </c>
      <c r="D186" t="s">
        <v>18</v>
      </c>
      <c r="E186" t="str">
        <f>Foderstater!U$99</f>
        <v>fish meal</v>
      </c>
      <c r="H186" t="s">
        <v>326</v>
      </c>
      <c r="I186" s="13">
        <f>INDEX(Foderstater!$X$63:$AI$100,MATCH(E186,Foderstater!$U$63:$U$100,0),MATCH(A186&amp;C186&amp;D186,Foderstater!$X$62:$AI$62,0))</f>
        <v>0</v>
      </c>
    </row>
    <row r="187" spans="1:11" x14ac:dyDescent="0.25">
      <c r="A187" t="s">
        <v>2</v>
      </c>
      <c r="D187" t="s">
        <v>18</v>
      </c>
      <c r="E187" t="str">
        <f>Foderstater!U$100</f>
        <v>minerals</v>
      </c>
      <c r="H187" t="s">
        <v>326</v>
      </c>
      <c r="I187" s="13">
        <f>INDEX(Foderstater!$X$63:$AI$100,MATCH(E187,Foderstater!$U$63:$U$100,0),MATCH(A187&amp;C187&amp;D187,Foderstater!$X$62:$AI$62,0))</f>
        <v>0.66022570674046432</v>
      </c>
    </row>
    <row r="189" spans="1:11" x14ac:dyDescent="0.25">
      <c r="A189" s="159" t="s">
        <v>2</v>
      </c>
      <c r="B189" s="159" t="s">
        <v>1</v>
      </c>
      <c r="C189" s="159" t="s">
        <v>432</v>
      </c>
      <c r="D189" s="159" t="s">
        <v>18</v>
      </c>
      <c r="H189" s="159" t="s">
        <v>326</v>
      </c>
      <c r="I189" s="159">
        <v>0</v>
      </c>
      <c r="J189" s="159"/>
      <c r="K189" s="159" t="s">
        <v>426</v>
      </c>
    </row>
    <row r="190" spans="1:11" x14ac:dyDescent="0.25">
      <c r="A190" t="s">
        <v>2</v>
      </c>
      <c r="B190" t="s">
        <v>1</v>
      </c>
      <c r="C190" t="s">
        <v>432</v>
      </c>
      <c r="D190" t="s">
        <v>18</v>
      </c>
      <c r="E190" t="str">
        <f>Foderstater!U$63</f>
        <v>ley silage, 1st cut</v>
      </c>
      <c r="H190" t="s">
        <v>326</v>
      </c>
      <c r="I190" s="13">
        <f>INDEX(Foderstater!$X$63:$AI$100,MATCH(E190,Foderstater!$U$63:$U$100,0),MATCH(A190&amp;C190&amp;D190,Foderstater!$X$62:$AI$62,0))</f>
        <v>20.561419371957058</v>
      </c>
      <c r="J190" s="159"/>
      <c r="K190" s="159"/>
    </row>
    <row r="191" spans="1:11" x14ac:dyDescent="0.25">
      <c r="A191" t="s">
        <v>2</v>
      </c>
      <c r="B191" t="s">
        <v>1</v>
      </c>
      <c r="C191" t="s">
        <v>432</v>
      </c>
      <c r="D191" t="s">
        <v>18</v>
      </c>
      <c r="E191" t="str">
        <f>Foderstater!U$64</f>
        <v>ley silage, regrowth</v>
      </c>
      <c r="H191" t="s">
        <v>326</v>
      </c>
      <c r="I191" s="13">
        <f>INDEX(Foderstater!$X$63:$AI$100,MATCH(E191,Foderstater!$U$63:$U$100,0),MATCH(A191&amp;C191&amp;D191,Foderstater!$X$62:$AI$62,0))</f>
        <v>9.5364207102254017</v>
      </c>
      <c r="J191" s="159"/>
      <c r="K191" s="159"/>
    </row>
    <row r="192" spans="1:11" x14ac:dyDescent="0.25">
      <c r="A192" t="s">
        <v>2</v>
      </c>
      <c r="B192" t="s">
        <v>1</v>
      </c>
      <c r="C192" t="s">
        <v>432</v>
      </c>
      <c r="D192" t="s">
        <v>18</v>
      </c>
      <c r="E192" t="str">
        <f>Foderstater!U$65</f>
        <v>other silage</v>
      </c>
      <c r="H192" t="s">
        <v>326</v>
      </c>
      <c r="I192" s="13">
        <f>INDEX(Foderstater!$X$63:$AI$100,MATCH(E192,Foderstater!$U$63:$U$100,0),MATCH(A192&amp;C192&amp;D192,Foderstater!$X$62:$AI$62,0))</f>
        <v>0</v>
      </c>
      <c r="J192" s="159"/>
      <c r="K192" s="159"/>
    </row>
    <row r="193" spans="1:11" x14ac:dyDescent="0.25">
      <c r="A193" t="s">
        <v>2</v>
      </c>
      <c r="B193" t="s">
        <v>1</v>
      </c>
      <c r="C193" t="s">
        <v>432</v>
      </c>
      <c r="D193" t="s">
        <v>18</v>
      </c>
      <c r="E193" t="str">
        <f>Foderstater!U$66</f>
        <v>maize silage</v>
      </c>
      <c r="H193" t="s">
        <v>326</v>
      </c>
      <c r="I193" s="13">
        <f>INDEX(Foderstater!$X$63:$AI$100,MATCH(E193,Foderstater!$U$63:$U$100,0),MATCH(A193&amp;C193&amp;D193,Foderstater!$X$62:$AI$62,0))</f>
        <v>15.876048855936714</v>
      </c>
      <c r="J193" s="159"/>
      <c r="K193" s="159"/>
    </row>
    <row r="194" spans="1:11" x14ac:dyDescent="0.25">
      <c r="A194" t="s">
        <v>2</v>
      </c>
      <c r="B194" t="s">
        <v>1</v>
      </c>
      <c r="C194" t="s">
        <v>432</v>
      </c>
      <c r="D194" t="s">
        <v>18</v>
      </c>
      <c r="E194" t="str">
        <f>Foderstater!U$67</f>
        <v>straw</v>
      </c>
      <c r="H194" t="s">
        <v>326</v>
      </c>
      <c r="I194" s="13">
        <f>INDEX(Foderstater!$X$63:$AI$100,MATCH(E194,Foderstater!$U$63:$U$100,0),MATCH(A194&amp;C194&amp;D194,Foderstater!$X$62:$AI$62,0))</f>
        <v>3.0977656304266756</v>
      </c>
      <c r="J194" s="159"/>
      <c r="K194" s="159"/>
    </row>
    <row r="195" spans="1:11" x14ac:dyDescent="0.25">
      <c r="A195" t="s">
        <v>2</v>
      </c>
      <c r="B195" t="s">
        <v>1</v>
      </c>
      <c r="C195" t="s">
        <v>432</v>
      </c>
      <c r="D195" t="s">
        <v>18</v>
      </c>
      <c r="E195" t="str">
        <f>Foderstater!U$68</f>
        <v>grazing</v>
      </c>
      <c r="H195" t="s">
        <v>326</v>
      </c>
      <c r="I195" s="13">
        <f>INDEX(Foderstater!$X$63:$AI$100,MATCH(E195,Foderstater!$U$63:$U$100,0),MATCH(A195&amp;C195&amp;D195,Foderstater!$X$62:$AI$62,0))</f>
        <v>9.9407806910823222</v>
      </c>
      <c r="J195" s="159"/>
      <c r="K195" s="159"/>
    </row>
    <row r="196" spans="1:11" x14ac:dyDescent="0.25">
      <c r="A196" t="s">
        <v>2</v>
      </c>
      <c r="B196" t="s">
        <v>1</v>
      </c>
      <c r="C196" t="s">
        <v>432</v>
      </c>
      <c r="D196" t="s">
        <v>18</v>
      </c>
      <c r="E196" t="str">
        <f>Foderstater!U$69</f>
        <v>wheat</v>
      </c>
      <c r="H196" t="s">
        <v>326</v>
      </c>
      <c r="I196" s="13">
        <f>INDEX(Foderstater!$X$63:$AI$100,MATCH(E196,Foderstater!$U$63:$U$100,0),MATCH(A196&amp;C196&amp;D196,Foderstater!$X$62:$AI$62,0))</f>
        <v>5.0974881237730667</v>
      </c>
      <c r="J196" s="159"/>
      <c r="K196" s="159"/>
    </row>
    <row r="197" spans="1:11" x14ac:dyDescent="0.25">
      <c r="A197" t="s">
        <v>2</v>
      </c>
      <c r="B197" t="s">
        <v>1</v>
      </c>
      <c r="C197" t="s">
        <v>432</v>
      </c>
      <c r="D197" t="s">
        <v>18</v>
      </c>
      <c r="E197" t="str">
        <f>Foderstater!U$70</f>
        <v>barley</v>
      </c>
      <c r="H197" t="s">
        <v>326</v>
      </c>
      <c r="I197" s="13">
        <f>INDEX(Foderstater!$X$63:$AI$100,MATCH(E197,Foderstater!$U$63:$U$100,0),MATCH(A197&amp;C197&amp;D197,Foderstater!$X$62:$AI$62,0))</f>
        <v>8.404170018075888</v>
      </c>
      <c r="J197" s="159"/>
      <c r="K197" s="159"/>
    </row>
    <row r="198" spans="1:11" x14ac:dyDescent="0.25">
      <c r="A198" t="s">
        <v>2</v>
      </c>
      <c r="B198" t="s">
        <v>1</v>
      </c>
      <c r="C198" t="s">
        <v>432</v>
      </c>
      <c r="D198" t="s">
        <v>18</v>
      </c>
      <c r="E198" t="str">
        <f>Foderstater!U$71</f>
        <v>oats</v>
      </c>
      <c r="H198" t="s">
        <v>326</v>
      </c>
      <c r="I198" s="13">
        <f>INDEX(Foderstater!$X$63:$AI$100,MATCH(E198,Foderstater!$U$63:$U$100,0),MATCH(A198&amp;C198&amp;D198,Foderstater!$X$62:$AI$62,0))</f>
        <v>2.0416884227683041</v>
      </c>
      <c r="J198" s="159"/>
      <c r="K198" s="159"/>
    </row>
    <row r="199" spans="1:11" x14ac:dyDescent="0.25">
      <c r="A199" t="s">
        <v>2</v>
      </c>
      <c r="B199" t="s">
        <v>1</v>
      </c>
      <c r="C199" t="s">
        <v>432</v>
      </c>
      <c r="D199" t="s">
        <v>18</v>
      </c>
      <c r="E199" t="str">
        <f>Foderstater!U$72</f>
        <v>triticale</v>
      </c>
      <c r="H199" t="s">
        <v>326</v>
      </c>
      <c r="I199" s="13">
        <f>INDEX(Foderstater!$X$63:$AI$100,MATCH(E199,Foderstater!$U$63:$U$100,0),MATCH(A199&amp;C199&amp;D199,Foderstater!$X$62:$AI$62,0))</f>
        <v>2.6355687688154275</v>
      </c>
      <c r="J199" s="159"/>
      <c r="K199" s="159"/>
    </row>
    <row r="200" spans="1:11" x14ac:dyDescent="0.25">
      <c r="A200" t="s">
        <v>2</v>
      </c>
      <c r="B200" t="s">
        <v>1</v>
      </c>
      <c r="C200" t="s">
        <v>432</v>
      </c>
      <c r="D200" t="s">
        <v>18</v>
      </c>
      <c r="E200" t="str">
        <f>Foderstater!U$73</f>
        <v>rye</v>
      </c>
      <c r="H200" t="s">
        <v>326</v>
      </c>
      <c r="I200" s="13">
        <f>INDEX(Foderstater!$X$63:$AI$100,MATCH(E200,Foderstater!$U$63:$U$100,0),MATCH(A200&amp;C200&amp;D200,Foderstater!$X$62:$AI$62,0))</f>
        <v>1.7420276725880934E-2</v>
      </c>
      <c r="J200" s="159"/>
      <c r="K200" s="159"/>
    </row>
    <row r="201" spans="1:11" x14ac:dyDescent="0.25">
      <c r="A201" t="s">
        <v>2</v>
      </c>
      <c r="B201" t="s">
        <v>1</v>
      </c>
      <c r="C201" t="s">
        <v>432</v>
      </c>
      <c r="D201" t="s">
        <v>18</v>
      </c>
      <c r="E201" t="str">
        <f>Foderstater!U$74</f>
        <v>maize</v>
      </c>
      <c r="H201" t="s">
        <v>326</v>
      </c>
      <c r="I201" s="13">
        <f>INDEX(Foderstater!$X$63:$AI$100,MATCH(E201,Foderstater!$U$63:$U$100,0),MATCH(A201&amp;C201&amp;D201,Foderstater!$X$62:$AI$62,0))</f>
        <v>0.6150281680723525</v>
      </c>
      <c r="J201" s="159"/>
      <c r="K201" s="159"/>
    </row>
    <row r="202" spans="1:11" x14ac:dyDescent="0.25">
      <c r="A202" t="s">
        <v>2</v>
      </c>
      <c r="B202" t="s">
        <v>1</v>
      </c>
      <c r="C202" t="s">
        <v>432</v>
      </c>
      <c r="D202" t="s">
        <v>18</v>
      </c>
      <c r="E202" t="str">
        <f>Foderstater!U$75</f>
        <v>peas</v>
      </c>
      <c r="H202" t="s">
        <v>326</v>
      </c>
      <c r="I202" s="13">
        <f>INDEX(Foderstater!$X$63:$AI$100,MATCH(E202,Foderstater!$U$63:$U$100,0),MATCH(A202&amp;C202&amp;D202,Foderstater!$X$62:$AI$62,0))</f>
        <v>9.6119233524986178E-2</v>
      </c>
      <c r="J202" s="159"/>
      <c r="K202" s="159"/>
    </row>
    <row r="203" spans="1:11" x14ac:dyDescent="0.25">
      <c r="A203" t="s">
        <v>2</v>
      </c>
      <c r="B203" t="s">
        <v>1</v>
      </c>
      <c r="C203" t="s">
        <v>432</v>
      </c>
      <c r="D203" t="s">
        <v>18</v>
      </c>
      <c r="E203" t="str">
        <f>Foderstater!U$76</f>
        <v>broad beans</v>
      </c>
      <c r="H203" t="s">
        <v>326</v>
      </c>
      <c r="I203" s="13">
        <f>INDEX(Foderstater!$X$63:$AI$100,MATCH(E203,Foderstater!$U$63:$U$100,0),MATCH(A203&amp;C203&amp;D203,Foderstater!$X$62:$AI$62,0))</f>
        <v>0.33029420131428044</v>
      </c>
      <c r="J203" s="159"/>
      <c r="K203" s="159"/>
    </row>
    <row r="204" spans="1:11" x14ac:dyDescent="0.25">
      <c r="A204" t="s">
        <v>2</v>
      </c>
      <c r="B204" t="s">
        <v>1</v>
      </c>
      <c r="C204" t="s">
        <v>432</v>
      </c>
      <c r="D204" t="s">
        <v>18</v>
      </c>
      <c r="E204" t="str">
        <f>Foderstater!U$77</f>
        <v>rapeseed</v>
      </c>
      <c r="H204" t="s">
        <v>326</v>
      </c>
      <c r="I204" s="13">
        <f>INDEX(Foderstater!$X$63:$AI$100,MATCH(E204,Foderstater!$U$63:$U$100,0),MATCH(A204&amp;C204&amp;D204,Foderstater!$X$62:$AI$62,0))</f>
        <v>5.2287040112895822</v>
      </c>
      <c r="J204" s="159"/>
      <c r="K204" s="159"/>
    </row>
    <row r="205" spans="1:11" x14ac:dyDescent="0.25">
      <c r="A205" t="s">
        <v>2</v>
      </c>
      <c r="B205" t="s">
        <v>1</v>
      </c>
      <c r="C205" t="s">
        <v>432</v>
      </c>
      <c r="D205" t="s">
        <v>18</v>
      </c>
      <c r="E205" t="str">
        <f>Foderstater!U$78</f>
        <v>linseed</v>
      </c>
      <c r="H205" t="s">
        <v>326</v>
      </c>
      <c r="I205" s="13">
        <f>INDEX(Foderstater!$X$63:$AI$100,MATCH(E205,Foderstater!$U$63:$U$100,0),MATCH(A205&amp;C205&amp;D205,Foderstater!$X$62:$AI$62,0))</f>
        <v>3.8569994694707295E-3</v>
      </c>
      <c r="J205" s="159"/>
      <c r="K205" s="159"/>
    </row>
    <row r="206" spans="1:11" x14ac:dyDescent="0.25">
      <c r="A206" t="s">
        <v>2</v>
      </c>
      <c r="B206" t="s">
        <v>1</v>
      </c>
      <c r="C206" t="s">
        <v>432</v>
      </c>
      <c r="D206" t="s">
        <v>18</v>
      </c>
      <c r="E206" t="str">
        <f>Foderstater!U$79</f>
        <v>vegetable oils</v>
      </c>
      <c r="H206" t="s">
        <v>326</v>
      </c>
      <c r="I206" s="13">
        <f>INDEX(Foderstater!$X$63:$AI$100,MATCH(E206,Foderstater!$U$63:$U$100,0),MATCH(A206&amp;C206&amp;D206,Foderstater!$X$62:$AI$62,0))</f>
        <v>9.957591958992984E-2</v>
      </c>
      <c r="J206" s="159"/>
      <c r="K206" s="159"/>
    </row>
    <row r="207" spans="1:11" x14ac:dyDescent="0.25">
      <c r="A207" t="s">
        <v>2</v>
      </c>
      <c r="B207" t="s">
        <v>1</v>
      </c>
      <c r="C207" t="s">
        <v>432</v>
      </c>
      <c r="D207" t="s">
        <v>18</v>
      </c>
      <c r="E207" t="str">
        <f>Foderstater!U$80</f>
        <v>soybeans</v>
      </c>
      <c r="H207" t="s">
        <v>326</v>
      </c>
      <c r="I207" s="13">
        <f>INDEX(Foderstater!$X$63:$AI$100,MATCH(E207,Foderstater!$U$63:$U$100,0),MATCH(A207&amp;C207&amp;D207,Foderstater!$X$62:$AI$62,0))</f>
        <v>9.7308622107391843E-2</v>
      </c>
      <c r="J207" s="159"/>
      <c r="K207" s="159"/>
    </row>
    <row r="208" spans="1:11" x14ac:dyDescent="0.25">
      <c r="A208" t="s">
        <v>2</v>
      </c>
      <c r="B208" t="s">
        <v>1</v>
      </c>
      <c r="C208" t="s">
        <v>432</v>
      </c>
      <c r="D208" t="s">
        <v>18</v>
      </c>
      <c r="E208" t="str">
        <f>Foderstater!U$81</f>
        <v>soybean meal</v>
      </c>
      <c r="H208" t="s">
        <v>326</v>
      </c>
      <c r="I208" s="13">
        <f>INDEX(Foderstater!$X$63:$AI$100,MATCH(E208,Foderstater!$U$63:$U$100,0),MATCH(A208&amp;C208&amp;D208,Foderstater!$X$62:$AI$62,0))</f>
        <v>0.88887815787688529</v>
      </c>
      <c r="J208" s="159"/>
      <c r="K208" s="159"/>
    </row>
    <row r="209" spans="1:11" x14ac:dyDescent="0.25">
      <c r="A209" t="s">
        <v>2</v>
      </c>
      <c r="B209" t="s">
        <v>1</v>
      </c>
      <c r="C209" t="s">
        <v>432</v>
      </c>
      <c r="D209" t="s">
        <v>18</v>
      </c>
      <c r="E209" t="str">
        <f>Foderstater!U$82</f>
        <v>soybean protein concentrate</v>
      </c>
      <c r="H209" t="s">
        <v>326</v>
      </c>
      <c r="I209" s="13">
        <f>INDEX(Foderstater!$X$63:$AI$100,MATCH(E209,Foderstater!$U$63:$U$100,0),MATCH(A209&amp;C209&amp;D209,Foderstater!$X$62:$AI$62,0))</f>
        <v>0</v>
      </c>
      <c r="J209" s="159"/>
      <c r="K209" s="159"/>
    </row>
    <row r="210" spans="1:11" x14ac:dyDescent="0.25">
      <c r="A210" t="s">
        <v>2</v>
      </c>
      <c r="B210" t="s">
        <v>1</v>
      </c>
      <c r="C210" t="s">
        <v>432</v>
      </c>
      <c r="D210" t="s">
        <v>18</v>
      </c>
      <c r="E210" t="str">
        <f>Foderstater!U$83</f>
        <v>rapeseed meal</v>
      </c>
      <c r="H210" t="s">
        <v>326</v>
      </c>
      <c r="I210" s="13">
        <f>INDEX(Foderstater!$X$63:$AI$100,MATCH(E210,Foderstater!$U$63:$U$100,0),MATCH(A210&amp;C210&amp;D210,Foderstater!$X$62:$AI$62,0))</f>
        <v>6.8653684247374684</v>
      </c>
      <c r="J210" s="159"/>
      <c r="K210" s="159"/>
    </row>
    <row r="211" spans="1:11" x14ac:dyDescent="0.25">
      <c r="A211" t="s">
        <v>2</v>
      </c>
      <c r="B211" t="s">
        <v>1</v>
      </c>
      <c r="C211" t="s">
        <v>432</v>
      </c>
      <c r="D211" t="s">
        <v>18</v>
      </c>
      <c r="E211" t="str">
        <f>Foderstater!U$84</f>
        <v>sunflower seed meal</v>
      </c>
      <c r="H211" t="s">
        <v>326</v>
      </c>
      <c r="I211" s="13">
        <f>INDEX(Foderstater!$X$63:$AI$100,MATCH(E211,Foderstater!$U$63:$U$100,0),MATCH(A211&amp;C211&amp;D211,Foderstater!$X$62:$AI$62,0))</f>
        <v>9.4838419579113625E-2</v>
      </c>
    </row>
    <row r="212" spans="1:11" x14ac:dyDescent="0.25">
      <c r="A212" t="s">
        <v>2</v>
      </c>
      <c r="B212" t="s">
        <v>1</v>
      </c>
      <c r="C212" t="s">
        <v>432</v>
      </c>
      <c r="D212" t="s">
        <v>18</v>
      </c>
      <c r="E212" t="str">
        <f>Foderstater!U$85</f>
        <v>palm kernel expeller</v>
      </c>
      <c r="H212" t="s">
        <v>326</v>
      </c>
      <c r="I212" s="13">
        <f>INDEX(Foderstater!$X$63:$AI$100,MATCH(E212,Foderstater!$U$63:$U$100,0),MATCH(A212&amp;C212&amp;D212,Foderstater!$X$62:$AI$62,0))</f>
        <v>0.61625238331975196</v>
      </c>
    </row>
    <row r="213" spans="1:11" x14ac:dyDescent="0.25">
      <c r="A213" t="s">
        <v>2</v>
      </c>
      <c r="B213" t="s">
        <v>1</v>
      </c>
      <c r="C213" t="s">
        <v>432</v>
      </c>
      <c r="D213" t="s">
        <v>18</v>
      </c>
      <c r="E213" t="str">
        <f>Foderstater!U$86</f>
        <v>luzern meal</v>
      </c>
      <c r="H213" t="s">
        <v>326</v>
      </c>
      <c r="I213" s="13">
        <f>INDEX(Foderstater!$X$63:$AI$100,MATCH(E213,Foderstater!$U$63:$U$100,0),MATCH(A213&amp;C213&amp;D213,Foderstater!$X$62:$AI$62,0))</f>
        <v>0.18745720825786316</v>
      </c>
    </row>
    <row r="214" spans="1:11" x14ac:dyDescent="0.25">
      <c r="A214" t="s">
        <v>2</v>
      </c>
      <c r="B214" t="s">
        <v>1</v>
      </c>
      <c r="C214" t="s">
        <v>432</v>
      </c>
      <c r="D214" t="s">
        <v>18</v>
      </c>
      <c r="E214" t="str">
        <f>Foderstater!U$87</f>
        <v>wheat bran</v>
      </c>
      <c r="H214" t="s">
        <v>326</v>
      </c>
      <c r="I214" s="13">
        <f>INDEX(Foderstater!$X$63:$AI$100,MATCH(E214,Foderstater!$U$63:$U$100,0),MATCH(A214&amp;C214&amp;D214,Foderstater!$X$62:$AI$62,0))</f>
        <v>2.0423714635193808</v>
      </c>
    </row>
    <row r="215" spans="1:11" x14ac:dyDescent="0.25">
      <c r="A215" t="s">
        <v>2</v>
      </c>
      <c r="B215" t="s">
        <v>1</v>
      </c>
      <c r="C215" t="s">
        <v>432</v>
      </c>
      <c r="D215" t="s">
        <v>18</v>
      </c>
      <c r="E215" t="str">
        <f>Foderstater!U$88</f>
        <v>wheat bran, fine</v>
      </c>
      <c r="H215" t="s">
        <v>326</v>
      </c>
      <c r="I215" s="13">
        <f>INDEX(Foderstater!$X$63:$AI$100,MATCH(E215,Foderstater!$U$63:$U$100,0),MATCH(A215&amp;C215&amp;D215,Foderstater!$X$62:$AI$62,0))</f>
        <v>5.3539448640650723E-3</v>
      </c>
    </row>
    <row r="216" spans="1:11" x14ac:dyDescent="0.25">
      <c r="A216" t="s">
        <v>2</v>
      </c>
      <c r="B216" t="s">
        <v>1</v>
      </c>
      <c r="C216" t="s">
        <v>432</v>
      </c>
      <c r="D216" t="s">
        <v>18</v>
      </c>
      <c r="E216" t="str">
        <f>Foderstater!U$89</f>
        <v>oat hulls</v>
      </c>
      <c r="H216" t="s">
        <v>326</v>
      </c>
      <c r="I216" s="13">
        <f>INDEX(Foderstater!$X$63:$AI$100,MATCH(E216,Foderstater!$U$63:$U$100,0),MATCH(A216&amp;C216&amp;D216,Foderstater!$X$62:$AI$62,0))</f>
        <v>0.24598378379417407</v>
      </c>
    </row>
    <row r="217" spans="1:11" x14ac:dyDescent="0.25">
      <c r="A217" t="s">
        <v>2</v>
      </c>
      <c r="B217" t="s">
        <v>1</v>
      </c>
      <c r="C217" t="s">
        <v>432</v>
      </c>
      <c r="D217" t="s">
        <v>18</v>
      </c>
      <c r="E217" t="str">
        <f>Foderstater!U$90</f>
        <v>oat bran</v>
      </c>
      <c r="H217" t="s">
        <v>326</v>
      </c>
      <c r="I217" s="13">
        <f>INDEX(Foderstater!$X$63:$AI$100,MATCH(E217,Foderstater!$U$63:$U$100,0),MATCH(A217&amp;C217&amp;D217,Foderstater!$X$62:$AI$62,0))</f>
        <v>2.77620480868788E-2</v>
      </c>
    </row>
    <row r="218" spans="1:11" x14ac:dyDescent="0.25">
      <c r="A218" t="s">
        <v>2</v>
      </c>
      <c r="B218" t="s">
        <v>1</v>
      </c>
      <c r="C218" t="s">
        <v>432</v>
      </c>
      <c r="D218" t="s">
        <v>18</v>
      </c>
      <c r="E218" t="str">
        <f>Foderstater!U$91</f>
        <v>rye bran</v>
      </c>
      <c r="H218" t="s">
        <v>326</v>
      </c>
      <c r="I218" s="13">
        <f>INDEX(Foderstater!$X$63:$AI$100,MATCH(E218,Foderstater!$U$63:$U$100,0),MATCH(A218&amp;C218&amp;D218,Foderstater!$X$62:$AI$62,0))</f>
        <v>8.5618457243544915E-2</v>
      </c>
    </row>
    <row r="219" spans="1:11" x14ac:dyDescent="0.25">
      <c r="A219" t="s">
        <v>2</v>
      </c>
      <c r="B219" t="s">
        <v>1</v>
      </c>
      <c r="C219" t="s">
        <v>432</v>
      </c>
      <c r="D219" t="s">
        <v>18</v>
      </c>
      <c r="E219" t="str">
        <f>Foderstater!U$92</f>
        <v>wheat distillers grain, dry</v>
      </c>
      <c r="H219" t="s">
        <v>326</v>
      </c>
      <c r="I219" s="13">
        <f>INDEX(Foderstater!$X$63:$AI$100,MATCH(E219,Foderstater!$U$63:$U$100,0),MATCH(A219&amp;C219&amp;D219,Foderstater!$X$62:$AI$62,0))</f>
        <v>2.1953552977488813</v>
      </c>
    </row>
    <row r="220" spans="1:11" x14ac:dyDescent="0.25">
      <c r="A220" t="s">
        <v>2</v>
      </c>
      <c r="B220" t="s">
        <v>1</v>
      </c>
      <c r="C220" t="s">
        <v>432</v>
      </c>
      <c r="D220" t="s">
        <v>18</v>
      </c>
      <c r="E220" t="str">
        <f>Foderstater!U$93</f>
        <v>barley brewers grain</v>
      </c>
      <c r="H220" t="s">
        <v>326</v>
      </c>
      <c r="I220" s="13">
        <f>INDEX(Foderstater!$X$63:$AI$100,MATCH(E220,Foderstater!$U$63:$U$100,0),MATCH(A220&amp;C220&amp;D220,Foderstater!$X$62:$AI$62,0))</f>
        <v>0</v>
      </c>
    </row>
    <row r="221" spans="1:11" x14ac:dyDescent="0.25">
      <c r="A221" t="s">
        <v>2</v>
      </c>
      <c r="B221" t="s">
        <v>1</v>
      </c>
      <c r="C221" t="s">
        <v>432</v>
      </c>
      <c r="D221" t="s">
        <v>18</v>
      </c>
      <c r="E221" t="str">
        <f>Foderstater!U$94</f>
        <v>maize gluten meal</v>
      </c>
      <c r="H221" t="s">
        <v>326</v>
      </c>
      <c r="I221" s="13">
        <f>INDEX(Foderstater!$X$63:$AI$100,MATCH(E221,Foderstater!$U$63:$U$100,0),MATCH(A221&amp;C221&amp;D221,Foderstater!$X$62:$AI$62,0))</f>
        <v>6.6336745025503241E-2</v>
      </c>
    </row>
    <row r="222" spans="1:11" x14ac:dyDescent="0.25">
      <c r="A222" t="s">
        <v>2</v>
      </c>
      <c r="B222" t="s">
        <v>1</v>
      </c>
      <c r="C222" t="s">
        <v>432</v>
      </c>
      <c r="D222" t="s">
        <v>18</v>
      </c>
      <c r="E222" t="str">
        <f>Foderstater!U$95</f>
        <v>sugar beet molasses</v>
      </c>
      <c r="H222" t="s">
        <v>326</v>
      </c>
      <c r="I222" s="13">
        <f>INDEX(Foderstater!$X$63:$AI$100,MATCH(E222,Foderstater!$U$63:$U$100,0),MATCH(A222&amp;C222&amp;D222,Foderstater!$X$62:$AI$62,0))</f>
        <v>0.73563427238161927</v>
      </c>
    </row>
    <row r="223" spans="1:11" x14ac:dyDescent="0.25">
      <c r="A223" t="s">
        <v>2</v>
      </c>
      <c r="B223" t="s">
        <v>1</v>
      </c>
      <c r="C223" t="s">
        <v>432</v>
      </c>
      <c r="D223" t="s">
        <v>18</v>
      </c>
      <c r="E223" t="str">
        <f>Foderstater!U$96</f>
        <v>sugar beet pulp</v>
      </c>
      <c r="H223" t="s">
        <v>326</v>
      </c>
      <c r="I223" s="13">
        <f>INDEX(Foderstater!$X$63:$AI$100,MATCH(E223,Foderstater!$U$63:$U$100,0),MATCH(A223&amp;C223&amp;D223,Foderstater!$X$62:$AI$62,0))</f>
        <v>1.4194645139923689</v>
      </c>
    </row>
    <row r="224" spans="1:11" x14ac:dyDescent="0.25">
      <c r="A224" t="s">
        <v>2</v>
      </c>
      <c r="B224" t="s">
        <v>1</v>
      </c>
      <c r="C224" t="s">
        <v>432</v>
      </c>
      <c r="D224" t="s">
        <v>18</v>
      </c>
      <c r="E224" t="str">
        <f>Foderstater!U$97</f>
        <v>whey powder</v>
      </c>
      <c r="H224" t="s">
        <v>326</v>
      </c>
      <c r="I224" s="13">
        <f>INDEX(Foderstater!$X$63:$AI$100,MATCH(E224,Foderstater!$U$63:$U$100,0),MATCH(A224&amp;C224&amp;D224,Foderstater!$X$62:$AI$62,0))</f>
        <v>0</v>
      </c>
    </row>
    <row r="225" spans="1:12" x14ac:dyDescent="0.25">
      <c r="A225" t="s">
        <v>2</v>
      </c>
      <c r="B225" t="s">
        <v>1</v>
      </c>
      <c r="C225" t="s">
        <v>432</v>
      </c>
      <c r="D225" t="s">
        <v>18</v>
      </c>
      <c r="E225" t="str">
        <f>Foderstater!U$98</f>
        <v>potatoe protein</v>
      </c>
      <c r="H225" t="s">
        <v>326</v>
      </c>
      <c r="I225" s="13">
        <f>INDEX(Foderstater!$X$63:$AI$100,MATCH(E225,Foderstater!$U$63:$U$100,0),MATCH(A225&amp;C225&amp;D225,Foderstater!$X$62:$AI$62,0))</f>
        <v>6.4986728649744927E-3</v>
      </c>
    </row>
    <row r="226" spans="1:12" x14ac:dyDescent="0.25">
      <c r="A226" t="s">
        <v>2</v>
      </c>
      <c r="B226" t="s">
        <v>1</v>
      </c>
      <c r="C226" t="s">
        <v>432</v>
      </c>
      <c r="D226" t="s">
        <v>18</v>
      </c>
      <c r="E226" t="str">
        <f>Foderstater!U$99</f>
        <v>fish meal</v>
      </c>
      <c r="H226" t="s">
        <v>326</v>
      </c>
      <c r="I226" s="13">
        <f>INDEX(Foderstater!$X$63:$AI$100,MATCH(E226,Foderstater!$U$63:$U$100,0),MATCH(A226&amp;C226&amp;D226,Foderstater!$X$62:$AI$62,0))</f>
        <v>0</v>
      </c>
    </row>
    <row r="227" spans="1:12" x14ac:dyDescent="0.25">
      <c r="A227" t="s">
        <v>2</v>
      </c>
      <c r="B227" t="s">
        <v>1</v>
      </c>
      <c r="C227" t="s">
        <v>432</v>
      </c>
      <c r="D227" t="s">
        <v>18</v>
      </c>
      <c r="E227" t="str">
        <f>Foderstater!U$100</f>
        <v>minerals</v>
      </c>
      <c r="H227" t="s">
        <v>326</v>
      </c>
      <c r="I227" s="13">
        <f>INDEX(Foderstater!$X$63:$AI$100,MATCH(E227,Foderstater!$U$63:$U$100,0),MATCH(A227&amp;C227&amp;D227,Foderstater!$X$62:$AI$62,0))</f>
        <v>0.83716818155279793</v>
      </c>
    </row>
    <row r="229" spans="1:12" x14ac:dyDescent="0.25">
      <c r="A229" s="81" t="s">
        <v>90</v>
      </c>
      <c r="B229" s="48"/>
      <c r="C229" s="48"/>
      <c r="D229" s="49"/>
      <c r="E229" s="49"/>
      <c r="F229" s="49"/>
      <c r="G229" s="49"/>
      <c r="H229" s="49"/>
      <c r="I229" s="162"/>
      <c r="J229" s="49"/>
      <c r="K229" s="49"/>
      <c r="L229" s="49"/>
    </row>
    <row r="230" spans="1:12" x14ac:dyDescent="0.25">
      <c r="A230" s="159" t="s">
        <v>2</v>
      </c>
      <c r="B230" s="159"/>
      <c r="C230" s="159"/>
      <c r="D230" s="159" t="s">
        <v>20</v>
      </c>
      <c r="H230" s="159" t="s">
        <v>326</v>
      </c>
      <c r="I230" s="159">
        <v>0</v>
      </c>
      <c r="J230" s="159"/>
      <c r="K230" s="159" t="s">
        <v>426</v>
      </c>
    </row>
    <row r="231" spans="1:12" x14ac:dyDescent="0.25">
      <c r="A231" t="s">
        <v>2</v>
      </c>
      <c r="D231" t="s">
        <v>20</v>
      </c>
      <c r="E231" t="str">
        <f>Foderstater!U$63</f>
        <v>ley silage, 1st cut</v>
      </c>
      <c r="H231" t="s">
        <v>326</v>
      </c>
      <c r="I231" s="13">
        <f>INDEX(Foderstater!$X$63:$AI$100,MATCH(E231,Foderstater!$U$63:$U$100,0),MATCH(A231&amp;C231&amp;D231,Foderstater!$X$62:$AI$62,0))</f>
        <v>69.98809662916166</v>
      </c>
      <c r="J231" s="159"/>
      <c r="K231" s="159"/>
    </row>
    <row r="232" spans="1:12" x14ac:dyDescent="0.25">
      <c r="A232" t="s">
        <v>2</v>
      </c>
      <c r="D232" t="s">
        <v>20</v>
      </c>
      <c r="E232" t="str">
        <f>Foderstater!U$64</f>
        <v>ley silage, regrowth</v>
      </c>
      <c r="H232" t="s">
        <v>326</v>
      </c>
      <c r="I232" s="13">
        <f>INDEX(Foderstater!$X$63:$AI$100,MATCH(E232,Foderstater!$U$63:$U$100,0),MATCH(A232&amp;C232&amp;D232,Foderstater!$X$62:$AI$62,0))</f>
        <v>0</v>
      </c>
      <c r="J232" s="159"/>
      <c r="K232" s="159"/>
    </row>
    <row r="233" spans="1:12" x14ac:dyDescent="0.25">
      <c r="A233" t="s">
        <v>2</v>
      </c>
      <c r="D233" t="s">
        <v>20</v>
      </c>
      <c r="E233" t="str">
        <f>Foderstater!U$65</f>
        <v>other silage</v>
      </c>
      <c r="H233" t="s">
        <v>326</v>
      </c>
      <c r="I233" s="13">
        <f>INDEX(Foderstater!$X$63:$AI$100,MATCH(E233,Foderstater!$U$63:$U$100,0),MATCH(A233&amp;C233&amp;D233,Foderstater!$X$62:$AI$62,0))</f>
        <v>0</v>
      </c>
      <c r="J233" s="159"/>
      <c r="K233" s="159"/>
    </row>
    <row r="234" spans="1:12" x14ac:dyDescent="0.25">
      <c r="A234" t="s">
        <v>2</v>
      </c>
      <c r="D234" t="s">
        <v>20</v>
      </c>
      <c r="E234" t="str">
        <f>Foderstater!U$66</f>
        <v>maize silage</v>
      </c>
      <c r="H234" t="s">
        <v>326</v>
      </c>
      <c r="I234" s="13">
        <f>INDEX(Foderstater!$X$63:$AI$100,MATCH(E234,Foderstater!$U$63:$U$100,0),MATCH(A234&amp;C234&amp;D234,Foderstater!$X$62:$AI$62,0))</f>
        <v>0</v>
      </c>
      <c r="J234" s="159"/>
      <c r="K234" s="159"/>
    </row>
    <row r="235" spans="1:12" x14ac:dyDescent="0.25">
      <c r="A235" t="s">
        <v>2</v>
      </c>
      <c r="D235" t="s">
        <v>20</v>
      </c>
      <c r="E235" t="str">
        <f>Foderstater!U$67</f>
        <v>straw</v>
      </c>
      <c r="H235" t="s">
        <v>326</v>
      </c>
      <c r="I235" s="13">
        <f>INDEX(Foderstater!$X$63:$AI$100,MATCH(E235,Foderstater!$U$63:$U$100,0),MATCH(A235&amp;C235&amp;D235,Foderstater!$X$62:$AI$62,0))</f>
        <v>0</v>
      </c>
      <c r="J235" s="159"/>
      <c r="K235" s="159"/>
    </row>
    <row r="236" spans="1:12" x14ac:dyDescent="0.25">
      <c r="A236" t="s">
        <v>2</v>
      </c>
      <c r="D236" t="s">
        <v>20</v>
      </c>
      <c r="E236" t="str">
        <f>Foderstater!U$68</f>
        <v>grazing</v>
      </c>
      <c r="H236" t="s">
        <v>326</v>
      </c>
      <c r="I236" s="13">
        <f>INDEX(Foderstater!$X$63:$AI$100,MATCH(E236,Foderstater!$U$63:$U$100,0),MATCH(A236&amp;C236&amp;D236,Foderstater!$X$62:$AI$62,0))</f>
        <v>13.62395305250616</v>
      </c>
      <c r="J236" s="159"/>
      <c r="K236" s="159"/>
    </row>
    <row r="237" spans="1:12" x14ac:dyDescent="0.25">
      <c r="A237" t="s">
        <v>2</v>
      </c>
      <c r="D237" t="s">
        <v>20</v>
      </c>
      <c r="E237" t="str">
        <f>Foderstater!U$69</f>
        <v>wheat</v>
      </c>
      <c r="H237" t="s">
        <v>326</v>
      </c>
      <c r="I237" s="13">
        <f>INDEX(Foderstater!$X$63:$AI$100,MATCH(E237,Foderstater!$U$63:$U$100,0),MATCH(A237&amp;C237&amp;D237,Foderstater!$X$62:$AI$62,0))</f>
        <v>3.3926452557375897</v>
      </c>
      <c r="J237" s="159"/>
      <c r="K237" s="159"/>
    </row>
    <row r="238" spans="1:12" x14ac:dyDescent="0.25">
      <c r="A238" t="s">
        <v>2</v>
      </c>
      <c r="D238" t="s">
        <v>20</v>
      </c>
      <c r="E238" t="str">
        <f>Foderstater!U$70</f>
        <v>barley</v>
      </c>
      <c r="H238" t="s">
        <v>326</v>
      </c>
      <c r="I238" s="13">
        <f>INDEX(Foderstater!$X$63:$AI$100,MATCH(E238,Foderstater!$U$63:$U$100,0),MATCH(A238&amp;C238&amp;D238,Foderstater!$X$62:$AI$62,0))</f>
        <v>5.969609310362638</v>
      </c>
      <c r="J238" s="159"/>
      <c r="K238" s="159"/>
    </row>
    <row r="239" spans="1:12" x14ac:dyDescent="0.25">
      <c r="A239" t="s">
        <v>2</v>
      </c>
      <c r="D239" t="s">
        <v>20</v>
      </c>
      <c r="E239" t="str">
        <f>Foderstater!U$71</f>
        <v>oats</v>
      </c>
      <c r="H239" t="s">
        <v>326</v>
      </c>
      <c r="I239" s="13">
        <f>INDEX(Foderstater!$X$63:$AI$100,MATCH(E239,Foderstater!$U$63:$U$100,0),MATCH(A239&amp;C239&amp;D239,Foderstater!$X$62:$AI$62,0))</f>
        <v>1.380886004165597</v>
      </c>
      <c r="J239" s="159"/>
      <c r="K239" s="159"/>
    </row>
    <row r="240" spans="1:12" x14ac:dyDescent="0.25">
      <c r="A240" t="s">
        <v>2</v>
      </c>
      <c r="D240" t="s">
        <v>20</v>
      </c>
      <c r="E240" t="str">
        <f>Foderstater!U$72</f>
        <v>triticale</v>
      </c>
      <c r="H240" t="s">
        <v>326</v>
      </c>
      <c r="I240" s="13">
        <f>INDEX(Foderstater!$X$63:$AI$100,MATCH(E240,Foderstater!$U$63:$U$100,0),MATCH(A240&amp;C240&amp;D240,Foderstater!$X$62:$AI$62,0))</f>
        <v>2.0121854590151322</v>
      </c>
      <c r="J240" s="159"/>
      <c r="K240" s="159"/>
    </row>
    <row r="241" spans="1:11" x14ac:dyDescent="0.25">
      <c r="A241" t="s">
        <v>2</v>
      </c>
      <c r="D241" t="s">
        <v>20</v>
      </c>
      <c r="E241" t="str">
        <f>Foderstater!U$73</f>
        <v>rye</v>
      </c>
      <c r="H241" t="s">
        <v>326</v>
      </c>
      <c r="I241" s="13">
        <f>INDEX(Foderstater!$X$63:$AI$100,MATCH(E241,Foderstater!$U$63:$U$100,0),MATCH(A241&amp;C241&amp;D241,Foderstater!$X$62:$AI$62,0))</f>
        <v>8.4111477233144716E-3</v>
      </c>
      <c r="J241" s="159"/>
      <c r="K241" s="159"/>
    </row>
    <row r="242" spans="1:11" x14ac:dyDescent="0.25">
      <c r="A242" t="s">
        <v>2</v>
      </c>
      <c r="D242" t="s">
        <v>20</v>
      </c>
      <c r="E242" t="str">
        <f>Foderstater!U$74</f>
        <v>maize</v>
      </c>
      <c r="H242" t="s">
        <v>326</v>
      </c>
      <c r="I242" s="13">
        <f>INDEX(Foderstater!$X$63:$AI$100,MATCH(E242,Foderstater!$U$63:$U$100,0),MATCH(A242&amp;C242&amp;D242,Foderstater!$X$62:$AI$62,0))</f>
        <v>3.654322610609205E-2</v>
      </c>
      <c r="J242" s="159"/>
      <c r="K242" s="159"/>
    </row>
    <row r="243" spans="1:11" x14ac:dyDescent="0.25">
      <c r="A243" t="s">
        <v>2</v>
      </c>
      <c r="D243" t="s">
        <v>20</v>
      </c>
      <c r="E243" t="str">
        <f>Foderstater!U$75</f>
        <v>peas</v>
      </c>
      <c r="H243" t="s">
        <v>326</v>
      </c>
      <c r="I243" s="13">
        <f>INDEX(Foderstater!$X$63:$AI$100,MATCH(E243,Foderstater!$U$63:$U$100,0),MATCH(A243&amp;C243&amp;D243,Foderstater!$X$62:$AI$62,0))</f>
        <v>0.83995755602664501</v>
      </c>
      <c r="J243" s="159"/>
      <c r="K243" s="159"/>
    </row>
    <row r="244" spans="1:11" x14ac:dyDescent="0.25">
      <c r="A244" t="s">
        <v>2</v>
      </c>
      <c r="D244" t="s">
        <v>20</v>
      </c>
      <c r="E244" t="str">
        <f>Foderstater!U$76</f>
        <v>broad beans</v>
      </c>
      <c r="H244" t="s">
        <v>326</v>
      </c>
      <c r="I244" s="13">
        <f>INDEX(Foderstater!$X$63:$AI$100,MATCH(E244,Foderstater!$U$63:$U$100,0),MATCH(A244&amp;C244&amp;D244,Foderstater!$X$62:$AI$62,0))</f>
        <v>0.81150854085068547</v>
      </c>
      <c r="J244" s="159"/>
      <c r="K244" s="159"/>
    </row>
    <row r="245" spans="1:11" x14ac:dyDescent="0.25">
      <c r="A245" t="s">
        <v>2</v>
      </c>
      <c r="D245" t="s">
        <v>20</v>
      </c>
      <c r="E245" t="str">
        <f>Foderstater!U$77</f>
        <v>rapeseed</v>
      </c>
      <c r="H245" t="s">
        <v>326</v>
      </c>
      <c r="I245" s="13">
        <f>INDEX(Foderstater!$X$63:$AI$100,MATCH(E245,Foderstater!$U$63:$U$100,0),MATCH(A245&amp;C245&amp;D245,Foderstater!$X$62:$AI$62,0))</f>
        <v>0.3106747346633848</v>
      </c>
      <c r="J245" s="159"/>
      <c r="K245" s="159"/>
    </row>
    <row r="246" spans="1:11" x14ac:dyDescent="0.25">
      <c r="A246" t="s">
        <v>2</v>
      </c>
      <c r="D246" t="s">
        <v>20</v>
      </c>
      <c r="E246" t="str">
        <f>Foderstater!U$78</f>
        <v>linseed</v>
      </c>
      <c r="H246" t="s">
        <v>326</v>
      </c>
      <c r="I246" s="13">
        <f>INDEX(Foderstater!$X$63:$AI$100,MATCH(E246,Foderstater!$U$63:$U$100,0),MATCH(A246&amp;C246&amp;D246,Foderstater!$X$62:$AI$62,0))</f>
        <v>2.2917194857222345E-4</v>
      </c>
      <c r="J246" s="159"/>
      <c r="K246" s="159"/>
    </row>
    <row r="247" spans="1:11" x14ac:dyDescent="0.25">
      <c r="A247" t="s">
        <v>2</v>
      </c>
      <c r="D247" t="s">
        <v>20</v>
      </c>
      <c r="E247" t="str">
        <f>Foderstater!U$79</f>
        <v>vegetable oils</v>
      </c>
      <c r="H247" t="s">
        <v>326</v>
      </c>
      <c r="I247" s="13">
        <f>INDEX(Foderstater!$X$63:$AI$100,MATCH(E247,Foderstater!$U$63:$U$100,0),MATCH(A247&amp;C247&amp;D247,Foderstater!$X$62:$AI$62,0))</f>
        <v>5.9165181908688962E-3</v>
      </c>
      <c r="J247" s="159"/>
      <c r="K247" s="159"/>
    </row>
    <row r="248" spans="1:11" x14ac:dyDescent="0.25">
      <c r="A248" t="s">
        <v>2</v>
      </c>
      <c r="D248" t="s">
        <v>20</v>
      </c>
      <c r="E248" t="str">
        <f>Foderstater!U$80</f>
        <v>soybeans</v>
      </c>
      <c r="H248" t="s">
        <v>326</v>
      </c>
      <c r="I248" s="13">
        <f>INDEX(Foderstater!$X$63:$AI$100,MATCH(E248,Foderstater!$U$63:$U$100,0),MATCH(A248&amp;C248&amp;D248,Foderstater!$X$62:$AI$62,0))</f>
        <v>5.7818018171232116E-3</v>
      </c>
      <c r="J248" s="159"/>
      <c r="K248" s="159"/>
    </row>
    <row r="249" spans="1:11" x14ac:dyDescent="0.25">
      <c r="A249" t="s">
        <v>2</v>
      </c>
      <c r="D249" t="s">
        <v>20</v>
      </c>
      <c r="E249" t="str">
        <f>Foderstater!U$81</f>
        <v>soybean meal</v>
      </c>
      <c r="H249" t="s">
        <v>326</v>
      </c>
      <c r="I249" s="13">
        <f>INDEX(Foderstater!$X$63:$AI$100,MATCH(E249,Foderstater!$U$63:$U$100,0),MATCH(A249&amp;C249&amp;D249,Foderstater!$X$62:$AI$62,0))</f>
        <v>5.2814614338509994E-2</v>
      </c>
      <c r="J249" s="159"/>
      <c r="K249" s="159"/>
    </row>
    <row r="250" spans="1:11" x14ac:dyDescent="0.25">
      <c r="A250" t="s">
        <v>2</v>
      </c>
      <c r="D250" t="s">
        <v>20</v>
      </c>
      <c r="E250" t="str">
        <f>Foderstater!U$82</f>
        <v>soybean protein concentrate</v>
      </c>
      <c r="H250" t="s">
        <v>326</v>
      </c>
      <c r="I250" s="13">
        <f>INDEX(Foderstater!$X$63:$AI$100,MATCH(E250,Foderstater!$U$63:$U$100,0),MATCH(A250&amp;C250&amp;D250,Foderstater!$X$62:$AI$62,0))</f>
        <v>0</v>
      </c>
      <c r="J250" s="159"/>
      <c r="K250" s="159"/>
    </row>
    <row r="251" spans="1:11" x14ac:dyDescent="0.25">
      <c r="A251" t="s">
        <v>2</v>
      </c>
      <c r="D251" t="s">
        <v>20</v>
      </c>
      <c r="E251" t="str">
        <f>Foderstater!U$83</f>
        <v>rapeseed meal</v>
      </c>
      <c r="H251" t="s">
        <v>326</v>
      </c>
      <c r="I251" s="13">
        <f>INDEX(Foderstater!$X$63:$AI$100,MATCH(E251,Foderstater!$U$63:$U$100,0),MATCH(A251&amp;C251&amp;D251,Foderstater!$X$62:$AI$62,0))</f>
        <v>0.40792068342679916</v>
      </c>
      <c r="J251" s="159"/>
      <c r="K251" s="159"/>
    </row>
    <row r="252" spans="1:11" x14ac:dyDescent="0.25">
      <c r="A252" t="s">
        <v>2</v>
      </c>
      <c r="D252" t="s">
        <v>20</v>
      </c>
      <c r="E252" t="str">
        <f>Foderstater!U$84</f>
        <v>sunflower seed meal</v>
      </c>
      <c r="H252" t="s">
        <v>326</v>
      </c>
      <c r="I252" s="13">
        <f>INDEX(Foderstater!$X$63:$AI$100,MATCH(E252,Foderstater!$U$63:$U$100,0),MATCH(A252&amp;C252&amp;D252,Foderstater!$X$62:$AI$62,0))</f>
        <v>5.6350294021269417E-3</v>
      </c>
    </row>
    <row r="253" spans="1:11" x14ac:dyDescent="0.25">
      <c r="A253" t="s">
        <v>2</v>
      </c>
      <c r="D253" t="s">
        <v>20</v>
      </c>
      <c r="E253" t="str">
        <f>Foderstater!U$85</f>
        <v>palm kernel expeller</v>
      </c>
      <c r="H253" t="s">
        <v>326</v>
      </c>
      <c r="I253" s="13">
        <f>INDEX(Foderstater!$X$63:$AI$100,MATCH(E253,Foderstater!$U$63:$U$100,0),MATCH(A253&amp;C253&amp;D253,Foderstater!$X$62:$AI$62,0))</f>
        <v>3.6615965497408809E-2</v>
      </c>
    </row>
    <row r="254" spans="1:11" x14ac:dyDescent="0.25">
      <c r="A254" t="s">
        <v>2</v>
      </c>
      <c r="D254" t="s">
        <v>20</v>
      </c>
      <c r="E254" t="str">
        <f>Foderstater!U$86</f>
        <v>luzern meal</v>
      </c>
      <c r="H254" t="s">
        <v>326</v>
      </c>
      <c r="I254" s="13">
        <f>INDEX(Foderstater!$X$63:$AI$100,MATCH(E254,Foderstater!$U$63:$U$100,0),MATCH(A254&amp;C254&amp;D254,Foderstater!$X$62:$AI$62,0))</f>
        <v>1.1138174643373414E-2</v>
      </c>
    </row>
    <row r="255" spans="1:11" x14ac:dyDescent="0.25">
      <c r="A255" t="s">
        <v>2</v>
      </c>
      <c r="D255" t="s">
        <v>20</v>
      </c>
      <c r="E255" t="str">
        <f>Foderstater!U$87</f>
        <v>wheat bran</v>
      </c>
      <c r="H255" t="s">
        <v>326</v>
      </c>
      <c r="I255" s="13">
        <f>INDEX(Foderstater!$X$63:$AI$100,MATCH(E255,Foderstater!$U$63:$U$100,0),MATCH(A255&amp;C255&amp;D255,Foderstater!$X$62:$AI$62,0))</f>
        <v>0.12135190883686281</v>
      </c>
    </row>
    <row r="256" spans="1:11" x14ac:dyDescent="0.25">
      <c r="A256" t="s">
        <v>2</v>
      </c>
      <c r="D256" t="s">
        <v>20</v>
      </c>
      <c r="E256" t="str">
        <f>Foderstater!U$88</f>
        <v>wheat bran, fine</v>
      </c>
      <c r="H256" t="s">
        <v>326</v>
      </c>
      <c r="I256" s="13">
        <f>INDEX(Foderstater!$X$63:$AI$100,MATCH(E256,Foderstater!$U$63:$U$100,0),MATCH(A256&amp;C256&amp;D256,Foderstater!$X$62:$AI$62,0))</f>
        <v>3.1811619025563673E-4</v>
      </c>
    </row>
    <row r="257" spans="1:12" x14ac:dyDescent="0.25">
      <c r="A257" t="s">
        <v>2</v>
      </c>
      <c r="D257" t="s">
        <v>20</v>
      </c>
      <c r="E257" t="str">
        <f>Foderstater!U$89</f>
        <v>oat hulls</v>
      </c>
      <c r="H257" t="s">
        <v>326</v>
      </c>
      <c r="I257" s="13">
        <f>INDEX(Foderstater!$X$63:$AI$100,MATCH(E257,Foderstater!$U$63:$U$100,0),MATCH(A257&amp;C257&amp;D257,Foderstater!$X$62:$AI$62,0))</f>
        <v>1.4615657454838853E-2</v>
      </c>
    </row>
    <row r="258" spans="1:12" x14ac:dyDescent="0.25">
      <c r="A258" t="s">
        <v>2</v>
      </c>
      <c r="D258" t="s">
        <v>20</v>
      </c>
      <c r="E258" t="str">
        <f>Foderstater!U$90</f>
        <v>oat bran</v>
      </c>
      <c r="H258" t="s">
        <v>326</v>
      </c>
      <c r="I258" s="13">
        <f>INDEX(Foderstater!$X$63:$AI$100,MATCH(E258,Foderstater!$U$63:$U$100,0),MATCH(A258&amp;C258&amp;D258,Foderstater!$X$62:$AI$62,0))</f>
        <v>1.6495420097371271E-3</v>
      </c>
    </row>
    <row r="259" spans="1:12" x14ac:dyDescent="0.25">
      <c r="A259" t="s">
        <v>2</v>
      </c>
      <c r="D259" t="s">
        <v>20</v>
      </c>
      <c r="E259" t="str">
        <f>Foderstater!U$91</f>
        <v>rye bran</v>
      </c>
      <c r="H259" t="s">
        <v>326</v>
      </c>
      <c r="I259" s="13">
        <f>INDEX(Foderstater!$X$63:$AI$100,MATCH(E259,Foderstater!$U$63:$U$100,0),MATCH(A259&amp;C259&amp;D259,Foderstater!$X$62:$AI$62,0))</f>
        <v>5.0872054392434975E-3</v>
      </c>
    </row>
    <row r="260" spans="1:12" x14ac:dyDescent="0.25">
      <c r="A260" t="s">
        <v>2</v>
      </c>
      <c r="D260" t="s">
        <v>20</v>
      </c>
      <c r="E260" t="str">
        <f>Foderstater!U$92</f>
        <v>wheat distillers grain, dry</v>
      </c>
      <c r="H260" t="s">
        <v>326</v>
      </c>
      <c r="I260" s="13">
        <f>INDEX(Foderstater!$X$63:$AI$100,MATCH(E260,Foderstater!$U$63:$U$100,0),MATCH(A260&amp;C260&amp;D260,Foderstater!$X$62:$AI$62,0))</f>
        <v>0.13044177355370595</v>
      </c>
    </row>
    <row r="261" spans="1:12" x14ac:dyDescent="0.25">
      <c r="A261" t="s">
        <v>2</v>
      </c>
      <c r="D261" t="s">
        <v>20</v>
      </c>
      <c r="E261" t="str">
        <f>Foderstater!U$93</f>
        <v>barley brewers grain</v>
      </c>
      <c r="H261" t="s">
        <v>326</v>
      </c>
      <c r="I261" s="13">
        <f>INDEX(Foderstater!$X$63:$AI$100,MATCH(E261,Foderstater!$U$63:$U$100,0),MATCH(A261&amp;C261&amp;D261,Foderstater!$X$62:$AI$62,0))</f>
        <v>0</v>
      </c>
    </row>
    <row r="262" spans="1:12" x14ac:dyDescent="0.25">
      <c r="A262" t="s">
        <v>2</v>
      </c>
      <c r="D262" t="s">
        <v>20</v>
      </c>
      <c r="E262" t="str">
        <f>Foderstater!U$94</f>
        <v>maize gluten meal</v>
      </c>
      <c r="H262" t="s">
        <v>326</v>
      </c>
      <c r="I262" s="13">
        <f>INDEX(Foderstater!$X$63:$AI$100,MATCH(E262,Foderstater!$U$63:$U$100,0),MATCH(A262&amp;C262&amp;D262,Foderstater!$X$62:$AI$62,0))</f>
        <v>3.9415408894312009E-3</v>
      </c>
    </row>
    <row r="263" spans="1:12" x14ac:dyDescent="0.25">
      <c r="A263" t="s">
        <v>2</v>
      </c>
      <c r="D263" t="s">
        <v>20</v>
      </c>
      <c r="E263" t="str">
        <f>Foderstater!U$95</f>
        <v>sugar beet molasses</v>
      </c>
      <c r="H263" t="s">
        <v>326</v>
      </c>
      <c r="I263" s="13">
        <f>INDEX(Foderstater!$X$63:$AI$100,MATCH(E263,Foderstater!$U$63:$U$100,0),MATCH(A263&amp;C263&amp;D263,Foderstater!$X$62:$AI$62,0))</f>
        <v>4.3709298114406915E-2</v>
      </c>
    </row>
    <row r="264" spans="1:12" x14ac:dyDescent="0.25">
      <c r="A264" t="s">
        <v>2</v>
      </c>
      <c r="D264" t="s">
        <v>20</v>
      </c>
      <c r="E264" t="str">
        <f>Foderstater!U$96</f>
        <v>sugar beet pulp</v>
      </c>
      <c r="H264" t="s">
        <v>326</v>
      </c>
      <c r="I264" s="13">
        <f>INDEX(Foderstater!$X$63:$AI$100,MATCH(E264,Foderstater!$U$63:$U$100,0),MATCH(A264&amp;C264&amp;D264,Foderstater!$X$62:$AI$62,0))</f>
        <v>8.4340547924782114E-2</v>
      </c>
    </row>
    <row r="265" spans="1:12" x14ac:dyDescent="0.25">
      <c r="A265" t="s">
        <v>2</v>
      </c>
      <c r="D265" t="s">
        <v>20</v>
      </c>
      <c r="E265" t="str">
        <f>Foderstater!U$97</f>
        <v>whey powder</v>
      </c>
      <c r="H265" t="s">
        <v>326</v>
      </c>
      <c r="I265" s="13">
        <f>INDEX(Foderstater!$X$63:$AI$100,MATCH(E265,Foderstater!$U$63:$U$100,0),MATCH(A265&amp;C265&amp;D265,Foderstater!$X$62:$AI$62,0))</f>
        <v>0</v>
      </c>
    </row>
    <row r="266" spans="1:12" x14ac:dyDescent="0.25">
      <c r="A266" t="s">
        <v>2</v>
      </c>
      <c r="D266" t="s">
        <v>20</v>
      </c>
      <c r="E266" t="str">
        <f>Foderstater!U$98</f>
        <v>potatoe protein</v>
      </c>
      <c r="H266" t="s">
        <v>326</v>
      </c>
      <c r="I266" s="13">
        <f>INDEX(Foderstater!$X$63:$AI$100,MATCH(E266,Foderstater!$U$63:$U$100,0),MATCH(A266&amp;C266&amp;D266,Foderstater!$X$62:$AI$62,0))</f>
        <v>3.8613267525390842E-4</v>
      </c>
    </row>
    <row r="267" spans="1:12" x14ac:dyDescent="0.25">
      <c r="A267" t="s">
        <v>2</v>
      </c>
      <c r="D267" t="s">
        <v>20</v>
      </c>
      <c r="E267" t="str">
        <f>Foderstater!U$99</f>
        <v>fish meal</v>
      </c>
      <c r="H267" t="s">
        <v>326</v>
      </c>
      <c r="I267" s="13">
        <f>INDEX(Foderstater!$X$63:$AI$100,MATCH(E267,Foderstater!$U$63:$U$100,0),MATCH(A267&amp;C267&amp;D267,Foderstater!$X$62:$AI$62,0))</f>
        <v>0</v>
      </c>
    </row>
    <row r="268" spans="1:12" x14ac:dyDescent="0.25">
      <c r="A268" t="s">
        <v>2</v>
      </c>
      <c r="D268" t="s">
        <v>20</v>
      </c>
      <c r="E268" t="str">
        <f>Foderstater!U$100</f>
        <v>minerals</v>
      </c>
      <c r="H268" t="s">
        <v>326</v>
      </c>
      <c r="I268" s="13">
        <f>INDEX(Foderstater!$X$63:$AI$100,MATCH(E268,Foderstater!$U$63:$U$100,0),MATCH(A268&amp;C268&amp;D268,Foderstater!$X$62:$AI$62,0))</f>
        <v>0.69363540132779178</v>
      </c>
    </row>
    <row r="270" spans="1:12" x14ac:dyDescent="0.25">
      <c r="A270" s="81" t="s">
        <v>583</v>
      </c>
      <c r="B270" s="48"/>
      <c r="C270" s="48"/>
      <c r="D270" s="49"/>
      <c r="E270" s="49"/>
      <c r="F270" s="49"/>
      <c r="G270" s="49"/>
      <c r="H270" s="49"/>
      <c r="I270" s="162"/>
      <c r="J270" s="49"/>
      <c r="K270" s="49"/>
      <c r="L270" s="49"/>
    </row>
    <row r="271" spans="1:12" x14ac:dyDescent="0.25">
      <c r="A271" s="159" t="s">
        <v>2</v>
      </c>
      <c r="B271" s="159"/>
      <c r="C271" s="159"/>
      <c r="D271" s="159"/>
      <c r="H271" s="159" t="s">
        <v>326</v>
      </c>
      <c r="I271" s="256">
        <v>0</v>
      </c>
      <c r="J271" s="159"/>
      <c r="K271" s="159" t="s">
        <v>426</v>
      </c>
    </row>
    <row r="272" spans="1:12" x14ac:dyDescent="0.25">
      <c r="A272" t="s">
        <v>2</v>
      </c>
      <c r="E272" t="str">
        <f>Foderstater!U$63</f>
        <v>ley silage, 1st cut</v>
      </c>
      <c r="H272" t="s">
        <v>326</v>
      </c>
      <c r="I272" s="13">
        <f>INDEX(Foderstater!$X$63:$AI$100,MATCH(E272,Foderstater!$U$63:$U$100,0),MATCH(A272&amp;C272&amp;D272,Foderstater!$X$62:$AI$62,0))</f>
        <v>0</v>
      </c>
      <c r="J272" s="159"/>
      <c r="K272" s="159"/>
    </row>
    <row r="273" spans="1:11" x14ac:dyDescent="0.25">
      <c r="A273" t="s">
        <v>2</v>
      </c>
      <c r="E273" t="str">
        <f>Foderstater!U$64</f>
        <v>ley silage, regrowth</v>
      </c>
      <c r="H273" t="s">
        <v>326</v>
      </c>
      <c r="I273" s="13">
        <f>INDEX(Foderstater!$X$63:$AI$100,MATCH(E273,Foderstater!$U$63:$U$100,0),MATCH(A273&amp;C273&amp;D273,Foderstater!$X$62:$AI$62,0))</f>
        <v>55.029062371648976</v>
      </c>
      <c r="J273" s="159"/>
      <c r="K273" s="159"/>
    </row>
    <row r="274" spans="1:11" x14ac:dyDescent="0.25">
      <c r="A274" t="s">
        <v>2</v>
      </c>
      <c r="E274" t="str">
        <f>Foderstater!U$65</f>
        <v>other silage</v>
      </c>
      <c r="H274" t="s">
        <v>326</v>
      </c>
      <c r="I274" s="13">
        <f>INDEX(Foderstater!$X$63:$AI$100,MATCH(E274,Foderstater!$U$63:$U$100,0),MATCH(A274&amp;C274&amp;D274,Foderstater!$X$62:$AI$62,0))</f>
        <v>0</v>
      </c>
      <c r="J274" s="159"/>
      <c r="K274" s="159"/>
    </row>
    <row r="275" spans="1:11" x14ac:dyDescent="0.25">
      <c r="A275" t="s">
        <v>2</v>
      </c>
      <c r="E275" t="str">
        <f>Foderstater!U$66</f>
        <v>maize silage</v>
      </c>
      <c r="H275" t="s">
        <v>326</v>
      </c>
      <c r="I275" s="13">
        <f>INDEX(Foderstater!$X$63:$AI$100,MATCH(E275,Foderstater!$U$63:$U$100,0),MATCH(A275&amp;C275&amp;D275,Foderstater!$X$62:$AI$62,0))</f>
        <v>0</v>
      </c>
      <c r="J275" s="159"/>
      <c r="K275" s="159"/>
    </row>
    <row r="276" spans="1:11" x14ac:dyDescent="0.25">
      <c r="A276" t="s">
        <v>2</v>
      </c>
      <c r="E276" t="str">
        <f>Foderstater!U$67</f>
        <v>straw</v>
      </c>
      <c r="H276" t="s">
        <v>326</v>
      </c>
      <c r="I276" s="13">
        <f>INDEX(Foderstater!$X$63:$AI$100,MATCH(E276,Foderstater!$U$63:$U$100,0),MATCH(A276&amp;C276&amp;D276,Foderstater!$X$62:$AI$62,0))</f>
        <v>0</v>
      </c>
      <c r="J276" s="159"/>
      <c r="K276" s="159"/>
    </row>
    <row r="277" spans="1:11" x14ac:dyDescent="0.25">
      <c r="A277" t="s">
        <v>2</v>
      </c>
      <c r="E277" t="str">
        <f>Foderstater!U$68</f>
        <v>grazing</v>
      </c>
      <c r="H277" t="s">
        <v>326</v>
      </c>
      <c r="I277" s="13">
        <f>INDEX(Foderstater!$X$63:$AI$100,MATCH(E277,Foderstater!$U$63:$U$100,0),MATCH(A277&amp;C277&amp;D277,Foderstater!$X$62:$AI$62,0))</f>
        <v>38.614788214420173</v>
      </c>
      <c r="J277" s="159"/>
      <c r="K277" s="159"/>
    </row>
    <row r="278" spans="1:11" x14ac:dyDescent="0.25">
      <c r="A278" t="s">
        <v>2</v>
      </c>
      <c r="E278" t="str">
        <f>Foderstater!U$69</f>
        <v>wheat</v>
      </c>
      <c r="H278" t="s">
        <v>326</v>
      </c>
      <c r="I278" s="13">
        <f>INDEX(Foderstater!$X$63:$AI$100,MATCH(E278,Foderstater!$U$63:$U$100,0),MATCH(A278&amp;C278&amp;D278,Foderstater!$X$62:$AI$62,0))</f>
        <v>1.3702995315856561</v>
      </c>
      <c r="J278" s="159"/>
      <c r="K278" s="159"/>
    </row>
    <row r="279" spans="1:11" x14ac:dyDescent="0.25">
      <c r="A279" t="s">
        <v>2</v>
      </c>
      <c r="E279" t="str">
        <f>Foderstater!U$70</f>
        <v>barley</v>
      </c>
      <c r="H279" t="s">
        <v>326</v>
      </c>
      <c r="I279" s="13">
        <f>INDEX(Foderstater!$X$63:$AI$100,MATCH(E279,Foderstater!$U$63:$U$100,0),MATCH(A279&amp;C279&amp;D279,Foderstater!$X$62:$AI$62,0))</f>
        <v>2.1464108702309166</v>
      </c>
      <c r="J279" s="159"/>
      <c r="K279" s="159"/>
    </row>
    <row r="280" spans="1:11" x14ac:dyDescent="0.25">
      <c r="A280" t="s">
        <v>2</v>
      </c>
      <c r="E280" t="str">
        <f>Foderstater!U$71</f>
        <v>oats</v>
      </c>
      <c r="H280" t="s">
        <v>326</v>
      </c>
      <c r="I280" s="13">
        <f>INDEX(Foderstater!$X$63:$AI$100,MATCH(E280,Foderstater!$U$63:$U$100,0),MATCH(A280&amp;C280&amp;D280,Foderstater!$X$62:$AI$62,0))</f>
        <v>0.54223737074929057</v>
      </c>
      <c r="J280" s="159"/>
      <c r="K280" s="159"/>
    </row>
    <row r="281" spans="1:11" x14ac:dyDescent="0.25">
      <c r="A281" t="s">
        <v>2</v>
      </c>
      <c r="E281" t="str">
        <f>Foderstater!U$72</f>
        <v>triticale</v>
      </c>
      <c r="H281" t="s">
        <v>326</v>
      </c>
      <c r="I281" s="13">
        <f>INDEX(Foderstater!$X$63:$AI$100,MATCH(E281,Foderstater!$U$63:$U$100,0),MATCH(A281&amp;C281&amp;D281,Foderstater!$X$62:$AI$62,0))</f>
        <v>0.63111634374194048</v>
      </c>
      <c r="J281" s="159"/>
      <c r="K281" s="159"/>
    </row>
    <row r="282" spans="1:11" x14ac:dyDescent="0.25">
      <c r="A282" t="s">
        <v>2</v>
      </c>
      <c r="E282" t="str">
        <f>Foderstater!U$73</f>
        <v>rye</v>
      </c>
      <c r="H282" t="s">
        <v>326</v>
      </c>
      <c r="I282" s="13">
        <f>INDEX(Foderstater!$X$63:$AI$100,MATCH(E282,Foderstater!$U$63:$U$100,0),MATCH(A282&amp;C282&amp;D282,Foderstater!$X$62:$AI$62,0))</f>
        <v>5.6371722021104978E-3</v>
      </c>
      <c r="J282" s="159"/>
      <c r="K282" s="159"/>
    </row>
    <row r="283" spans="1:11" x14ac:dyDescent="0.25">
      <c r="A283" t="s">
        <v>2</v>
      </c>
      <c r="E283" t="str">
        <f>Foderstater!U$74</f>
        <v>maize</v>
      </c>
      <c r="H283" t="s">
        <v>326</v>
      </c>
      <c r="I283" s="13">
        <f>INDEX(Foderstater!$X$63:$AI$100,MATCH(E283,Foderstater!$U$63:$U$100,0),MATCH(A283&amp;C283&amp;D283,Foderstater!$X$62:$AI$62,0))</f>
        <v>2.4491361364359067E-2</v>
      </c>
      <c r="J283" s="159"/>
      <c r="K283" s="159"/>
    </row>
    <row r="284" spans="1:11" x14ac:dyDescent="0.25">
      <c r="A284" t="s">
        <v>2</v>
      </c>
      <c r="E284" t="str">
        <f>Foderstater!U$75</f>
        <v>peas</v>
      </c>
      <c r="H284" t="s">
        <v>326</v>
      </c>
      <c r="I284" s="13">
        <f>INDEX(Foderstater!$X$63:$AI$100,MATCH(E284,Foderstater!$U$63:$U$100,0),MATCH(A284&amp;C284&amp;D284,Foderstater!$X$62:$AI$62,0))</f>
        <v>3.3129545230803178E-2</v>
      </c>
      <c r="J284" s="159"/>
      <c r="K284" s="159"/>
    </row>
    <row r="285" spans="1:11" x14ac:dyDescent="0.25">
      <c r="A285" t="s">
        <v>2</v>
      </c>
      <c r="E285" t="str">
        <f>Foderstater!U$76</f>
        <v>broad beans</v>
      </c>
      <c r="H285" t="s">
        <v>326</v>
      </c>
      <c r="I285" s="13">
        <f>INDEX(Foderstater!$X$63:$AI$100,MATCH(E285,Foderstater!$U$63:$U$100,0),MATCH(A285&amp;C285&amp;D285,Foderstater!$X$62:$AI$62,0))</f>
        <v>4.0966798466627027E-2</v>
      </c>
      <c r="J285" s="159"/>
      <c r="K285" s="159"/>
    </row>
    <row r="286" spans="1:11" x14ac:dyDescent="0.25">
      <c r="A286" t="s">
        <v>2</v>
      </c>
      <c r="E286" t="str">
        <f>Foderstater!U$77</f>
        <v>rapeseed</v>
      </c>
      <c r="H286" t="s">
        <v>326</v>
      </c>
      <c r="I286" s="13">
        <f>INDEX(Foderstater!$X$63:$AI$100,MATCH(E286,Foderstater!$U$63:$U$100,0),MATCH(A286&amp;C286&amp;D286,Foderstater!$X$62:$AI$62,0))</f>
        <v>0.20821498275295594</v>
      </c>
      <c r="J286" s="159"/>
      <c r="K286" s="159"/>
    </row>
    <row r="287" spans="1:11" x14ac:dyDescent="0.25">
      <c r="A287" t="s">
        <v>2</v>
      </c>
      <c r="E287" t="str">
        <f>Foderstater!U$78</f>
        <v>linseed</v>
      </c>
      <c r="H287" t="s">
        <v>326</v>
      </c>
      <c r="I287" s="13">
        <f>INDEX(Foderstater!$X$63:$AI$100,MATCH(E287,Foderstater!$U$63:$U$100,0),MATCH(A287&amp;C287&amp;D287,Foderstater!$X$62:$AI$62,0))</f>
        <v>1.5359161204765519E-4</v>
      </c>
      <c r="J287" s="159"/>
      <c r="K287" s="159"/>
    </row>
    <row r="288" spans="1:11" x14ac:dyDescent="0.25">
      <c r="A288" t="s">
        <v>2</v>
      </c>
      <c r="E288" t="str">
        <f>Foderstater!U$79</f>
        <v>vegetable oils</v>
      </c>
      <c r="H288" t="s">
        <v>326</v>
      </c>
      <c r="I288" s="13">
        <f>INDEX(Foderstater!$X$63:$AI$100,MATCH(E288,Foderstater!$U$63:$U$100,0),MATCH(A288&amp;C288&amp;D288,Foderstater!$X$62:$AI$62,0))</f>
        <v>3.9652652617667341E-3</v>
      </c>
      <c r="J288" s="159"/>
      <c r="K288" s="159"/>
    </row>
    <row r="289" spans="1:11" x14ac:dyDescent="0.25">
      <c r="A289" t="s">
        <v>2</v>
      </c>
      <c r="E289" t="str">
        <f>Foderstater!U$80</f>
        <v>soybeans</v>
      </c>
      <c r="H289" t="s">
        <v>326</v>
      </c>
      <c r="I289" s="13">
        <f>INDEX(Foderstater!$X$63:$AI$100,MATCH(E289,Foderstater!$U$63:$U$100,0),MATCH(A289&amp;C289&amp;D289,Foderstater!$X$62:$AI$62,0))</f>
        <v>3.8749780117707201E-3</v>
      </c>
      <c r="J289" s="159"/>
      <c r="K289" s="159"/>
    </row>
    <row r="290" spans="1:11" x14ac:dyDescent="0.25">
      <c r="A290" t="s">
        <v>2</v>
      </c>
      <c r="E290" t="str">
        <f>Foderstater!U$81</f>
        <v>soybean meal</v>
      </c>
      <c r="H290" t="s">
        <v>326</v>
      </c>
      <c r="I290" s="13">
        <f>INDEX(Foderstater!$X$63:$AI$100,MATCH(E290,Foderstater!$U$63:$U$100,0),MATCH(A290&amp;C290&amp;D290,Foderstater!$X$62:$AI$62,0))</f>
        <v>3.5396486378307765E-2</v>
      </c>
      <c r="J290" s="159"/>
      <c r="K290" s="159"/>
    </row>
    <row r="291" spans="1:11" x14ac:dyDescent="0.25">
      <c r="A291" t="s">
        <v>2</v>
      </c>
      <c r="E291" t="str">
        <f>Foderstater!U$82</f>
        <v>soybean protein concentrate</v>
      </c>
      <c r="H291" t="s">
        <v>326</v>
      </c>
      <c r="I291" s="13">
        <f>INDEX(Foderstater!$X$63:$AI$100,MATCH(E291,Foderstater!$U$63:$U$100,0),MATCH(A291&amp;C291&amp;D291,Foderstater!$X$62:$AI$62,0))</f>
        <v>0</v>
      </c>
      <c r="J291" s="159"/>
      <c r="K291" s="159"/>
    </row>
    <row r="292" spans="1:11" x14ac:dyDescent="0.25">
      <c r="A292" t="s">
        <v>2</v>
      </c>
      <c r="E292" t="str">
        <f>Foderstater!U$83</f>
        <v>rapeseed meal</v>
      </c>
      <c r="H292" t="s">
        <v>326</v>
      </c>
      <c r="I292" s="13">
        <f>INDEX(Foderstater!$X$63:$AI$100,MATCH(E292,Foderstater!$U$63:$U$100,0),MATCH(A292&amp;C292&amp;D292,Foderstater!$X$62:$AI$62,0))</f>
        <v>0.27338946038309825</v>
      </c>
      <c r="J292" s="159"/>
      <c r="K292" s="159"/>
    </row>
    <row r="293" spans="1:11" x14ac:dyDescent="0.25">
      <c r="A293" t="s">
        <v>2</v>
      </c>
      <c r="E293" t="str">
        <f>Foderstater!U$84</f>
        <v>sunflower seed meal</v>
      </c>
      <c r="H293" t="s">
        <v>326</v>
      </c>
      <c r="I293" s="13">
        <f>INDEX(Foderstater!$X$63:$AI$100,MATCH(E293,Foderstater!$U$63:$U$100,0),MATCH(A293&amp;C293&amp;D293,Foderstater!$X$62:$AI$62,0))</f>
        <v>3.7766107728313516E-3</v>
      </c>
    </row>
    <row r="294" spans="1:11" x14ac:dyDescent="0.25">
      <c r="A294" t="s">
        <v>2</v>
      </c>
      <c r="E294" t="str">
        <f>Foderstater!U$85</f>
        <v>palm kernel expeller</v>
      </c>
      <c r="H294" t="s">
        <v>326</v>
      </c>
      <c r="I294" s="13">
        <f>INDEX(Foderstater!$X$63:$AI$100,MATCH(E294,Foderstater!$U$63:$U$100,0),MATCH(A294&amp;C294&amp;D294,Foderstater!$X$62:$AI$62,0))</f>
        <v>2.454011148600925E-2</v>
      </c>
    </row>
    <row r="295" spans="1:11" x14ac:dyDescent="0.25">
      <c r="A295" t="s">
        <v>2</v>
      </c>
      <c r="E295" t="str">
        <f>Foderstater!U$86</f>
        <v>luzern meal</v>
      </c>
      <c r="H295" t="s">
        <v>326</v>
      </c>
      <c r="I295" s="13">
        <f>INDEX(Foderstater!$X$63:$AI$100,MATCH(E295,Foderstater!$U$63:$U$100,0),MATCH(A295&amp;C295&amp;D295,Foderstater!$X$62:$AI$62,0))</f>
        <v>7.4648324517994124E-3</v>
      </c>
    </row>
    <row r="296" spans="1:11" x14ac:dyDescent="0.25">
      <c r="A296" t="s">
        <v>2</v>
      </c>
      <c r="E296" t="str">
        <f>Foderstater!U$87</f>
        <v>wheat bran</v>
      </c>
      <c r="H296" t="s">
        <v>326</v>
      </c>
      <c r="I296" s="13">
        <f>INDEX(Foderstater!$X$63:$AI$100,MATCH(E296,Foderstater!$U$63:$U$100,0),MATCH(A296&amp;C296&amp;D296,Foderstater!$X$62:$AI$62,0))</f>
        <v>8.1330352250506319E-2</v>
      </c>
    </row>
    <row r="297" spans="1:11" x14ac:dyDescent="0.25">
      <c r="A297" t="s">
        <v>2</v>
      </c>
      <c r="E297" t="str">
        <f>Foderstater!U$88</f>
        <v>wheat bran, fine</v>
      </c>
      <c r="H297" t="s">
        <v>326</v>
      </c>
      <c r="I297" s="13">
        <f>INDEX(Foderstater!$X$63:$AI$100,MATCH(E297,Foderstater!$U$63:$U$100,0),MATCH(A297&amp;C297&amp;D297,Foderstater!$X$62:$AI$62,0))</f>
        <v>2.1320226486804789E-4</v>
      </c>
    </row>
    <row r="298" spans="1:11" x14ac:dyDescent="0.25">
      <c r="A298" t="s">
        <v>2</v>
      </c>
      <c r="E298" t="str">
        <f>Foderstater!U$89</f>
        <v>oat hulls</v>
      </c>
      <c r="H298" t="s">
        <v>326</v>
      </c>
      <c r="I298" s="13">
        <f>INDEX(Foderstater!$X$63:$AI$100,MATCH(E298,Foderstater!$U$63:$U$100,0),MATCH(A298&amp;C298&amp;D298,Foderstater!$X$62:$AI$62,0))</f>
        <v>9.7954501133788105E-3</v>
      </c>
    </row>
    <row r="299" spans="1:11" x14ac:dyDescent="0.25">
      <c r="A299" t="s">
        <v>2</v>
      </c>
      <c r="E299" t="str">
        <f>Foderstater!U$90</f>
        <v>oat bran</v>
      </c>
      <c r="H299" t="s">
        <v>326</v>
      </c>
      <c r="I299" s="13">
        <f>INDEX(Foderstater!$X$63:$AI$100,MATCH(E299,Foderstater!$U$63:$U$100,0),MATCH(A299&amp;C299&amp;D299,Foderstater!$X$62:$AI$62,0))</f>
        <v>1.1055271729123049E-3</v>
      </c>
    </row>
    <row r="300" spans="1:11" x14ac:dyDescent="0.25">
      <c r="A300" t="s">
        <v>2</v>
      </c>
      <c r="E300" t="str">
        <f>Foderstater!U$91</f>
        <v>rye bran</v>
      </c>
      <c r="H300" t="s">
        <v>326</v>
      </c>
      <c r="I300" s="13">
        <f>INDEX(Foderstater!$X$63:$AI$100,MATCH(E300,Foderstater!$U$63:$U$100,0),MATCH(A300&amp;C300&amp;D300,Foderstater!$X$62:$AI$62,0))</f>
        <v>3.4094577852959427E-3</v>
      </c>
    </row>
    <row r="301" spans="1:11" x14ac:dyDescent="0.25">
      <c r="A301" t="s">
        <v>2</v>
      </c>
      <c r="E301" t="str">
        <f>Foderstater!U$92</f>
        <v>wheat distillers grain, dry</v>
      </c>
      <c r="H301" t="s">
        <v>326</v>
      </c>
      <c r="I301" s="13">
        <f>INDEX(Foderstater!$X$63:$AI$100,MATCH(E301,Foderstater!$U$63:$U$100,0),MATCH(A301&amp;C301&amp;D301,Foderstater!$X$62:$AI$62,0))</f>
        <v>8.7422402276057576E-2</v>
      </c>
    </row>
    <row r="302" spans="1:11" x14ac:dyDescent="0.25">
      <c r="A302" t="s">
        <v>2</v>
      </c>
      <c r="E302" t="str">
        <f>Foderstater!U$93</f>
        <v>barley brewers grain</v>
      </c>
      <c r="H302" t="s">
        <v>326</v>
      </c>
      <c r="I302" s="13">
        <f>INDEX(Foderstater!$X$63:$AI$100,MATCH(E302,Foderstater!$U$63:$U$100,0),MATCH(A302&amp;C302&amp;D302,Foderstater!$X$62:$AI$62,0))</f>
        <v>0</v>
      </c>
    </row>
    <row r="303" spans="1:11" x14ac:dyDescent="0.25">
      <c r="A303" t="s">
        <v>2</v>
      </c>
      <c r="E303" t="str">
        <f>Foderstater!U$94</f>
        <v>maize gluten meal</v>
      </c>
      <c r="H303" t="s">
        <v>326</v>
      </c>
      <c r="I303" s="13">
        <f>INDEX(Foderstater!$X$63:$AI$100,MATCH(E303,Foderstater!$U$63:$U$100,0),MATCH(A303&amp;C303&amp;D303,Foderstater!$X$62:$AI$62,0))</f>
        <v>2.6416305439262745E-3</v>
      </c>
    </row>
    <row r="304" spans="1:11" x14ac:dyDescent="0.25">
      <c r="A304" t="s">
        <v>2</v>
      </c>
      <c r="E304" t="str">
        <f>Foderstater!U$95</f>
        <v>sugar beet molasses</v>
      </c>
      <c r="H304" t="s">
        <v>326</v>
      </c>
      <c r="I304" s="13">
        <f>INDEX(Foderstater!$X$63:$AI$100,MATCH(E304,Foderstater!$U$63:$U$100,0),MATCH(A304&amp;C304&amp;D304,Foderstater!$X$62:$AI$62,0))</f>
        <v>2.929408071401712E-2</v>
      </c>
    </row>
    <row r="305" spans="1:12" x14ac:dyDescent="0.25">
      <c r="A305" t="s">
        <v>2</v>
      </c>
      <c r="E305" t="str">
        <f>Foderstater!U$96</f>
        <v>sugar beet pulp</v>
      </c>
      <c r="H305" t="s">
        <v>326</v>
      </c>
      <c r="I305" s="13">
        <f>INDEX(Foderstater!$X$63:$AI$100,MATCH(E305,Foderstater!$U$63:$U$100,0),MATCH(A305&amp;C305&amp;D305,Foderstater!$X$62:$AI$62,0))</f>
        <v>5.6525245770502136E-2</v>
      </c>
    </row>
    <row r="306" spans="1:12" x14ac:dyDescent="0.25">
      <c r="A306" t="s">
        <v>2</v>
      </c>
      <c r="E306" t="str">
        <f>Foderstater!U$97</f>
        <v>whey powder</v>
      </c>
      <c r="H306" t="s">
        <v>326</v>
      </c>
      <c r="I306" s="13">
        <f>INDEX(Foderstater!$X$63:$AI$100,MATCH(E306,Foderstater!$U$63:$U$100,0),MATCH(A306&amp;C306&amp;D306,Foderstater!$X$62:$AI$62,0))</f>
        <v>0</v>
      </c>
    </row>
    <row r="307" spans="1:12" x14ac:dyDescent="0.25">
      <c r="A307" t="s">
        <v>2</v>
      </c>
      <c r="E307" t="str">
        <f>Foderstater!U$98</f>
        <v>potatoe protein</v>
      </c>
      <c r="H307" t="s">
        <v>326</v>
      </c>
      <c r="I307" s="13">
        <f>INDEX(Foderstater!$X$63:$AI$100,MATCH(E307,Foderstater!$U$63:$U$100,0),MATCH(A307&amp;C307&amp;D307,Foderstater!$X$62:$AI$62,0))</f>
        <v>2.5878708291312121E-4</v>
      </c>
    </row>
    <row r="308" spans="1:12" x14ac:dyDescent="0.25">
      <c r="A308" t="s">
        <v>2</v>
      </c>
      <c r="E308" t="str">
        <f>Foderstater!U$99</f>
        <v>fish meal</v>
      </c>
      <c r="H308" t="s">
        <v>326</v>
      </c>
      <c r="I308" s="13">
        <f>INDEX(Foderstater!$X$63:$AI$100,MATCH(E308,Foderstater!$U$63:$U$100,0),MATCH(A308&amp;C308&amp;D308,Foderstater!$X$62:$AI$62,0))</f>
        <v>0</v>
      </c>
    </row>
    <row r="309" spans="1:12" x14ac:dyDescent="0.25">
      <c r="A309" t="s">
        <v>2</v>
      </c>
      <c r="E309" t="str">
        <f>Foderstater!U$100</f>
        <v>minerals</v>
      </c>
      <c r="H309" t="s">
        <v>326</v>
      </c>
      <c r="I309" s="13">
        <f>INDEX(Foderstater!$X$63:$AI$100,MATCH(E309,Foderstater!$U$63:$U$100,0),MATCH(A309&amp;C309&amp;D309,Foderstater!$X$62:$AI$62,0))</f>
        <v>0.72908796527420217</v>
      </c>
    </row>
    <row r="311" spans="1:12" x14ac:dyDescent="0.25">
      <c r="A311" s="81" t="s">
        <v>86</v>
      </c>
      <c r="B311" s="48"/>
      <c r="C311" s="48"/>
      <c r="D311" s="49"/>
      <c r="E311" s="49"/>
      <c r="F311" s="49"/>
      <c r="G311" s="49"/>
      <c r="H311" s="49"/>
      <c r="I311" s="162"/>
      <c r="J311" s="49"/>
      <c r="K311" s="49"/>
      <c r="L311" s="49"/>
    </row>
    <row r="312" spans="1:12" x14ac:dyDescent="0.25">
      <c r="A312" s="159" t="s">
        <v>2</v>
      </c>
      <c r="B312" s="159"/>
      <c r="C312" s="159"/>
      <c r="D312" s="159" t="s">
        <v>35</v>
      </c>
      <c r="H312" s="159" t="s">
        <v>326</v>
      </c>
      <c r="I312" s="159">
        <v>0</v>
      </c>
      <c r="J312" s="159"/>
      <c r="K312" s="159" t="s">
        <v>426</v>
      </c>
    </row>
    <row r="313" spans="1:12" x14ac:dyDescent="0.25">
      <c r="A313" t="s">
        <v>2</v>
      </c>
      <c r="D313" s="110" t="s">
        <v>35</v>
      </c>
      <c r="E313" t="str">
        <f>Foderstater!U$63</f>
        <v>ley silage, 1st cut</v>
      </c>
      <c r="H313" t="s">
        <v>326</v>
      </c>
      <c r="I313" s="13">
        <f>INDEX(Foderstater!$X$63:$AI$100,MATCH(E313,Foderstater!$U$63:$U$100,0),MATCH(A313&amp;C313&amp;D313,Foderstater!$X$62:$AI$62,0))</f>
        <v>65.065884609325579</v>
      </c>
      <c r="J313" s="159"/>
      <c r="K313" s="159"/>
    </row>
    <row r="314" spans="1:12" x14ac:dyDescent="0.25">
      <c r="A314" t="s">
        <v>2</v>
      </c>
      <c r="D314" s="110" t="s">
        <v>35</v>
      </c>
      <c r="E314" t="str">
        <f>Foderstater!U$64</f>
        <v>ley silage, regrowth</v>
      </c>
      <c r="H314" t="s">
        <v>326</v>
      </c>
      <c r="I314" s="13">
        <f>INDEX(Foderstater!$X$63:$AI$100,MATCH(E314,Foderstater!$U$63:$U$100,0),MATCH(A314&amp;C314&amp;D314,Foderstater!$X$62:$AI$62,0))</f>
        <v>0</v>
      </c>
      <c r="J314" s="159"/>
      <c r="K314" s="159"/>
    </row>
    <row r="315" spans="1:12" x14ac:dyDescent="0.25">
      <c r="A315" t="s">
        <v>2</v>
      </c>
      <c r="D315" s="110" t="s">
        <v>35</v>
      </c>
      <c r="E315" t="str">
        <f>Foderstater!U$65</f>
        <v>other silage</v>
      </c>
      <c r="H315" t="s">
        <v>326</v>
      </c>
      <c r="I315" s="13">
        <f>INDEX(Foderstater!$X$63:$AI$100,MATCH(E315,Foderstater!$U$63:$U$100,0),MATCH(A315&amp;C315&amp;D315,Foderstater!$X$62:$AI$62,0))</f>
        <v>0</v>
      </c>
      <c r="J315" s="159"/>
      <c r="K315" s="159"/>
    </row>
    <row r="316" spans="1:12" x14ac:dyDescent="0.25">
      <c r="A316" t="s">
        <v>2</v>
      </c>
      <c r="D316" s="110" t="s">
        <v>35</v>
      </c>
      <c r="E316" t="str">
        <f>Foderstater!U$66</f>
        <v>maize silage</v>
      </c>
      <c r="H316" t="s">
        <v>326</v>
      </c>
      <c r="I316" s="13">
        <f>INDEX(Foderstater!$X$63:$AI$100,MATCH(E316,Foderstater!$U$63:$U$100,0),MATCH(A316&amp;C316&amp;D316,Foderstater!$X$62:$AI$62,0))</f>
        <v>0</v>
      </c>
      <c r="J316" s="159"/>
      <c r="K316" s="159"/>
    </row>
    <row r="317" spans="1:12" x14ac:dyDescent="0.25">
      <c r="A317" t="s">
        <v>2</v>
      </c>
      <c r="D317" s="110" t="s">
        <v>35</v>
      </c>
      <c r="E317" t="str">
        <f>Foderstater!U$67</f>
        <v>straw</v>
      </c>
      <c r="H317" t="s">
        <v>326</v>
      </c>
      <c r="I317" s="13">
        <f>INDEX(Foderstater!$X$63:$AI$100,MATCH(E317,Foderstater!$U$63:$U$100,0),MATCH(A317&amp;C317&amp;D317,Foderstater!$X$62:$AI$62,0))</f>
        <v>0</v>
      </c>
      <c r="J317" s="159"/>
      <c r="K317" s="159"/>
    </row>
    <row r="318" spans="1:12" x14ac:dyDescent="0.25">
      <c r="A318" t="s">
        <v>2</v>
      </c>
      <c r="D318" s="110" t="s">
        <v>35</v>
      </c>
      <c r="E318" t="str">
        <f>Foderstater!U$68</f>
        <v>grazing</v>
      </c>
      <c r="H318" t="s">
        <v>326</v>
      </c>
      <c r="I318" s="13">
        <f>INDEX(Foderstater!$X$63:$AI$100,MATCH(E318,Foderstater!$U$63:$U$100,0),MATCH(A318&amp;C318&amp;D318,Foderstater!$X$62:$AI$62,0))</f>
        <v>0</v>
      </c>
      <c r="J318" s="159"/>
      <c r="K318" s="159"/>
    </row>
    <row r="319" spans="1:12" x14ac:dyDescent="0.25">
      <c r="A319" t="s">
        <v>2</v>
      </c>
      <c r="D319" s="110" t="s">
        <v>35</v>
      </c>
      <c r="E319" t="str">
        <f>Foderstater!U$69</f>
        <v>wheat</v>
      </c>
      <c r="H319" t="s">
        <v>326</v>
      </c>
      <c r="I319" s="13">
        <f>INDEX(Foderstater!$X$63:$AI$100,MATCH(E319,Foderstater!$U$63:$U$100,0),MATCH(A319&amp;C319&amp;D319,Foderstater!$X$62:$AI$62,0))</f>
        <v>7.597272449205918</v>
      </c>
      <c r="J319" s="159"/>
      <c r="K319" s="159"/>
    </row>
    <row r="320" spans="1:12" x14ac:dyDescent="0.25">
      <c r="A320" t="s">
        <v>2</v>
      </c>
      <c r="D320" s="110" t="s">
        <v>35</v>
      </c>
      <c r="E320" t="str">
        <f>Foderstater!U$70</f>
        <v>barley</v>
      </c>
      <c r="H320" t="s">
        <v>326</v>
      </c>
      <c r="I320" s="13">
        <f>INDEX(Foderstater!$X$63:$AI$100,MATCH(E320,Foderstater!$U$63:$U$100,0),MATCH(A320&amp;C320&amp;D320,Foderstater!$X$62:$AI$62,0))</f>
        <v>13.591338970365666</v>
      </c>
      <c r="J320" s="159"/>
      <c r="K320" s="159"/>
    </row>
    <row r="321" spans="1:11" x14ac:dyDescent="0.25">
      <c r="A321" t="s">
        <v>2</v>
      </c>
      <c r="D321" s="110" t="s">
        <v>35</v>
      </c>
      <c r="E321" t="str">
        <f>Foderstater!U$71</f>
        <v>oats</v>
      </c>
      <c r="H321" t="s">
        <v>326</v>
      </c>
      <c r="I321" s="13">
        <f>INDEX(Foderstater!$X$63:$AI$100,MATCH(E321,Foderstater!$U$63:$U$100,0),MATCH(A321&amp;C321&amp;D321,Foderstater!$X$62:$AI$62,0))</f>
        <v>3.1053519716836115</v>
      </c>
      <c r="J321" s="159"/>
      <c r="K321" s="159"/>
    </row>
    <row r="322" spans="1:11" x14ac:dyDescent="0.25">
      <c r="A322" t="s">
        <v>2</v>
      </c>
      <c r="D322" s="110" t="s">
        <v>35</v>
      </c>
      <c r="E322" t="str">
        <f>Foderstater!U$72</f>
        <v>triticale</v>
      </c>
      <c r="H322" t="s">
        <v>326</v>
      </c>
      <c r="I322" s="13">
        <f>INDEX(Foderstater!$X$63:$AI$100,MATCH(E322,Foderstater!$U$63:$U$100,0),MATCH(A322&amp;C322&amp;D322,Foderstater!$X$62:$AI$62,0))</f>
        <v>4.6592010515149394</v>
      </c>
      <c r="J322" s="159"/>
      <c r="K322" s="159"/>
    </row>
    <row r="323" spans="1:11" x14ac:dyDescent="0.25">
      <c r="A323" t="s">
        <v>2</v>
      </c>
      <c r="D323" s="110" t="s">
        <v>35</v>
      </c>
      <c r="E323" t="str">
        <f>Foderstater!U$73</f>
        <v>rye</v>
      </c>
      <c r="H323" t="s">
        <v>326</v>
      </c>
      <c r="I323" s="13">
        <f>INDEX(Foderstater!$X$63:$AI$100,MATCH(E323,Foderstater!$U$63:$U$100,0),MATCH(A323&amp;C323&amp;D323,Foderstater!$X$62:$AI$62,0))</f>
        <v>1.6945393347994473E-2</v>
      </c>
      <c r="J323" s="159"/>
      <c r="K323" s="159"/>
    </row>
    <row r="324" spans="1:11" x14ac:dyDescent="0.25">
      <c r="A324" t="s">
        <v>2</v>
      </c>
      <c r="D324" s="110" t="s">
        <v>35</v>
      </c>
      <c r="E324" t="str">
        <f>Foderstater!U$74</f>
        <v>maize</v>
      </c>
      <c r="H324" t="s">
        <v>326</v>
      </c>
      <c r="I324" s="13">
        <f>INDEX(Foderstater!$X$63:$AI$100,MATCH(E324,Foderstater!$U$63:$U$100,0),MATCH(A324&amp;C324&amp;D324,Foderstater!$X$62:$AI$62,0))</f>
        <v>7.3621265603978081E-2</v>
      </c>
      <c r="J324" s="159"/>
      <c r="K324" s="159"/>
    </row>
    <row r="325" spans="1:11" x14ac:dyDescent="0.25">
      <c r="A325" t="s">
        <v>2</v>
      </c>
      <c r="D325" s="110" t="s">
        <v>35</v>
      </c>
      <c r="E325" t="str">
        <f>Foderstater!U$75</f>
        <v>peas</v>
      </c>
      <c r="H325" t="s">
        <v>326</v>
      </c>
      <c r="I325" s="13">
        <f>INDEX(Foderstater!$X$63:$AI$100,MATCH(E325,Foderstater!$U$63:$U$100,0),MATCH(A325&amp;C325&amp;D325,Foderstater!$X$62:$AI$62,0))</f>
        <v>1.3794797059070938</v>
      </c>
      <c r="J325" s="159"/>
      <c r="K325" s="159"/>
    </row>
    <row r="326" spans="1:11" x14ac:dyDescent="0.25">
      <c r="A326" t="s">
        <v>2</v>
      </c>
      <c r="D326" s="110" t="s">
        <v>35</v>
      </c>
      <c r="E326" t="str">
        <f>Foderstater!U$76</f>
        <v>broad beans</v>
      </c>
      <c r="H326" t="s">
        <v>326</v>
      </c>
      <c r="I326" s="13">
        <f>INDEX(Foderstater!$X$63:$AI$100,MATCH(E326,Foderstater!$U$63:$U$100,0),MATCH(A326&amp;C326&amp;D326,Foderstater!$X$62:$AI$62,0))</f>
        <v>1.338045660068792</v>
      </c>
      <c r="J326" s="159"/>
      <c r="K326" s="159"/>
    </row>
    <row r="327" spans="1:11" x14ac:dyDescent="0.25">
      <c r="A327" t="s">
        <v>2</v>
      </c>
      <c r="D327" s="110" t="s">
        <v>35</v>
      </c>
      <c r="E327" t="str">
        <f>Foderstater!U$77</f>
        <v>rapeseed</v>
      </c>
      <c r="H327" t="s">
        <v>326</v>
      </c>
      <c r="I327" s="13">
        <f>INDEX(Foderstater!$X$63:$AI$100,MATCH(E327,Foderstater!$U$63:$U$100,0),MATCH(A327&amp;C327&amp;D327,Foderstater!$X$62:$AI$62,0))</f>
        <v>0.62589622193442496</v>
      </c>
      <c r="J327" s="159"/>
      <c r="K327" s="159"/>
    </row>
    <row r="328" spans="1:11" x14ac:dyDescent="0.25">
      <c r="A328" t="s">
        <v>2</v>
      </c>
      <c r="D328" s="110" t="s">
        <v>35</v>
      </c>
      <c r="E328" t="str">
        <f>Foderstater!U$78</f>
        <v>linseed</v>
      </c>
      <c r="H328" t="s">
        <v>326</v>
      </c>
      <c r="I328" s="13">
        <f>INDEX(Foderstater!$X$63:$AI$100,MATCH(E328,Foderstater!$U$63:$U$100,0),MATCH(A328&amp;C328&amp;D328,Foderstater!$X$62:$AI$62,0))</f>
        <v>4.6169784916729557E-4</v>
      </c>
      <c r="J328" s="159"/>
      <c r="K328" s="159"/>
    </row>
    <row r="329" spans="1:11" x14ac:dyDescent="0.25">
      <c r="A329" t="s">
        <v>2</v>
      </c>
      <c r="D329" s="110" t="s">
        <v>35</v>
      </c>
      <c r="E329" t="str">
        <f>Foderstater!U$79</f>
        <v>vegetable oils</v>
      </c>
      <c r="H329" t="s">
        <v>326</v>
      </c>
      <c r="I329" s="13">
        <f>INDEX(Foderstater!$X$63:$AI$100,MATCH(E329,Foderstater!$U$63:$U$100,0),MATCH(A329&amp;C329&amp;D329,Foderstater!$X$62:$AI$62,0))</f>
        <v>1.1919625156141098E-2</v>
      </c>
      <c r="J329" s="159"/>
      <c r="K329" s="159"/>
    </row>
    <row r="330" spans="1:11" x14ac:dyDescent="0.25">
      <c r="A330" t="s">
        <v>2</v>
      </c>
      <c r="D330" s="110" t="s">
        <v>35</v>
      </c>
      <c r="E330" t="str">
        <f>Foderstater!U$80</f>
        <v>soybeans</v>
      </c>
      <c r="H330" t="s">
        <v>326</v>
      </c>
      <c r="I330" s="13">
        <f>INDEX(Foderstater!$X$63:$AI$100,MATCH(E330,Foderstater!$U$63:$U$100,0),MATCH(A330&amp;C330&amp;D330,Foderstater!$X$62:$AI$62,0))</f>
        <v>1.1648220822436621E-2</v>
      </c>
      <c r="J330" s="159"/>
      <c r="K330" s="159"/>
    </row>
    <row r="331" spans="1:11" x14ac:dyDescent="0.25">
      <c r="A331" t="s">
        <v>2</v>
      </c>
      <c r="D331" s="110" t="s">
        <v>35</v>
      </c>
      <c r="E331" t="str">
        <f>Foderstater!U$81</f>
        <v>soybean meal</v>
      </c>
      <c r="H331" t="s">
        <v>326</v>
      </c>
      <c r="I331" s="13">
        <f>INDEX(Foderstater!$X$63:$AI$100,MATCH(E331,Foderstater!$U$63:$U$100,0),MATCH(A331&amp;C331&amp;D331,Foderstater!$X$62:$AI$62,0))</f>
        <v>0.10640217529505162</v>
      </c>
      <c r="J331" s="159"/>
      <c r="K331" s="159"/>
    </row>
    <row r="332" spans="1:11" x14ac:dyDescent="0.25">
      <c r="A332" t="s">
        <v>2</v>
      </c>
      <c r="D332" s="110" t="s">
        <v>35</v>
      </c>
      <c r="E332" t="str">
        <f>Foderstater!U$82</f>
        <v>soybean protein concentrate</v>
      </c>
      <c r="H332" t="s">
        <v>326</v>
      </c>
      <c r="I332" s="13">
        <f>INDEX(Foderstater!$X$63:$AI$100,MATCH(E332,Foderstater!$U$63:$U$100,0),MATCH(A332&amp;C332&amp;D332,Foderstater!$X$62:$AI$62,0))</f>
        <v>0</v>
      </c>
      <c r="J332" s="159"/>
      <c r="K332" s="159"/>
    </row>
    <row r="333" spans="1:11" x14ac:dyDescent="0.25">
      <c r="A333" t="s">
        <v>2</v>
      </c>
      <c r="D333" s="110" t="s">
        <v>35</v>
      </c>
      <c r="E333" t="str">
        <f>Foderstater!U$83</f>
        <v>rapeseed meal</v>
      </c>
      <c r="H333" t="s">
        <v>326</v>
      </c>
      <c r="I333" s="13">
        <f>INDEX(Foderstater!$X$63:$AI$100,MATCH(E333,Foderstater!$U$63:$U$100,0),MATCH(A333&amp;C333&amp;D333,Foderstater!$X$62:$AI$62,0))</f>
        <v>0.82181132264384626</v>
      </c>
      <c r="J333" s="159"/>
      <c r="K333" s="159"/>
    </row>
    <row r="334" spans="1:11" x14ac:dyDescent="0.25">
      <c r="A334" t="s">
        <v>2</v>
      </c>
      <c r="D334" s="110" t="s">
        <v>35</v>
      </c>
      <c r="E334" t="str">
        <f>Foderstater!U$84</f>
        <v>sunflower seed meal</v>
      </c>
      <c r="H334" t="s">
        <v>326</v>
      </c>
      <c r="I334" s="13">
        <f>INDEX(Foderstater!$X$63:$AI$100,MATCH(E334,Foderstater!$U$63:$U$100,0),MATCH(A334&amp;C334&amp;D334,Foderstater!$X$62:$AI$62,0))</f>
        <v>1.1352527964985915E-2</v>
      </c>
    </row>
    <row r="335" spans="1:11" x14ac:dyDescent="0.25">
      <c r="A335" t="s">
        <v>2</v>
      </c>
      <c r="D335" s="110" t="s">
        <v>35</v>
      </c>
      <c r="E335" t="str">
        <f>Foderstater!U$85</f>
        <v>palm kernel expeller</v>
      </c>
      <c r="H335" t="s">
        <v>326</v>
      </c>
      <c r="I335" s="13">
        <f>INDEX(Foderstater!$X$63:$AI$100,MATCH(E335,Foderstater!$U$63:$U$100,0),MATCH(A335&amp;C335&amp;D335,Foderstater!$X$62:$AI$62,0))</f>
        <v>7.3767808934127849E-2</v>
      </c>
    </row>
    <row r="336" spans="1:11" x14ac:dyDescent="0.25">
      <c r="A336" t="s">
        <v>2</v>
      </c>
      <c r="D336" s="110" t="s">
        <v>35</v>
      </c>
      <c r="E336" t="str">
        <f>Foderstater!U$86</f>
        <v>luzern meal</v>
      </c>
      <c r="H336" t="s">
        <v>326</v>
      </c>
      <c r="I336" s="13">
        <f>INDEX(Foderstater!$X$63:$AI$100,MATCH(E336,Foderstater!$U$63:$U$100,0),MATCH(A336&amp;C336&amp;D336,Foderstater!$X$62:$AI$62,0))</f>
        <v>2.2439357471687103E-2</v>
      </c>
    </row>
    <row r="337" spans="1:11" x14ac:dyDescent="0.25">
      <c r="A337" t="s">
        <v>2</v>
      </c>
      <c r="D337" s="110" t="s">
        <v>35</v>
      </c>
      <c r="E337" t="str">
        <f>Foderstater!U$87</f>
        <v>wheat bran</v>
      </c>
      <c r="H337" t="s">
        <v>326</v>
      </c>
      <c r="I337" s="13">
        <f>INDEX(Foderstater!$X$63:$AI$100,MATCH(E337,Foderstater!$U$63:$U$100,0),MATCH(A337&amp;C337&amp;D337,Foderstater!$X$62:$AI$62,0))</f>
        <v>0.24447981374416825</v>
      </c>
    </row>
    <row r="338" spans="1:11" x14ac:dyDescent="0.25">
      <c r="A338" t="s">
        <v>2</v>
      </c>
      <c r="D338" s="110" t="s">
        <v>35</v>
      </c>
      <c r="E338" t="str">
        <f>Foderstater!U$88</f>
        <v>wheat bran, fine</v>
      </c>
      <c r="H338" t="s">
        <v>326</v>
      </c>
      <c r="I338" s="13">
        <f>INDEX(Foderstater!$X$63:$AI$100,MATCH(E338,Foderstater!$U$63:$U$100,0),MATCH(A338&amp;C338&amp;D338,Foderstater!$X$62:$AI$62,0))</f>
        <v>6.4088803948898038E-4</v>
      </c>
    </row>
    <row r="339" spans="1:11" x14ac:dyDescent="0.25">
      <c r="A339" t="s">
        <v>2</v>
      </c>
      <c r="D339" s="110" t="s">
        <v>35</v>
      </c>
      <c r="E339" t="str">
        <f>Foderstater!U$89</f>
        <v>oat hulls</v>
      </c>
      <c r="H339" t="s">
        <v>326</v>
      </c>
      <c r="I339" s="13">
        <f>INDEX(Foderstater!$X$63:$AI$100,MATCH(E339,Foderstater!$U$63:$U$100,0),MATCH(A339&amp;C339&amp;D339,Foderstater!$X$62:$AI$62,0))</f>
        <v>2.9445216367475335E-2</v>
      </c>
    </row>
    <row r="340" spans="1:11" x14ac:dyDescent="0.25">
      <c r="A340" t="s">
        <v>2</v>
      </c>
      <c r="D340" s="110" t="s">
        <v>35</v>
      </c>
      <c r="E340" t="str">
        <f>Foderstater!U$90</f>
        <v>oat bran</v>
      </c>
      <c r="H340" t="s">
        <v>326</v>
      </c>
      <c r="I340" s="13">
        <f>INDEX(Foderstater!$X$63:$AI$100,MATCH(E340,Foderstater!$U$63:$U$100,0),MATCH(A340&amp;C340&amp;D340,Foderstater!$X$62:$AI$62,0))</f>
        <v>3.3232252147418258E-3</v>
      </c>
    </row>
    <row r="341" spans="1:11" x14ac:dyDescent="0.25">
      <c r="A341" t="s">
        <v>2</v>
      </c>
      <c r="D341" s="110" t="s">
        <v>35</v>
      </c>
      <c r="E341" t="str">
        <f>Foderstater!U$91</f>
        <v>rye bran</v>
      </c>
      <c r="H341" t="s">
        <v>326</v>
      </c>
      <c r="I341" s="13">
        <f>INDEX(Foderstater!$X$63:$AI$100,MATCH(E341,Foderstater!$U$63:$U$100,0),MATCH(A341&amp;C341&amp;D341,Foderstater!$X$62:$AI$62,0))</f>
        <v>1.0248862586385358E-2</v>
      </c>
    </row>
    <row r="342" spans="1:11" x14ac:dyDescent="0.25">
      <c r="A342" t="s">
        <v>2</v>
      </c>
      <c r="D342" s="110" t="s">
        <v>35</v>
      </c>
      <c r="E342" t="str">
        <f>Foderstater!U$92</f>
        <v>wheat distillers grain, dry</v>
      </c>
      <c r="H342" t="s">
        <v>326</v>
      </c>
      <c r="I342" s="13">
        <f>INDEX(Foderstater!$X$63:$AI$100,MATCH(E342,Foderstater!$U$63:$U$100,0),MATCH(A342&amp;C342&amp;D342,Foderstater!$X$62:$AI$62,0))</f>
        <v>0.2627925741632976</v>
      </c>
    </row>
    <row r="343" spans="1:11" x14ac:dyDescent="0.25">
      <c r="A343" t="s">
        <v>2</v>
      </c>
      <c r="D343" s="110" t="s">
        <v>35</v>
      </c>
      <c r="E343" t="str">
        <f>Foderstater!U$93</f>
        <v>barley brewers grain</v>
      </c>
      <c r="H343" t="s">
        <v>326</v>
      </c>
      <c r="I343" s="13">
        <f>INDEX(Foderstater!$X$63:$AI$100,MATCH(E343,Foderstater!$U$63:$U$100,0),MATCH(A343&amp;C343&amp;D343,Foderstater!$X$62:$AI$62,0))</f>
        <v>0</v>
      </c>
    </row>
    <row r="344" spans="1:11" x14ac:dyDescent="0.25">
      <c r="A344" t="s">
        <v>2</v>
      </c>
      <c r="D344" s="110" t="s">
        <v>35</v>
      </c>
      <c r="E344" t="str">
        <f>Foderstater!U$94</f>
        <v>maize gluten meal</v>
      </c>
      <c r="H344" t="s">
        <v>326</v>
      </c>
      <c r="I344" s="13">
        <f>INDEX(Foderstater!$X$63:$AI$100,MATCH(E344,Foderstater!$U$63:$U$100,0),MATCH(A344&amp;C344&amp;D344,Foderstater!$X$62:$AI$62,0))</f>
        <v>7.940766583314298E-3</v>
      </c>
    </row>
    <row r="345" spans="1:11" x14ac:dyDescent="0.25">
      <c r="A345" t="s">
        <v>2</v>
      </c>
      <c r="D345" s="110" t="s">
        <v>35</v>
      </c>
      <c r="E345" t="str">
        <f>Foderstater!U$95</f>
        <v>sugar beet molasses</v>
      </c>
      <c r="H345" t="s">
        <v>326</v>
      </c>
      <c r="I345" s="13">
        <f>INDEX(Foderstater!$X$63:$AI$100,MATCH(E345,Foderstater!$U$63:$U$100,0),MATCH(A345&amp;C345&amp;D345,Foderstater!$X$62:$AI$62,0))</f>
        <v>8.8058285727207697E-2</v>
      </c>
    </row>
    <row r="346" spans="1:11" x14ac:dyDescent="0.25">
      <c r="A346" t="s">
        <v>2</v>
      </c>
      <c r="D346" s="110" t="s">
        <v>35</v>
      </c>
      <c r="E346" t="str">
        <f>Foderstater!U$96</f>
        <v>sugar beet pulp</v>
      </c>
      <c r="H346" t="s">
        <v>326</v>
      </c>
      <c r="I346" s="13">
        <f>INDEX(Foderstater!$X$63:$AI$100,MATCH(E346,Foderstater!$U$63:$U$100,0),MATCH(A346&amp;C346&amp;D346,Foderstater!$X$62:$AI$62,0))</f>
        <v>0.16991542733333806</v>
      </c>
    </row>
    <row r="347" spans="1:11" x14ac:dyDescent="0.25">
      <c r="A347" t="s">
        <v>2</v>
      </c>
      <c r="D347" s="110" t="s">
        <v>35</v>
      </c>
      <c r="E347" t="str">
        <f>Foderstater!U$97</f>
        <v>whey powder</v>
      </c>
      <c r="H347" t="s">
        <v>326</v>
      </c>
      <c r="I347" s="13">
        <f>INDEX(Foderstater!$X$63:$AI$100,MATCH(E347,Foderstater!$U$63:$U$100,0),MATCH(A347&amp;C347&amp;D347,Foderstater!$X$62:$AI$62,0))</f>
        <v>0</v>
      </c>
    </row>
    <row r="348" spans="1:11" x14ac:dyDescent="0.25">
      <c r="A348" t="s">
        <v>2</v>
      </c>
      <c r="D348" s="110" t="s">
        <v>35</v>
      </c>
      <c r="E348" t="str">
        <f>Foderstater!U$98</f>
        <v>potatoe protein</v>
      </c>
      <c r="H348" t="s">
        <v>326</v>
      </c>
      <c r="I348" s="13">
        <f>INDEX(Foderstater!$X$63:$AI$100,MATCH(E348,Foderstater!$U$63:$U$100,0),MATCH(A348&amp;C348&amp;D348,Foderstater!$X$62:$AI$62,0))</f>
        <v>7.7791643684418715E-4</v>
      </c>
    </row>
    <row r="349" spans="1:11" x14ac:dyDescent="0.25">
      <c r="A349" t="s">
        <v>2</v>
      </c>
      <c r="D349" s="110" t="s">
        <v>35</v>
      </c>
      <c r="E349" t="str">
        <f>Foderstater!U$99</f>
        <v>fish meal</v>
      </c>
      <c r="H349" t="s">
        <v>326</v>
      </c>
      <c r="I349" s="13">
        <f>INDEX(Foderstater!$X$63:$AI$100,MATCH(E349,Foderstater!$U$63:$U$100,0),MATCH(A349&amp;C349&amp;D349,Foderstater!$X$62:$AI$62,0))</f>
        <v>0</v>
      </c>
    </row>
    <row r="350" spans="1:11" x14ac:dyDescent="0.25">
      <c r="A350" t="s">
        <v>2</v>
      </c>
      <c r="D350" s="110" t="s">
        <v>35</v>
      </c>
      <c r="E350" t="str">
        <f>Foderstater!U$100</f>
        <v>minerals</v>
      </c>
      <c r="H350" t="s">
        <v>326</v>
      </c>
      <c r="I350" s="13">
        <f>INDEX(Foderstater!$X$63:$AI$100,MATCH(E350,Foderstater!$U$63:$U$100,0),MATCH(A350&amp;C350&amp;D350,Foderstater!$X$62:$AI$62,0))</f>
        <v>0.66953698870828937</v>
      </c>
    </row>
    <row r="351" spans="1:11" x14ac:dyDescent="0.25">
      <c r="A351" s="159"/>
      <c r="B351" s="159"/>
      <c r="C351" s="159"/>
      <c r="D351" s="159"/>
      <c r="H351" s="159"/>
      <c r="I351" s="159"/>
      <c r="J351" s="159"/>
      <c r="K351" s="159"/>
    </row>
    <row r="352" spans="1:11" x14ac:dyDescent="0.25">
      <c r="A352" s="159" t="s">
        <v>2</v>
      </c>
      <c r="B352" s="159" t="s">
        <v>1</v>
      </c>
      <c r="C352" s="159" t="s">
        <v>432</v>
      </c>
      <c r="D352" s="159" t="s">
        <v>35</v>
      </c>
      <c r="H352" s="159" t="s">
        <v>326</v>
      </c>
      <c r="I352" s="159">
        <v>0</v>
      </c>
      <c r="J352" s="159"/>
      <c r="K352" s="159" t="s">
        <v>426</v>
      </c>
    </row>
    <row r="353" spans="1:11" x14ac:dyDescent="0.25">
      <c r="A353" t="s">
        <v>2</v>
      </c>
      <c r="B353" t="s">
        <v>1</v>
      </c>
      <c r="C353" t="s">
        <v>432</v>
      </c>
      <c r="D353" s="110" t="s">
        <v>35</v>
      </c>
      <c r="E353" t="str">
        <f>Foderstater!U$63</f>
        <v>ley silage, 1st cut</v>
      </c>
      <c r="H353" t="s">
        <v>326</v>
      </c>
      <c r="I353" s="13">
        <f>INDEX(Foderstater!$X$63:$AI$100,MATCH(E353,Foderstater!$U$63:$U$100,0),MATCH(A353&amp;C353&amp;D353,Foderstater!$X$62:$AI$62,0))</f>
        <v>56.668911580722877</v>
      </c>
      <c r="J353" s="159"/>
      <c r="K353" s="159"/>
    </row>
    <row r="354" spans="1:11" x14ac:dyDescent="0.25">
      <c r="A354" t="s">
        <v>2</v>
      </c>
      <c r="B354" t="s">
        <v>1</v>
      </c>
      <c r="C354" t="s">
        <v>432</v>
      </c>
      <c r="D354" s="110" t="s">
        <v>35</v>
      </c>
      <c r="E354" t="str">
        <f>Foderstater!U$64</f>
        <v>ley silage, regrowth</v>
      </c>
      <c r="H354" t="s">
        <v>326</v>
      </c>
      <c r="I354" s="13">
        <f>INDEX(Foderstater!$X$63:$AI$100,MATCH(E354,Foderstater!$U$63:$U$100,0),MATCH(A354&amp;C354&amp;D354,Foderstater!$X$62:$AI$62,0))</f>
        <v>0</v>
      </c>
      <c r="J354" s="159"/>
      <c r="K354" s="159"/>
    </row>
    <row r="355" spans="1:11" x14ac:dyDescent="0.25">
      <c r="A355" t="s">
        <v>2</v>
      </c>
      <c r="B355" t="s">
        <v>1</v>
      </c>
      <c r="C355" t="s">
        <v>432</v>
      </c>
      <c r="D355" s="110" t="s">
        <v>35</v>
      </c>
      <c r="E355" t="str">
        <f>Foderstater!U$65</f>
        <v>other silage</v>
      </c>
      <c r="H355" t="s">
        <v>326</v>
      </c>
      <c r="I355" s="13">
        <f>INDEX(Foderstater!$X$63:$AI$100,MATCH(E355,Foderstater!$U$63:$U$100,0),MATCH(A355&amp;C355&amp;D355,Foderstater!$X$62:$AI$62,0))</f>
        <v>0</v>
      </c>
      <c r="J355" s="159"/>
      <c r="K355" s="159"/>
    </row>
    <row r="356" spans="1:11" x14ac:dyDescent="0.25">
      <c r="A356" t="s">
        <v>2</v>
      </c>
      <c r="B356" t="s">
        <v>1</v>
      </c>
      <c r="C356" t="s">
        <v>432</v>
      </c>
      <c r="D356" s="110" t="s">
        <v>35</v>
      </c>
      <c r="E356" t="str">
        <f>Foderstater!U$66</f>
        <v>maize silage</v>
      </c>
      <c r="H356" t="s">
        <v>326</v>
      </c>
      <c r="I356" s="13">
        <f>INDEX(Foderstater!$X$63:$AI$100,MATCH(E356,Foderstater!$U$63:$U$100,0),MATCH(A356&amp;C356&amp;D356,Foderstater!$X$62:$AI$62,0))</f>
        <v>13.226790925693349</v>
      </c>
      <c r="J356" s="159"/>
      <c r="K356" s="159"/>
    </row>
    <row r="357" spans="1:11" x14ac:dyDescent="0.25">
      <c r="A357" t="s">
        <v>2</v>
      </c>
      <c r="B357" t="s">
        <v>1</v>
      </c>
      <c r="C357" t="s">
        <v>432</v>
      </c>
      <c r="D357" s="110" t="s">
        <v>35</v>
      </c>
      <c r="E357" t="str">
        <f>Foderstater!U$67</f>
        <v>straw</v>
      </c>
      <c r="H357" t="s">
        <v>326</v>
      </c>
      <c r="I357" s="13">
        <f>INDEX(Foderstater!$X$63:$AI$100,MATCH(E357,Foderstater!$U$63:$U$100,0),MATCH(A357&amp;C357&amp;D357,Foderstater!$X$62:$AI$62,0))</f>
        <v>0</v>
      </c>
      <c r="J357" s="159"/>
      <c r="K357" s="159"/>
    </row>
    <row r="358" spans="1:11" x14ac:dyDescent="0.25">
      <c r="A358" t="s">
        <v>2</v>
      </c>
      <c r="B358" t="s">
        <v>1</v>
      </c>
      <c r="C358" t="s">
        <v>432</v>
      </c>
      <c r="D358" s="110" t="s">
        <v>35</v>
      </c>
      <c r="E358" t="str">
        <f>Foderstater!U$68</f>
        <v>grazing</v>
      </c>
      <c r="H358" t="s">
        <v>326</v>
      </c>
      <c r="I358" s="13">
        <f>INDEX(Foderstater!$X$63:$AI$100,MATCH(E358,Foderstater!$U$63:$U$100,0),MATCH(A358&amp;C358&amp;D358,Foderstater!$X$62:$AI$62,0))</f>
        <v>0</v>
      </c>
      <c r="J358" s="159"/>
      <c r="K358" s="159"/>
    </row>
    <row r="359" spans="1:11" x14ac:dyDescent="0.25">
      <c r="A359" t="s">
        <v>2</v>
      </c>
      <c r="B359" t="s">
        <v>1</v>
      </c>
      <c r="C359" t="s">
        <v>432</v>
      </c>
      <c r="D359" s="110" t="s">
        <v>35</v>
      </c>
      <c r="E359" t="str">
        <f>Foderstater!U$69</f>
        <v>wheat</v>
      </c>
      <c r="H359" t="s">
        <v>326</v>
      </c>
      <c r="I359" s="13">
        <f>INDEX(Foderstater!$X$63:$AI$100,MATCH(E359,Foderstater!$U$63:$U$100,0),MATCH(A359&amp;C359&amp;D359,Foderstater!$X$62:$AI$62,0))</f>
        <v>6.3615760162052783</v>
      </c>
      <c r="J359" s="159"/>
      <c r="K359" s="159"/>
    </row>
    <row r="360" spans="1:11" x14ac:dyDescent="0.25">
      <c r="A360" t="s">
        <v>2</v>
      </c>
      <c r="B360" t="s">
        <v>1</v>
      </c>
      <c r="C360" t="s">
        <v>432</v>
      </c>
      <c r="D360" s="110" t="s">
        <v>35</v>
      </c>
      <c r="E360" t="str">
        <f>Foderstater!U$70</f>
        <v>barley</v>
      </c>
      <c r="H360" t="s">
        <v>326</v>
      </c>
      <c r="I360" s="13">
        <f>INDEX(Foderstater!$X$63:$AI$100,MATCH(E360,Foderstater!$U$63:$U$100,0),MATCH(A360&amp;C360&amp;D360,Foderstater!$X$62:$AI$62,0))</f>
        <v>12.896189928777954</v>
      </c>
      <c r="J360" s="159"/>
      <c r="K360" s="159"/>
    </row>
    <row r="361" spans="1:11" x14ac:dyDescent="0.25">
      <c r="A361" t="s">
        <v>2</v>
      </c>
      <c r="B361" t="s">
        <v>1</v>
      </c>
      <c r="C361" t="s">
        <v>432</v>
      </c>
      <c r="D361" s="110" t="s">
        <v>35</v>
      </c>
      <c r="E361" t="str">
        <f>Foderstater!U$71</f>
        <v>oats</v>
      </c>
      <c r="H361" t="s">
        <v>326</v>
      </c>
      <c r="I361" s="13">
        <f>INDEX(Foderstater!$X$63:$AI$100,MATCH(E361,Foderstater!$U$63:$U$100,0),MATCH(A361&amp;C361&amp;D361,Foderstater!$X$62:$AI$62,0))</f>
        <v>2.68903535703005</v>
      </c>
      <c r="J361" s="159"/>
      <c r="K361" s="159"/>
    </row>
    <row r="362" spans="1:11" x14ac:dyDescent="0.25">
      <c r="A362" t="s">
        <v>2</v>
      </c>
      <c r="B362" t="s">
        <v>1</v>
      </c>
      <c r="C362" t="s">
        <v>432</v>
      </c>
      <c r="D362" s="110" t="s">
        <v>35</v>
      </c>
      <c r="E362" t="str">
        <f>Foderstater!U$72</f>
        <v>triticale</v>
      </c>
      <c r="H362" t="s">
        <v>326</v>
      </c>
      <c r="I362" s="13">
        <f>INDEX(Foderstater!$X$63:$AI$100,MATCH(E362,Foderstater!$U$63:$U$100,0),MATCH(A362&amp;C362&amp;D362,Foderstater!$X$62:$AI$62,0))</f>
        <v>4.9410321920692617</v>
      </c>
      <c r="J362" s="159"/>
      <c r="K362" s="159"/>
    </row>
    <row r="363" spans="1:11" x14ac:dyDescent="0.25">
      <c r="A363" t="s">
        <v>2</v>
      </c>
      <c r="B363" t="s">
        <v>1</v>
      </c>
      <c r="C363" t="s">
        <v>432</v>
      </c>
      <c r="D363" s="110" t="s">
        <v>35</v>
      </c>
      <c r="E363" t="str">
        <f>Foderstater!U$73</f>
        <v>rye</v>
      </c>
      <c r="H363" t="s">
        <v>326</v>
      </c>
      <c r="I363" s="13">
        <f>INDEX(Foderstater!$X$63:$AI$100,MATCH(E363,Foderstater!$U$63:$U$100,0),MATCH(A363&amp;C363&amp;D363,Foderstater!$X$62:$AI$62,0))</f>
        <v>1.3668084713412143E-3</v>
      </c>
      <c r="J363" s="159"/>
      <c r="K363" s="159"/>
    </row>
    <row r="364" spans="1:11" x14ac:dyDescent="0.25">
      <c r="A364" t="s">
        <v>2</v>
      </c>
      <c r="B364" t="s">
        <v>1</v>
      </c>
      <c r="C364" t="s">
        <v>432</v>
      </c>
      <c r="D364" s="110" t="s">
        <v>35</v>
      </c>
      <c r="E364" t="str">
        <f>Foderstater!U$74</f>
        <v>maize</v>
      </c>
      <c r="H364" t="s">
        <v>326</v>
      </c>
      <c r="I364" s="13">
        <f>INDEX(Foderstater!$X$63:$AI$100,MATCH(E364,Foderstater!$U$63:$U$100,0),MATCH(A364&amp;C364&amp;D364,Foderstater!$X$62:$AI$62,0))</f>
        <v>4.8255588786707375E-2</v>
      </c>
      <c r="J364" s="159"/>
      <c r="K364" s="159"/>
    </row>
    <row r="365" spans="1:11" x14ac:dyDescent="0.25">
      <c r="A365" t="s">
        <v>2</v>
      </c>
      <c r="B365" t="s">
        <v>1</v>
      </c>
      <c r="C365" t="s">
        <v>432</v>
      </c>
      <c r="D365" s="110" t="s">
        <v>35</v>
      </c>
      <c r="E365" t="str">
        <f>Foderstater!U$75</f>
        <v>peas</v>
      </c>
      <c r="H365" t="s">
        <v>326</v>
      </c>
      <c r="I365" s="13">
        <f>INDEX(Foderstater!$X$63:$AI$100,MATCH(E365,Foderstater!$U$63:$U$100,0),MATCH(A365&amp;C365&amp;D365,Foderstater!$X$62:$AI$62,0))</f>
        <v>0.43086866195785822</v>
      </c>
      <c r="J365" s="159"/>
      <c r="K365" s="159"/>
    </row>
    <row r="366" spans="1:11" x14ac:dyDescent="0.25">
      <c r="A366" t="s">
        <v>2</v>
      </c>
      <c r="B366" t="s">
        <v>1</v>
      </c>
      <c r="C366" t="s">
        <v>432</v>
      </c>
      <c r="D366" s="110" t="s">
        <v>35</v>
      </c>
      <c r="E366" t="str">
        <f>Foderstater!U$76</f>
        <v>broad beans</v>
      </c>
      <c r="H366" t="s">
        <v>326</v>
      </c>
      <c r="I366" s="13">
        <f>INDEX(Foderstater!$X$63:$AI$100,MATCH(E366,Foderstater!$U$63:$U$100,0),MATCH(A366&amp;C366&amp;D366,Foderstater!$X$62:$AI$62,0))</f>
        <v>0.42774566708132739</v>
      </c>
      <c r="J366" s="159"/>
      <c r="K366" s="159"/>
    </row>
    <row r="367" spans="1:11" x14ac:dyDescent="0.25">
      <c r="A367" t="s">
        <v>2</v>
      </c>
      <c r="B367" t="s">
        <v>1</v>
      </c>
      <c r="C367" t="s">
        <v>432</v>
      </c>
      <c r="D367" s="110" t="s">
        <v>35</v>
      </c>
      <c r="E367" t="str">
        <f>Foderstater!U$77</f>
        <v>rapeseed</v>
      </c>
      <c r="H367" t="s">
        <v>326</v>
      </c>
      <c r="I367" s="13">
        <f>INDEX(Foderstater!$X$63:$AI$100,MATCH(E367,Foderstater!$U$63:$U$100,0),MATCH(A367&amp;C367&amp;D367,Foderstater!$X$62:$AI$62,0))</f>
        <v>0.41024818659446338</v>
      </c>
      <c r="J367" s="159"/>
      <c r="K367" s="159"/>
    </row>
    <row r="368" spans="1:11" x14ac:dyDescent="0.25">
      <c r="A368" t="s">
        <v>2</v>
      </c>
      <c r="B368" t="s">
        <v>1</v>
      </c>
      <c r="C368" t="s">
        <v>432</v>
      </c>
      <c r="D368" s="110" t="s">
        <v>35</v>
      </c>
      <c r="E368" t="str">
        <f>Foderstater!U$78</f>
        <v>linseed</v>
      </c>
      <c r="H368" t="s">
        <v>326</v>
      </c>
      <c r="I368" s="13">
        <f>INDEX(Foderstater!$X$63:$AI$100,MATCH(E368,Foderstater!$U$63:$U$100,0),MATCH(A368&amp;C368&amp;D368,Foderstater!$X$62:$AI$62,0))</f>
        <v>3.0262318054907772E-4</v>
      </c>
      <c r="J368" s="159"/>
      <c r="K368" s="159"/>
    </row>
    <row r="369" spans="1:11" x14ac:dyDescent="0.25">
      <c r="A369" t="s">
        <v>2</v>
      </c>
      <c r="B369" t="s">
        <v>1</v>
      </c>
      <c r="C369" t="s">
        <v>432</v>
      </c>
      <c r="D369" s="110" t="s">
        <v>35</v>
      </c>
      <c r="E369" t="str">
        <f>Foderstater!U$79</f>
        <v>vegetable oils</v>
      </c>
      <c r="H369" t="s">
        <v>326</v>
      </c>
      <c r="I369" s="13">
        <f>INDEX(Foderstater!$X$63:$AI$100,MATCH(E369,Foderstater!$U$63:$U$100,0),MATCH(A369&amp;C369&amp;D369,Foderstater!$X$62:$AI$62,0))</f>
        <v>7.8128041579790201E-3</v>
      </c>
      <c r="J369" s="159"/>
      <c r="K369" s="159"/>
    </row>
    <row r="370" spans="1:11" x14ac:dyDescent="0.25">
      <c r="A370" t="s">
        <v>2</v>
      </c>
      <c r="B370" t="s">
        <v>1</v>
      </c>
      <c r="C370" t="s">
        <v>432</v>
      </c>
      <c r="D370" s="110" t="s">
        <v>35</v>
      </c>
      <c r="E370" t="str">
        <f>Foderstater!U$80</f>
        <v>soybeans</v>
      </c>
      <c r="H370" t="s">
        <v>326</v>
      </c>
      <c r="I370" s="13">
        <f>INDEX(Foderstater!$X$63:$AI$100,MATCH(E370,Foderstater!$U$63:$U$100,0),MATCH(A370&amp;C370&amp;D370,Foderstater!$X$62:$AI$62,0))</f>
        <v>7.6349102327017302E-3</v>
      </c>
      <c r="J370" s="159"/>
      <c r="K370" s="159"/>
    </row>
    <row r="371" spans="1:11" x14ac:dyDescent="0.25">
      <c r="A371" t="s">
        <v>2</v>
      </c>
      <c r="B371" t="s">
        <v>1</v>
      </c>
      <c r="C371" t="s">
        <v>432</v>
      </c>
      <c r="D371" s="110" t="s">
        <v>35</v>
      </c>
      <c r="E371" t="str">
        <f>Foderstater!U$81</f>
        <v>soybean meal</v>
      </c>
      <c r="H371" t="s">
        <v>326</v>
      </c>
      <c r="I371" s="13">
        <f>INDEX(Foderstater!$X$63:$AI$100,MATCH(E371,Foderstater!$U$63:$U$100,0),MATCH(A371&amp;C371&amp;D371,Foderstater!$X$62:$AI$62,0))</f>
        <v>6.9742072143510206E-2</v>
      </c>
      <c r="J371" s="159"/>
      <c r="K371" s="159"/>
    </row>
    <row r="372" spans="1:11" x14ac:dyDescent="0.25">
      <c r="A372" t="s">
        <v>2</v>
      </c>
      <c r="B372" t="s">
        <v>1</v>
      </c>
      <c r="C372" t="s">
        <v>432</v>
      </c>
      <c r="D372" s="110" t="s">
        <v>35</v>
      </c>
      <c r="E372" t="str">
        <f>Foderstater!U$82</f>
        <v>soybean protein concentrate</v>
      </c>
      <c r="H372" t="s">
        <v>326</v>
      </c>
      <c r="I372" s="13">
        <f>INDEX(Foderstater!$X$63:$AI$100,MATCH(E372,Foderstater!$U$63:$U$100,0),MATCH(A372&amp;C372&amp;D372,Foderstater!$X$62:$AI$62,0))</f>
        <v>0</v>
      </c>
      <c r="J372" s="159"/>
      <c r="K372" s="159"/>
    </row>
    <row r="373" spans="1:11" x14ac:dyDescent="0.25">
      <c r="A373" t="s">
        <v>2</v>
      </c>
      <c r="B373" t="s">
        <v>1</v>
      </c>
      <c r="C373" t="s">
        <v>432</v>
      </c>
      <c r="D373" s="110" t="s">
        <v>35</v>
      </c>
      <c r="E373" t="str">
        <f>Foderstater!U$83</f>
        <v>rapeseed meal</v>
      </c>
      <c r="H373" t="s">
        <v>326</v>
      </c>
      <c r="I373" s="13">
        <f>INDEX(Foderstater!$X$63:$AI$100,MATCH(E373,Foderstater!$U$63:$U$100,0),MATCH(A373&amp;C373&amp;D373,Foderstater!$X$62:$AI$62,0))</f>
        <v>0.53866215040479692</v>
      </c>
      <c r="J373" s="159"/>
      <c r="K373" s="159"/>
    </row>
    <row r="374" spans="1:11" x14ac:dyDescent="0.25">
      <c r="A374" t="s">
        <v>2</v>
      </c>
      <c r="B374" t="s">
        <v>1</v>
      </c>
      <c r="C374" t="s">
        <v>432</v>
      </c>
      <c r="D374" s="110" t="s">
        <v>35</v>
      </c>
      <c r="E374" t="str">
        <f>Foderstater!U$84</f>
        <v>sunflower seed meal</v>
      </c>
      <c r="H374" t="s">
        <v>326</v>
      </c>
      <c r="I374" s="13">
        <f>INDEX(Foderstater!$X$63:$AI$100,MATCH(E374,Foderstater!$U$63:$U$100,0),MATCH(A374&amp;C374&amp;D374,Foderstater!$X$62:$AI$62,0))</f>
        <v>7.441096219600373E-3</v>
      </c>
    </row>
    <row r="375" spans="1:11" x14ac:dyDescent="0.25">
      <c r="A375" t="s">
        <v>2</v>
      </c>
      <c r="B375" t="s">
        <v>1</v>
      </c>
      <c r="C375" t="s">
        <v>432</v>
      </c>
      <c r="D375" s="110" t="s">
        <v>35</v>
      </c>
      <c r="E375" t="str">
        <f>Foderstater!U$85</f>
        <v>palm kernel expeller</v>
      </c>
      <c r="H375" t="s">
        <v>326</v>
      </c>
      <c r="I375" s="13">
        <f>INDEX(Foderstater!$X$63:$AI$100,MATCH(E375,Foderstater!$U$63:$U$100,0),MATCH(A375&amp;C375&amp;D375,Foderstater!$X$62:$AI$62,0))</f>
        <v>4.8351641667911303E-2</v>
      </c>
    </row>
    <row r="376" spans="1:11" x14ac:dyDescent="0.25">
      <c r="A376" t="s">
        <v>2</v>
      </c>
      <c r="B376" t="s">
        <v>1</v>
      </c>
      <c r="C376" t="s">
        <v>432</v>
      </c>
      <c r="D376" s="110" t="s">
        <v>35</v>
      </c>
      <c r="E376" t="str">
        <f>Foderstater!U$86</f>
        <v>luzern meal</v>
      </c>
      <c r="H376" t="s">
        <v>326</v>
      </c>
      <c r="I376" s="13">
        <f>INDEX(Foderstater!$X$63:$AI$100,MATCH(E376,Foderstater!$U$63:$U$100,0),MATCH(A376&amp;C376&amp;D376,Foderstater!$X$62:$AI$62,0))</f>
        <v>1.4708038471063079E-2</v>
      </c>
    </row>
    <row r="377" spans="1:11" x14ac:dyDescent="0.25">
      <c r="A377" t="s">
        <v>2</v>
      </c>
      <c r="B377" t="s">
        <v>1</v>
      </c>
      <c r="C377" t="s">
        <v>432</v>
      </c>
      <c r="D377" s="110" t="s">
        <v>35</v>
      </c>
      <c r="E377" t="str">
        <f>Foderstater!U$87</f>
        <v>wheat bran</v>
      </c>
      <c r="H377" t="s">
        <v>326</v>
      </c>
      <c r="I377" s="13">
        <f>INDEX(Foderstater!$X$63:$AI$100,MATCH(E377,Foderstater!$U$63:$U$100,0),MATCH(A377&amp;C377&amp;D377,Foderstater!$X$62:$AI$62,0))</f>
        <v>0.16024605474932127</v>
      </c>
    </row>
    <row r="378" spans="1:11" x14ac:dyDescent="0.25">
      <c r="A378" t="s">
        <v>2</v>
      </c>
      <c r="B378" t="s">
        <v>1</v>
      </c>
      <c r="C378" t="s">
        <v>432</v>
      </c>
      <c r="D378" s="110" t="s">
        <v>35</v>
      </c>
      <c r="E378" t="str">
        <f>Foderstater!U$88</f>
        <v>wheat bran, fine</v>
      </c>
      <c r="H378" t="s">
        <v>326</v>
      </c>
      <c r="I378" s="13">
        <f>INDEX(Foderstater!$X$63:$AI$100,MATCH(E378,Foderstater!$U$63:$U$100,0),MATCH(A378&amp;C378&amp;D378,Foderstater!$X$62:$AI$62,0))</f>
        <v>4.2007468138700703E-4</v>
      </c>
    </row>
    <row r="379" spans="1:11" x14ac:dyDescent="0.25">
      <c r="A379" t="s">
        <v>2</v>
      </c>
      <c r="B379" t="s">
        <v>1</v>
      </c>
      <c r="C379" t="s">
        <v>432</v>
      </c>
      <c r="D379" s="110" t="s">
        <v>35</v>
      </c>
      <c r="E379" t="str">
        <f>Foderstater!U$89</f>
        <v>oat hulls</v>
      </c>
      <c r="H379" t="s">
        <v>326</v>
      </c>
      <c r="I379" s="13">
        <f>INDEX(Foderstater!$X$63:$AI$100,MATCH(E379,Foderstater!$U$63:$U$100,0),MATCH(A379&amp;C379&amp;D379,Foderstater!$X$62:$AI$62,0))</f>
        <v>1.9300079142998843E-2</v>
      </c>
    </row>
    <row r="380" spans="1:11" x14ac:dyDescent="0.25">
      <c r="A380" t="s">
        <v>2</v>
      </c>
      <c r="B380" t="s">
        <v>1</v>
      </c>
      <c r="C380" t="s">
        <v>432</v>
      </c>
      <c r="D380" s="110" t="s">
        <v>35</v>
      </c>
      <c r="E380" t="str">
        <f>Foderstater!U$90</f>
        <v>oat bran</v>
      </c>
      <c r="H380" t="s">
        <v>326</v>
      </c>
      <c r="I380" s="13">
        <f>INDEX(Foderstater!$X$63:$AI$100,MATCH(E380,Foderstater!$U$63:$U$100,0),MATCH(A380&amp;C380&amp;D380,Foderstater!$X$62:$AI$62,0))</f>
        <v>2.178231902054312E-3</v>
      </c>
    </row>
    <row r="381" spans="1:11" x14ac:dyDescent="0.25">
      <c r="A381" t="s">
        <v>2</v>
      </c>
      <c r="B381" t="s">
        <v>1</v>
      </c>
      <c r="C381" t="s">
        <v>432</v>
      </c>
      <c r="D381" s="110" t="s">
        <v>35</v>
      </c>
      <c r="E381" t="str">
        <f>Foderstater!U$91</f>
        <v>rye bran</v>
      </c>
      <c r="H381" t="s">
        <v>326</v>
      </c>
      <c r="I381" s="13">
        <f>INDEX(Foderstater!$X$63:$AI$100,MATCH(E381,Foderstater!$U$63:$U$100,0),MATCH(A381&amp;C381&amp;D381,Foderstater!$X$62:$AI$62,0))</f>
        <v>6.7176907982054394E-3</v>
      </c>
    </row>
    <row r="382" spans="1:11" x14ac:dyDescent="0.25">
      <c r="A382" t="s">
        <v>2</v>
      </c>
      <c r="B382" t="s">
        <v>1</v>
      </c>
      <c r="C382" t="s">
        <v>432</v>
      </c>
      <c r="D382" s="110" t="s">
        <v>35</v>
      </c>
      <c r="E382" t="str">
        <f>Foderstater!U$92</f>
        <v>wheat distillers grain, dry</v>
      </c>
      <c r="H382" t="s">
        <v>326</v>
      </c>
      <c r="I382" s="13">
        <f>INDEX(Foderstater!$X$63:$AI$100,MATCH(E382,Foderstater!$U$63:$U$100,0),MATCH(A382&amp;C382&amp;D382,Foderstater!$X$62:$AI$62,0))</f>
        <v>0.17224928546106344</v>
      </c>
    </row>
    <row r="383" spans="1:11" x14ac:dyDescent="0.25">
      <c r="A383" t="s">
        <v>2</v>
      </c>
      <c r="B383" t="s">
        <v>1</v>
      </c>
      <c r="C383" t="s">
        <v>432</v>
      </c>
      <c r="D383" s="110" t="s">
        <v>35</v>
      </c>
      <c r="E383" t="str">
        <f>Foderstater!U$93</f>
        <v>barley brewers grain</v>
      </c>
      <c r="H383" t="s">
        <v>326</v>
      </c>
      <c r="I383" s="13">
        <f>INDEX(Foderstater!$X$63:$AI$100,MATCH(E383,Foderstater!$U$63:$U$100,0),MATCH(A383&amp;C383&amp;D383,Foderstater!$X$62:$AI$62,0))</f>
        <v>0</v>
      </c>
    </row>
    <row r="384" spans="1:11" x14ac:dyDescent="0.25">
      <c r="A384" t="s">
        <v>2</v>
      </c>
      <c r="B384" t="s">
        <v>1</v>
      </c>
      <c r="C384" t="s">
        <v>432</v>
      </c>
      <c r="D384" s="110" t="s">
        <v>35</v>
      </c>
      <c r="E384" t="str">
        <f>Foderstater!U$94</f>
        <v>maize gluten meal</v>
      </c>
      <c r="H384" t="s">
        <v>326</v>
      </c>
      <c r="I384" s="13">
        <f>INDEX(Foderstater!$X$63:$AI$100,MATCH(E384,Foderstater!$U$63:$U$100,0),MATCH(A384&amp;C384&amp;D384,Foderstater!$X$62:$AI$62,0))</f>
        <v>5.2048326492629164E-3</v>
      </c>
    </row>
    <row r="385" spans="1:12" x14ac:dyDescent="0.25">
      <c r="A385" t="s">
        <v>2</v>
      </c>
      <c r="B385" t="s">
        <v>1</v>
      </c>
      <c r="C385" t="s">
        <v>432</v>
      </c>
      <c r="D385" s="110" t="s">
        <v>35</v>
      </c>
      <c r="E385" t="str">
        <f>Foderstater!U$95</f>
        <v>sugar beet molasses</v>
      </c>
      <c r="H385" t="s">
        <v>326</v>
      </c>
      <c r="I385" s="13">
        <f>INDEX(Foderstater!$X$63:$AI$100,MATCH(E385,Foderstater!$U$63:$U$100,0),MATCH(A385&amp;C385&amp;D385,Foderstater!$X$62:$AI$62,0))</f>
        <v>5.7718437607039867E-2</v>
      </c>
    </row>
    <row r="386" spans="1:12" x14ac:dyDescent="0.25">
      <c r="A386" t="s">
        <v>2</v>
      </c>
      <c r="B386" t="s">
        <v>1</v>
      </c>
      <c r="C386" t="s">
        <v>432</v>
      </c>
      <c r="D386" s="110" t="s">
        <v>35</v>
      </c>
      <c r="E386" t="str">
        <f>Foderstater!U$96</f>
        <v>sugar beet pulp</v>
      </c>
      <c r="H386" t="s">
        <v>326</v>
      </c>
      <c r="I386" s="13">
        <f>INDEX(Foderstater!$X$63:$AI$100,MATCH(E386,Foderstater!$U$63:$U$100,0),MATCH(A386&amp;C386&amp;D386,Foderstater!$X$62:$AI$62,0))</f>
        <v>0.11137229063707067</v>
      </c>
    </row>
    <row r="387" spans="1:12" x14ac:dyDescent="0.25">
      <c r="A387" t="s">
        <v>2</v>
      </c>
      <c r="B387" t="s">
        <v>1</v>
      </c>
      <c r="C387" t="s">
        <v>432</v>
      </c>
      <c r="D387" s="110" t="s">
        <v>35</v>
      </c>
      <c r="E387" t="str">
        <f>Foderstater!U$97</f>
        <v>whey powder</v>
      </c>
      <c r="H387" t="s">
        <v>326</v>
      </c>
      <c r="I387" s="13">
        <f>INDEX(Foderstater!$X$63:$AI$100,MATCH(E387,Foderstater!$U$63:$U$100,0),MATCH(A387&amp;C387&amp;D387,Foderstater!$X$62:$AI$62,0))</f>
        <v>0</v>
      </c>
    </row>
    <row r="388" spans="1:12" x14ac:dyDescent="0.25">
      <c r="A388" t="s">
        <v>2</v>
      </c>
      <c r="B388" t="s">
        <v>1</v>
      </c>
      <c r="C388" t="s">
        <v>432</v>
      </c>
      <c r="D388" s="110" t="s">
        <v>35</v>
      </c>
      <c r="E388" t="str">
        <f>Foderstater!U$98</f>
        <v>potatoe protein</v>
      </c>
      <c r="H388" t="s">
        <v>326</v>
      </c>
      <c r="I388" s="13">
        <f>INDEX(Foderstater!$X$63:$AI$100,MATCH(E388,Foderstater!$U$63:$U$100,0),MATCH(A388&amp;C388&amp;D388,Foderstater!$X$62:$AI$62,0))</f>
        <v>5.0989093136080688E-4</v>
      </c>
    </row>
    <row r="389" spans="1:12" x14ac:dyDescent="0.25">
      <c r="A389" t="s">
        <v>2</v>
      </c>
      <c r="B389" t="s">
        <v>1</v>
      </c>
      <c r="C389" t="s">
        <v>432</v>
      </c>
      <c r="D389" s="110" t="s">
        <v>35</v>
      </c>
      <c r="E389" t="str">
        <f>Foderstater!U$99</f>
        <v>fish meal</v>
      </c>
      <c r="H389" t="s">
        <v>326</v>
      </c>
      <c r="I389" s="13">
        <f>INDEX(Foderstater!$X$63:$AI$100,MATCH(E389,Foderstater!$U$63:$U$100,0),MATCH(A389&amp;C389&amp;D389,Foderstater!$X$62:$AI$62,0))</f>
        <v>0</v>
      </c>
    </row>
    <row r="390" spans="1:12" x14ac:dyDescent="0.25">
      <c r="A390" t="s">
        <v>2</v>
      </c>
      <c r="B390" t="s">
        <v>1</v>
      </c>
      <c r="C390" t="s">
        <v>432</v>
      </c>
      <c r="D390" s="110" t="s">
        <v>35</v>
      </c>
      <c r="E390" t="str">
        <f>Foderstater!U$100</f>
        <v>minerals</v>
      </c>
      <c r="H390" t="s">
        <v>326</v>
      </c>
      <c r="I390" s="13">
        <f>INDEX(Foderstater!$X$63:$AI$100,MATCH(E390,Foderstater!$U$63:$U$100,0),MATCH(A390&amp;C390&amp;D390,Foderstater!$X$62:$AI$62,0))</f>
        <v>0.66740688157168271</v>
      </c>
    </row>
    <row r="392" spans="1:12" x14ac:dyDescent="0.25">
      <c r="A392" s="100" t="s">
        <v>304</v>
      </c>
      <c r="B392" s="100"/>
      <c r="C392" s="100"/>
      <c r="D392" s="101"/>
      <c r="E392" s="101"/>
      <c r="F392" s="101"/>
      <c r="G392" s="101"/>
      <c r="H392" s="101"/>
      <c r="I392" s="101"/>
      <c r="J392" s="101"/>
      <c r="K392" s="101"/>
      <c r="L392" s="101"/>
    </row>
    <row r="393" spans="1:12" x14ac:dyDescent="0.25">
      <c r="A393" s="91" t="s">
        <v>74</v>
      </c>
      <c r="B393" s="163"/>
      <c r="C393" s="163"/>
      <c r="D393" s="90"/>
      <c r="E393" s="90"/>
      <c r="F393" s="90"/>
      <c r="G393" s="90"/>
      <c r="H393" s="90"/>
      <c r="I393" s="164"/>
      <c r="J393" s="90"/>
      <c r="K393" s="90"/>
      <c r="L393" s="90"/>
    </row>
    <row r="394" spans="1:12" x14ac:dyDescent="0.25">
      <c r="A394" s="159" t="s">
        <v>38</v>
      </c>
      <c r="B394" s="159"/>
      <c r="C394" s="159"/>
      <c r="D394" s="159" t="s">
        <v>18</v>
      </c>
      <c r="H394" s="159" t="s">
        <v>326</v>
      </c>
      <c r="I394" s="159">
        <v>0</v>
      </c>
      <c r="J394" s="159"/>
      <c r="K394" s="159" t="s">
        <v>426</v>
      </c>
    </row>
    <row r="395" spans="1:12" x14ac:dyDescent="0.25">
      <c r="A395" t="s">
        <v>38</v>
      </c>
      <c r="D395" t="s">
        <v>18</v>
      </c>
      <c r="E395" t="str">
        <f>Foderstater!U$63</f>
        <v>ley silage, 1st cut</v>
      </c>
      <c r="H395" t="s">
        <v>326</v>
      </c>
      <c r="I395" s="13">
        <f>INDEX(Foderstater!$X$63:$AI$100,MATCH(E395,Foderstater!$U$63:$U$100,0),MATCH(A395&amp;C395&amp;D395,Foderstater!$X$62:$AI$62,0))</f>
        <v>0</v>
      </c>
      <c r="J395" s="159"/>
      <c r="K395" s="159"/>
    </row>
    <row r="396" spans="1:12" x14ac:dyDescent="0.25">
      <c r="A396" t="s">
        <v>38</v>
      </c>
      <c r="D396" t="s">
        <v>18</v>
      </c>
      <c r="E396" t="str">
        <f>Foderstater!U$64</f>
        <v>ley silage, regrowth</v>
      </c>
      <c r="H396" t="s">
        <v>326</v>
      </c>
      <c r="I396" s="13">
        <f>INDEX(Foderstater!$X$63:$AI$100,MATCH(E396,Foderstater!$U$63:$U$100,0),MATCH(A396&amp;C396&amp;D396,Foderstater!$X$62:$AI$62,0))</f>
        <v>16.4763372524008</v>
      </c>
      <c r="J396" s="159"/>
      <c r="K396" s="159"/>
    </row>
    <row r="397" spans="1:12" x14ac:dyDescent="0.25">
      <c r="A397" t="s">
        <v>38</v>
      </c>
      <c r="D397" t="s">
        <v>18</v>
      </c>
      <c r="E397" t="str">
        <f>Foderstater!U$65</f>
        <v>other silage</v>
      </c>
      <c r="H397" t="s">
        <v>326</v>
      </c>
      <c r="I397" s="13">
        <f>INDEX(Foderstater!$X$63:$AI$100,MATCH(E397,Foderstater!$U$63:$U$100,0),MATCH(A397&amp;C397&amp;D397,Foderstater!$X$62:$AI$62,0))</f>
        <v>17.049564668773787</v>
      </c>
      <c r="J397" s="159"/>
      <c r="K397" s="159"/>
    </row>
    <row r="398" spans="1:12" x14ac:dyDescent="0.25">
      <c r="A398" t="s">
        <v>38</v>
      </c>
      <c r="D398" t="s">
        <v>18</v>
      </c>
      <c r="E398" t="str">
        <f>Foderstater!U$66</f>
        <v>maize silage</v>
      </c>
      <c r="H398" t="s">
        <v>326</v>
      </c>
      <c r="I398" s="13">
        <f>INDEX(Foderstater!$X$63:$AI$100,MATCH(E398,Foderstater!$U$63:$U$100,0),MATCH(A398&amp;C398&amp;D398,Foderstater!$X$62:$AI$62,0))</f>
        <v>0</v>
      </c>
      <c r="J398" s="159"/>
      <c r="K398" s="159"/>
    </row>
    <row r="399" spans="1:12" x14ac:dyDescent="0.25">
      <c r="A399" t="s">
        <v>38</v>
      </c>
      <c r="D399" t="s">
        <v>18</v>
      </c>
      <c r="E399" t="str">
        <f>Foderstater!U$67</f>
        <v>straw</v>
      </c>
      <c r="H399" t="s">
        <v>326</v>
      </c>
      <c r="I399" s="13">
        <f>INDEX(Foderstater!$X$63:$AI$100,MATCH(E399,Foderstater!$U$63:$U$100,0),MATCH(A399&amp;C399&amp;D399,Foderstater!$X$62:$AI$62,0))</f>
        <v>17.049564668773787</v>
      </c>
      <c r="J399" s="159"/>
      <c r="K399" s="159"/>
    </row>
    <row r="400" spans="1:12" x14ac:dyDescent="0.25">
      <c r="A400" t="s">
        <v>38</v>
      </c>
      <c r="D400" t="s">
        <v>18</v>
      </c>
      <c r="E400" t="str">
        <f>Foderstater!U$68</f>
        <v>grazing</v>
      </c>
      <c r="H400" t="s">
        <v>326</v>
      </c>
      <c r="I400" s="13">
        <f>INDEX(Foderstater!$X$63:$AI$100,MATCH(E400,Foderstater!$U$63:$U$100,0),MATCH(A400&amp;C400&amp;D400,Foderstater!$X$62:$AI$62,0))</f>
        <v>48.703770344258132</v>
      </c>
      <c r="J400" s="159"/>
      <c r="K400" s="159"/>
    </row>
    <row r="401" spans="1:11" x14ac:dyDescent="0.25">
      <c r="A401" t="s">
        <v>38</v>
      </c>
      <c r="D401" t="s">
        <v>18</v>
      </c>
      <c r="E401" t="str">
        <f>Foderstater!U$69</f>
        <v>wheat</v>
      </c>
      <c r="H401" t="s">
        <v>326</v>
      </c>
      <c r="I401" s="13">
        <f>INDEX(Foderstater!$X$63:$AI$100,MATCH(E401,Foderstater!$U$63:$U$100,0),MATCH(A401&amp;C401&amp;D401,Foderstater!$X$62:$AI$62,0))</f>
        <v>0</v>
      </c>
      <c r="J401" s="159"/>
      <c r="K401" s="159"/>
    </row>
    <row r="402" spans="1:11" x14ac:dyDescent="0.25">
      <c r="A402" t="s">
        <v>38</v>
      </c>
      <c r="D402" t="s">
        <v>18</v>
      </c>
      <c r="E402" t="str">
        <f>Foderstater!U$70</f>
        <v>barley</v>
      </c>
      <c r="H402" t="s">
        <v>326</v>
      </c>
      <c r="I402" s="13">
        <f>INDEX(Foderstater!$X$63:$AI$100,MATCH(E402,Foderstater!$U$63:$U$100,0),MATCH(A402&amp;C402&amp;D402,Foderstater!$X$62:$AI$62,0))</f>
        <v>0</v>
      </c>
      <c r="J402" s="159"/>
      <c r="K402" s="159"/>
    </row>
    <row r="403" spans="1:11" x14ac:dyDescent="0.25">
      <c r="A403" t="s">
        <v>38</v>
      </c>
      <c r="D403" t="s">
        <v>18</v>
      </c>
      <c r="E403" t="str">
        <f>Foderstater!U$71</f>
        <v>oats</v>
      </c>
      <c r="H403" t="s">
        <v>326</v>
      </c>
      <c r="I403" s="13">
        <f>INDEX(Foderstater!$X$63:$AI$100,MATCH(E403,Foderstater!$U$63:$U$100,0),MATCH(A403&amp;C403&amp;D403,Foderstater!$X$62:$AI$62,0))</f>
        <v>0</v>
      </c>
      <c r="J403" s="159"/>
      <c r="K403" s="159"/>
    </row>
    <row r="404" spans="1:11" x14ac:dyDescent="0.25">
      <c r="A404" t="s">
        <v>38</v>
      </c>
      <c r="D404" t="s">
        <v>18</v>
      </c>
      <c r="E404" t="str">
        <f>Foderstater!U$72</f>
        <v>triticale</v>
      </c>
      <c r="H404" t="s">
        <v>326</v>
      </c>
      <c r="I404" s="13">
        <f>INDEX(Foderstater!$X$63:$AI$100,MATCH(E404,Foderstater!$U$63:$U$100,0),MATCH(A404&amp;C404&amp;D404,Foderstater!$X$62:$AI$62,0))</f>
        <v>0</v>
      </c>
      <c r="J404" s="159"/>
      <c r="K404" s="159"/>
    </row>
    <row r="405" spans="1:11" x14ac:dyDescent="0.25">
      <c r="A405" t="s">
        <v>38</v>
      </c>
      <c r="D405" t="s">
        <v>18</v>
      </c>
      <c r="E405" t="str">
        <f>Foderstater!U$73</f>
        <v>rye</v>
      </c>
      <c r="H405" t="s">
        <v>326</v>
      </c>
      <c r="I405" s="13">
        <f>INDEX(Foderstater!$X$63:$AI$100,MATCH(E405,Foderstater!$U$63:$U$100,0),MATCH(A405&amp;C405&amp;D405,Foderstater!$X$62:$AI$62,0))</f>
        <v>0</v>
      </c>
      <c r="J405" s="159"/>
      <c r="K405" s="159"/>
    </row>
    <row r="406" spans="1:11" x14ac:dyDescent="0.25">
      <c r="A406" t="s">
        <v>38</v>
      </c>
      <c r="D406" t="s">
        <v>18</v>
      </c>
      <c r="E406" t="str">
        <f>Foderstater!U$74</f>
        <v>maize</v>
      </c>
      <c r="H406" t="s">
        <v>326</v>
      </c>
      <c r="I406" s="13">
        <f>INDEX(Foderstater!$X$63:$AI$100,MATCH(E406,Foderstater!$U$63:$U$100,0),MATCH(A406&amp;C406&amp;D406,Foderstater!$X$62:$AI$62,0))</f>
        <v>0</v>
      </c>
      <c r="J406" s="159"/>
      <c r="K406" s="159"/>
    </row>
    <row r="407" spans="1:11" x14ac:dyDescent="0.25">
      <c r="A407" t="s">
        <v>38</v>
      </c>
      <c r="D407" t="s">
        <v>18</v>
      </c>
      <c r="E407" t="str">
        <f>Foderstater!U$75</f>
        <v>peas</v>
      </c>
      <c r="H407" t="s">
        <v>326</v>
      </c>
      <c r="I407" s="13">
        <f>INDEX(Foderstater!$X$63:$AI$100,MATCH(E407,Foderstater!$U$63:$U$100,0),MATCH(A407&amp;C407&amp;D407,Foderstater!$X$62:$AI$62,0))</f>
        <v>0</v>
      </c>
      <c r="J407" s="159"/>
      <c r="K407" s="159"/>
    </row>
    <row r="408" spans="1:11" x14ac:dyDescent="0.25">
      <c r="A408" t="s">
        <v>38</v>
      </c>
      <c r="D408" t="s">
        <v>18</v>
      </c>
      <c r="E408" t="str">
        <f>Foderstater!U$76</f>
        <v>broad beans</v>
      </c>
      <c r="H408" t="s">
        <v>326</v>
      </c>
      <c r="I408" s="13">
        <f>INDEX(Foderstater!$X$63:$AI$100,MATCH(E408,Foderstater!$U$63:$U$100,0),MATCH(A408&amp;C408&amp;D408,Foderstater!$X$62:$AI$62,0))</f>
        <v>0</v>
      </c>
      <c r="J408" s="159"/>
      <c r="K408" s="159"/>
    </row>
    <row r="409" spans="1:11" x14ac:dyDescent="0.25">
      <c r="A409" t="s">
        <v>38</v>
      </c>
      <c r="D409" t="s">
        <v>18</v>
      </c>
      <c r="E409" t="str">
        <f>Foderstater!U$77</f>
        <v>rapeseed</v>
      </c>
      <c r="H409" t="s">
        <v>326</v>
      </c>
      <c r="I409" s="13">
        <f>INDEX(Foderstater!$X$63:$AI$100,MATCH(E409,Foderstater!$U$63:$U$100,0),MATCH(A409&amp;C409&amp;D409,Foderstater!$X$62:$AI$62,0))</f>
        <v>0</v>
      </c>
      <c r="J409" s="159"/>
      <c r="K409" s="159"/>
    </row>
    <row r="410" spans="1:11" x14ac:dyDescent="0.25">
      <c r="A410" t="s">
        <v>38</v>
      </c>
      <c r="D410" t="s">
        <v>18</v>
      </c>
      <c r="E410" t="str">
        <f>Foderstater!U$78</f>
        <v>linseed</v>
      </c>
      <c r="H410" t="s">
        <v>326</v>
      </c>
      <c r="I410" s="13">
        <f>INDEX(Foderstater!$X$63:$AI$100,MATCH(E410,Foderstater!$U$63:$U$100,0),MATCH(A410&amp;C410&amp;D410,Foderstater!$X$62:$AI$62,0))</f>
        <v>0</v>
      </c>
      <c r="J410" s="159"/>
      <c r="K410" s="159"/>
    </row>
    <row r="411" spans="1:11" x14ac:dyDescent="0.25">
      <c r="A411" t="s">
        <v>38</v>
      </c>
      <c r="D411" t="s">
        <v>18</v>
      </c>
      <c r="E411" t="str">
        <f>Foderstater!U$79</f>
        <v>vegetable oils</v>
      </c>
      <c r="H411" t="s">
        <v>326</v>
      </c>
      <c r="I411" s="13">
        <f>INDEX(Foderstater!$X$63:$AI$100,MATCH(E411,Foderstater!$U$63:$U$100,0),MATCH(A411&amp;C411&amp;D411,Foderstater!$X$62:$AI$62,0))</f>
        <v>0</v>
      </c>
      <c r="J411" s="159"/>
      <c r="K411" s="159"/>
    </row>
    <row r="412" spans="1:11" x14ac:dyDescent="0.25">
      <c r="A412" t="s">
        <v>38</v>
      </c>
      <c r="D412" t="s">
        <v>18</v>
      </c>
      <c r="E412" t="str">
        <f>Foderstater!U$80</f>
        <v>soybeans</v>
      </c>
      <c r="H412" t="s">
        <v>326</v>
      </c>
      <c r="I412" s="13">
        <f>INDEX(Foderstater!$X$63:$AI$100,MATCH(E412,Foderstater!$U$63:$U$100,0),MATCH(A412&amp;C412&amp;D412,Foderstater!$X$62:$AI$62,0))</f>
        <v>0</v>
      </c>
      <c r="J412" s="159"/>
      <c r="K412" s="159"/>
    </row>
    <row r="413" spans="1:11" x14ac:dyDescent="0.25">
      <c r="A413" t="s">
        <v>38</v>
      </c>
      <c r="D413" t="s">
        <v>18</v>
      </c>
      <c r="E413" t="str">
        <f>Foderstater!U$81</f>
        <v>soybean meal</v>
      </c>
      <c r="H413" t="s">
        <v>326</v>
      </c>
      <c r="I413" s="13">
        <f>INDEX(Foderstater!$X$63:$AI$100,MATCH(E413,Foderstater!$U$63:$U$100,0),MATCH(A413&amp;C413&amp;D413,Foderstater!$X$62:$AI$62,0))</f>
        <v>0</v>
      </c>
      <c r="J413" s="159"/>
      <c r="K413" s="159"/>
    </row>
    <row r="414" spans="1:11" x14ac:dyDescent="0.25">
      <c r="A414" t="s">
        <v>38</v>
      </c>
      <c r="D414" t="s">
        <v>18</v>
      </c>
      <c r="E414" t="str">
        <f>Foderstater!U$82</f>
        <v>soybean protein concentrate</v>
      </c>
      <c r="H414" t="s">
        <v>326</v>
      </c>
      <c r="I414" s="13">
        <f>INDEX(Foderstater!$X$63:$AI$100,MATCH(E414,Foderstater!$U$63:$U$100,0),MATCH(A414&amp;C414&amp;D414,Foderstater!$X$62:$AI$62,0))</f>
        <v>0</v>
      </c>
      <c r="J414" s="159"/>
      <c r="K414" s="159"/>
    </row>
    <row r="415" spans="1:11" x14ac:dyDescent="0.25">
      <c r="A415" t="s">
        <v>38</v>
      </c>
      <c r="D415" t="s">
        <v>18</v>
      </c>
      <c r="E415" t="str">
        <f>Foderstater!U$83</f>
        <v>rapeseed meal</v>
      </c>
      <c r="H415" t="s">
        <v>326</v>
      </c>
      <c r="I415" s="13">
        <f>INDEX(Foderstater!$X$63:$AI$100,MATCH(E415,Foderstater!$U$63:$U$100,0),MATCH(A415&amp;C415&amp;D415,Foderstater!$X$62:$AI$62,0))</f>
        <v>0</v>
      </c>
      <c r="J415" s="159"/>
      <c r="K415" s="159"/>
    </row>
    <row r="416" spans="1:11" x14ac:dyDescent="0.25">
      <c r="A416" t="s">
        <v>38</v>
      </c>
      <c r="D416" t="s">
        <v>18</v>
      </c>
      <c r="E416" t="str">
        <f>Foderstater!U$84</f>
        <v>sunflower seed meal</v>
      </c>
      <c r="H416" t="s">
        <v>326</v>
      </c>
      <c r="I416" s="13">
        <f>INDEX(Foderstater!$X$63:$AI$100,MATCH(E416,Foderstater!$U$63:$U$100,0),MATCH(A416&amp;C416&amp;D416,Foderstater!$X$62:$AI$62,0))</f>
        <v>0</v>
      </c>
    </row>
    <row r="417" spans="1:9" x14ac:dyDescent="0.25">
      <c r="A417" t="s">
        <v>38</v>
      </c>
      <c r="D417" t="s">
        <v>18</v>
      </c>
      <c r="E417" t="str">
        <f>Foderstater!U$85</f>
        <v>palm kernel expeller</v>
      </c>
      <c r="H417" t="s">
        <v>326</v>
      </c>
      <c r="I417" s="13">
        <f>INDEX(Foderstater!$X$63:$AI$100,MATCH(E417,Foderstater!$U$63:$U$100,0),MATCH(A417&amp;C417&amp;D417,Foderstater!$X$62:$AI$62,0))</f>
        <v>0</v>
      </c>
    </row>
    <row r="418" spans="1:9" x14ac:dyDescent="0.25">
      <c r="A418" t="s">
        <v>38</v>
      </c>
      <c r="D418" t="s">
        <v>18</v>
      </c>
      <c r="E418" t="str">
        <f>Foderstater!U$86</f>
        <v>luzern meal</v>
      </c>
      <c r="H418" t="s">
        <v>326</v>
      </c>
      <c r="I418" s="13">
        <f>INDEX(Foderstater!$X$63:$AI$100,MATCH(E418,Foderstater!$U$63:$U$100,0),MATCH(A418&amp;C418&amp;D418,Foderstater!$X$62:$AI$62,0))</f>
        <v>0</v>
      </c>
    </row>
    <row r="419" spans="1:9" x14ac:dyDescent="0.25">
      <c r="A419" t="s">
        <v>38</v>
      </c>
      <c r="D419" t="s">
        <v>18</v>
      </c>
      <c r="E419" t="str">
        <f>Foderstater!U$87</f>
        <v>wheat bran</v>
      </c>
      <c r="H419" t="s">
        <v>326</v>
      </c>
      <c r="I419" s="13">
        <f>INDEX(Foderstater!$X$63:$AI$100,MATCH(E419,Foderstater!$U$63:$U$100,0),MATCH(A419&amp;C419&amp;D419,Foderstater!$X$62:$AI$62,0))</f>
        <v>0</v>
      </c>
    </row>
    <row r="420" spans="1:9" x14ac:dyDescent="0.25">
      <c r="A420" t="s">
        <v>38</v>
      </c>
      <c r="D420" t="s">
        <v>18</v>
      </c>
      <c r="E420" t="str">
        <f>Foderstater!U$88</f>
        <v>wheat bran, fine</v>
      </c>
      <c r="H420" t="s">
        <v>326</v>
      </c>
      <c r="I420" s="13">
        <f>INDEX(Foderstater!$X$63:$AI$100,MATCH(E420,Foderstater!$U$63:$U$100,0),MATCH(A420&amp;C420&amp;D420,Foderstater!$X$62:$AI$62,0))</f>
        <v>0</v>
      </c>
    </row>
    <row r="421" spans="1:9" x14ac:dyDescent="0.25">
      <c r="A421" t="s">
        <v>38</v>
      </c>
      <c r="D421" t="s">
        <v>18</v>
      </c>
      <c r="E421" t="str">
        <f>Foderstater!U$89</f>
        <v>oat hulls</v>
      </c>
      <c r="H421" t="s">
        <v>326</v>
      </c>
      <c r="I421" s="13">
        <f>INDEX(Foderstater!$X$63:$AI$100,MATCH(E421,Foderstater!$U$63:$U$100,0),MATCH(A421&amp;C421&amp;D421,Foderstater!$X$62:$AI$62,0))</f>
        <v>0</v>
      </c>
    </row>
    <row r="422" spans="1:9" x14ac:dyDescent="0.25">
      <c r="A422" t="s">
        <v>38</v>
      </c>
      <c r="D422" t="s">
        <v>18</v>
      </c>
      <c r="E422" t="str">
        <f>Foderstater!U$90</f>
        <v>oat bran</v>
      </c>
      <c r="H422" t="s">
        <v>326</v>
      </c>
      <c r="I422" s="13">
        <f>INDEX(Foderstater!$X$63:$AI$100,MATCH(E422,Foderstater!$U$63:$U$100,0),MATCH(A422&amp;C422&amp;D422,Foderstater!$X$62:$AI$62,0))</f>
        <v>0</v>
      </c>
    </row>
    <row r="423" spans="1:9" x14ac:dyDescent="0.25">
      <c r="A423" t="s">
        <v>38</v>
      </c>
      <c r="D423" t="s">
        <v>18</v>
      </c>
      <c r="E423" t="str">
        <f>Foderstater!U$91</f>
        <v>rye bran</v>
      </c>
      <c r="H423" t="s">
        <v>326</v>
      </c>
      <c r="I423" s="13">
        <f>INDEX(Foderstater!$X$63:$AI$100,MATCH(E423,Foderstater!$U$63:$U$100,0),MATCH(A423&amp;C423&amp;D423,Foderstater!$X$62:$AI$62,0))</f>
        <v>0</v>
      </c>
    </row>
    <row r="424" spans="1:9" x14ac:dyDescent="0.25">
      <c r="A424" t="s">
        <v>38</v>
      </c>
      <c r="D424" t="s">
        <v>18</v>
      </c>
      <c r="E424" t="str">
        <f>Foderstater!U$92</f>
        <v>wheat distillers grain, dry</v>
      </c>
      <c r="H424" t="s">
        <v>326</v>
      </c>
      <c r="I424" s="13">
        <f>INDEX(Foderstater!$X$63:$AI$100,MATCH(E424,Foderstater!$U$63:$U$100,0),MATCH(A424&amp;C424&amp;D424,Foderstater!$X$62:$AI$62,0))</f>
        <v>0</v>
      </c>
    </row>
    <row r="425" spans="1:9" x14ac:dyDescent="0.25">
      <c r="A425" t="s">
        <v>38</v>
      </c>
      <c r="D425" t="s">
        <v>18</v>
      </c>
      <c r="E425" t="str">
        <f>Foderstater!U$93</f>
        <v>barley brewers grain</v>
      </c>
      <c r="H425" t="s">
        <v>326</v>
      </c>
      <c r="I425" s="13">
        <f>INDEX(Foderstater!$X$63:$AI$100,MATCH(E425,Foderstater!$U$63:$U$100,0),MATCH(A425&amp;C425&amp;D425,Foderstater!$X$62:$AI$62,0))</f>
        <v>0</v>
      </c>
    </row>
    <row r="426" spans="1:9" x14ac:dyDescent="0.25">
      <c r="A426" t="s">
        <v>38</v>
      </c>
      <c r="D426" t="s">
        <v>18</v>
      </c>
      <c r="E426" t="str">
        <f>Foderstater!U$94</f>
        <v>maize gluten meal</v>
      </c>
      <c r="H426" t="s">
        <v>326</v>
      </c>
      <c r="I426" s="13">
        <f>INDEX(Foderstater!$X$63:$AI$100,MATCH(E426,Foderstater!$U$63:$U$100,0),MATCH(A426&amp;C426&amp;D426,Foderstater!$X$62:$AI$62,0))</f>
        <v>0</v>
      </c>
    </row>
    <row r="427" spans="1:9" x14ac:dyDescent="0.25">
      <c r="A427" t="s">
        <v>38</v>
      </c>
      <c r="D427" t="s">
        <v>18</v>
      </c>
      <c r="E427" t="str">
        <f>Foderstater!U$95</f>
        <v>sugar beet molasses</v>
      </c>
      <c r="H427" t="s">
        <v>326</v>
      </c>
      <c r="I427" s="13">
        <f>INDEX(Foderstater!$X$63:$AI$100,MATCH(E427,Foderstater!$U$63:$U$100,0),MATCH(A427&amp;C427&amp;D427,Foderstater!$X$62:$AI$62,0))</f>
        <v>0</v>
      </c>
    </row>
    <row r="428" spans="1:9" x14ac:dyDescent="0.25">
      <c r="A428" t="s">
        <v>38</v>
      </c>
      <c r="D428" t="s">
        <v>18</v>
      </c>
      <c r="E428" t="str">
        <f>Foderstater!U$96</f>
        <v>sugar beet pulp</v>
      </c>
      <c r="H428" t="s">
        <v>326</v>
      </c>
      <c r="I428" s="13">
        <f>INDEX(Foderstater!$X$63:$AI$100,MATCH(E428,Foderstater!$U$63:$U$100,0),MATCH(A428&amp;C428&amp;D428,Foderstater!$X$62:$AI$62,0))</f>
        <v>0</v>
      </c>
    </row>
    <row r="429" spans="1:9" x14ac:dyDescent="0.25">
      <c r="A429" t="s">
        <v>38</v>
      </c>
      <c r="D429" t="s">
        <v>18</v>
      </c>
      <c r="E429" t="str">
        <f>Foderstater!U$97</f>
        <v>whey powder</v>
      </c>
      <c r="H429" t="s">
        <v>326</v>
      </c>
      <c r="I429" s="13">
        <f>INDEX(Foderstater!$X$63:$AI$100,MATCH(E429,Foderstater!$U$63:$U$100,0),MATCH(A429&amp;C429&amp;D429,Foderstater!$X$62:$AI$62,0))</f>
        <v>0</v>
      </c>
    </row>
    <row r="430" spans="1:9" x14ac:dyDescent="0.25">
      <c r="A430" t="s">
        <v>38</v>
      </c>
      <c r="D430" t="s">
        <v>18</v>
      </c>
      <c r="E430" t="str">
        <f>Foderstater!U$98</f>
        <v>potatoe protein</v>
      </c>
      <c r="H430" t="s">
        <v>326</v>
      </c>
      <c r="I430" s="13">
        <f>INDEX(Foderstater!$X$63:$AI$100,MATCH(E430,Foderstater!$U$63:$U$100,0),MATCH(A430&amp;C430&amp;D430,Foderstater!$X$62:$AI$62,0))</f>
        <v>0</v>
      </c>
    </row>
    <row r="431" spans="1:9" x14ac:dyDescent="0.25">
      <c r="A431" t="s">
        <v>38</v>
      </c>
      <c r="D431" t="s">
        <v>18</v>
      </c>
      <c r="E431" t="str">
        <f>Foderstater!U$99</f>
        <v>fish meal</v>
      </c>
      <c r="H431" t="s">
        <v>326</v>
      </c>
      <c r="I431" s="13">
        <f>INDEX(Foderstater!$X$63:$AI$100,MATCH(E431,Foderstater!$U$63:$U$100,0),MATCH(A431&amp;C431&amp;D431,Foderstater!$X$62:$AI$62,0))</f>
        <v>0</v>
      </c>
    </row>
    <row r="432" spans="1:9" x14ac:dyDescent="0.25">
      <c r="A432" t="s">
        <v>38</v>
      </c>
      <c r="D432" t="s">
        <v>18</v>
      </c>
      <c r="E432" t="str">
        <f>Foderstater!U$100</f>
        <v>minerals</v>
      </c>
      <c r="H432" t="s">
        <v>326</v>
      </c>
      <c r="I432" s="13">
        <f>INDEX(Foderstater!$X$63:$AI$100,MATCH(E432,Foderstater!$U$63:$U$100,0),MATCH(A432&amp;C432&amp;D432,Foderstater!$X$62:$AI$62,0))</f>
        <v>0.72076306579348492</v>
      </c>
    </row>
    <row r="434" spans="1:12" x14ac:dyDescent="0.25">
      <c r="A434" s="91" t="s">
        <v>448</v>
      </c>
      <c r="B434" s="163"/>
      <c r="C434" s="163"/>
      <c r="D434" s="90"/>
      <c r="E434" s="90"/>
      <c r="F434" s="90"/>
      <c r="G434" s="90"/>
      <c r="H434" s="90"/>
      <c r="I434" s="164"/>
      <c r="J434" s="90"/>
      <c r="K434" s="90"/>
      <c r="L434" s="90"/>
    </row>
    <row r="435" spans="1:12" x14ac:dyDescent="0.25">
      <c r="A435" s="159" t="s">
        <v>38</v>
      </c>
      <c r="B435" s="159"/>
      <c r="C435" s="159"/>
      <c r="D435" s="159" t="s">
        <v>20</v>
      </c>
      <c r="H435" s="159" t="s">
        <v>326</v>
      </c>
      <c r="I435" s="159">
        <v>0</v>
      </c>
      <c r="J435" s="159"/>
      <c r="K435" s="159" t="s">
        <v>426</v>
      </c>
    </row>
    <row r="436" spans="1:12" x14ac:dyDescent="0.25">
      <c r="A436" t="s">
        <v>38</v>
      </c>
      <c r="D436" t="s">
        <v>20</v>
      </c>
      <c r="E436" t="str">
        <f>Foderstater!U$63</f>
        <v>ley silage, 1st cut</v>
      </c>
      <c r="H436" t="s">
        <v>326</v>
      </c>
      <c r="I436" s="13">
        <f>INDEX(Foderstater!$X$63:$AI$100,MATCH(E436,Foderstater!$U$63:$U$100,0),MATCH(A436&amp;C436&amp;D436,Foderstater!$X$62:$AI$62,0))</f>
        <v>55.38698659192309</v>
      </c>
      <c r="J436" s="159"/>
      <c r="K436" s="159"/>
    </row>
    <row r="437" spans="1:12" x14ac:dyDescent="0.25">
      <c r="A437" t="s">
        <v>38</v>
      </c>
      <c r="D437" t="s">
        <v>20</v>
      </c>
      <c r="E437" t="str">
        <f>Foderstater!U$64</f>
        <v>ley silage, regrowth</v>
      </c>
      <c r="H437" t="s">
        <v>326</v>
      </c>
      <c r="I437" s="13">
        <f>INDEX(Foderstater!$X$63:$AI$100,MATCH(E437,Foderstater!$U$63:$U$100,0),MATCH(A437&amp;C437&amp;D437,Foderstater!$X$62:$AI$62,0))</f>
        <v>0</v>
      </c>
      <c r="J437" s="159"/>
      <c r="K437" s="159"/>
    </row>
    <row r="438" spans="1:12" x14ac:dyDescent="0.25">
      <c r="A438" t="s">
        <v>38</v>
      </c>
      <c r="D438" t="s">
        <v>20</v>
      </c>
      <c r="E438" t="str">
        <f>Foderstater!U$65</f>
        <v>other silage</v>
      </c>
      <c r="H438" t="s">
        <v>326</v>
      </c>
      <c r="I438" s="13">
        <f>INDEX(Foderstater!$X$63:$AI$100,MATCH(E438,Foderstater!$U$63:$U$100,0),MATCH(A438&amp;C438&amp;D438,Foderstater!$X$62:$AI$62,0))</f>
        <v>0</v>
      </c>
      <c r="J438" s="159"/>
      <c r="K438" s="159"/>
    </row>
    <row r="439" spans="1:12" x14ac:dyDescent="0.25">
      <c r="A439" t="s">
        <v>38</v>
      </c>
      <c r="D439" t="s">
        <v>20</v>
      </c>
      <c r="E439" t="str">
        <f>Foderstater!U$66</f>
        <v>maize silage</v>
      </c>
      <c r="H439" t="s">
        <v>326</v>
      </c>
      <c r="I439" s="13">
        <f>INDEX(Foderstater!$X$63:$AI$100,MATCH(E439,Foderstater!$U$63:$U$100,0),MATCH(A439&amp;C439&amp;D439,Foderstater!$X$62:$AI$62,0))</f>
        <v>0</v>
      </c>
      <c r="J439" s="159"/>
      <c r="K439" s="159"/>
    </row>
    <row r="440" spans="1:12" x14ac:dyDescent="0.25">
      <c r="A440" t="s">
        <v>38</v>
      </c>
      <c r="D440" t="s">
        <v>20</v>
      </c>
      <c r="E440" t="str">
        <f>Foderstater!U$67</f>
        <v>straw</v>
      </c>
      <c r="H440" t="s">
        <v>326</v>
      </c>
      <c r="I440" s="13">
        <f>INDEX(Foderstater!$X$63:$AI$100,MATCH(E440,Foderstater!$U$63:$U$100,0),MATCH(A440&amp;C440&amp;D440,Foderstater!$X$62:$AI$62,0))</f>
        <v>0</v>
      </c>
      <c r="J440" s="159"/>
      <c r="K440" s="159"/>
    </row>
    <row r="441" spans="1:12" x14ac:dyDescent="0.25">
      <c r="A441" t="s">
        <v>38</v>
      </c>
      <c r="D441" t="s">
        <v>20</v>
      </c>
      <c r="E441" t="str">
        <f>Foderstater!U$68</f>
        <v>grazing</v>
      </c>
      <c r="H441" t="s">
        <v>326</v>
      </c>
      <c r="I441" s="13">
        <f>INDEX(Foderstater!$X$63:$AI$100,MATCH(E441,Foderstater!$U$63:$U$100,0),MATCH(A441&amp;C441&amp;D441,Foderstater!$X$62:$AI$62,0))</f>
        <v>21.161076246926353</v>
      </c>
      <c r="J441" s="159"/>
      <c r="K441" s="159"/>
    </row>
    <row r="442" spans="1:12" x14ac:dyDescent="0.25">
      <c r="A442" t="s">
        <v>38</v>
      </c>
      <c r="D442" t="s">
        <v>20</v>
      </c>
      <c r="E442" t="str">
        <f>Foderstater!U$69</f>
        <v>wheat</v>
      </c>
      <c r="H442" t="s">
        <v>326</v>
      </c>
      <c r="I442" s="13">
        <f>INDEX(Foderstater!$X$63:$AI$100,MATCH(E442,Foderstater!$U$63:$U$100,0),MATCH(A442&amp;C442&amp;D442,Foderstater!$X$62:$AI$62,0))</f>
        <v>5.3749925447045763</v>
      </c>
      <c r="J442" s="159"/>
      <c r="K442" s="159"/>
    </row>
    <row r="443" spans="1:12" x14ac:dyDescent="0.25">
      <c r="A443" t="s">
        <v>38</v>
      </c>
      <c r="D443" t="s">
        <v>20</v>
      </c>
      <c r="E443" t="str">
        <f>Foderstater!U$70</f>
        <v>barley</v>
      </c>
      <c r="H443" t="s">
        <v>326</v>
      </c>
      <c r="I443" s="13">
        <f>INDEX(Foderstater!$X$63:$AI$100,MATCH(E443,Foderstater!$U$63:$U$100,0),MATCH(A443&amp;C443&amp;D443,Foderstater!$X$62:$AI$62,0))</f>
        <v>9.8776139053089249</v>
      </c>
      <c r="J443" s="159"/>
      <c r="K443" s="159"/>
    </row>
    <row r="444" spans="1:12" x14ac:dyDescent="0.25">
      <c r="A444" t="s">
        <v>38</v>
      </c>
      <c r="D444" t="s">
        <v>20</v>
      </c>
      <c r="E444" t="str">
        <f>Foderstater!U$71</f>
        <v>oats</v>
      </c>
      <c r="H444" t="s">
        <v>326</v>
      </c>
      <c r="I444" s="13">
        <f>INDEX(Foderstater!$X$63:$AI$100,MATCH(E444,Foderstater!$U$63:$U$100,0),MATCH(A444&amp;C444&amp;D444,Foderstater!$X$62:$AI$62,0))</f>
        <v>2.2123443310104149</v>
      </c>
      <c r="J444" s="159"/>
      <c r="K444" s="159"/>
    </row>
    <row r="445" spans="1:12" x14ac:dyDescent="0.25">
      <c r="A445" t="s">
        <v>38</v>
      </c>
      <c r="D445" t="s">
        <v>20</v>
      </c>
      <c r="E445" t="str">
        <f>Foderstater!U$72</f>
        <v>triticale</v>
      </c>
      <c r="H445" t="s">
        <v>326</v>
      </c>
      <c r="I445" s="13">
        <f>INDEX(Foderstater!$X$63:$AI$100,MATCH(E445,Foderstater!$U$63:$U$100,0),MATCH(A445&amp;C445&amp;D445,Foderstater!$X$62:$AI$62,0))</f>
        <v>3.4759922520526634</v>
      </c>
      <c r="J445" s="159"/>
      <c r="K445" s="159"/>
    </row>
    <row r="446" spans="1:12" x14ac:dyDescent="0.25">
      <c r="A446" t="s">
        <v>38</v>
      </c>
      <c r="D446" t="s">
        <v>20</v>
      </c>
      <c r="E446" t="str">
        <f>Foderstater!U$73</f>
        <v>rye</v>
      </c>
      <c r="H446" t="s">
        <v>326</v>
      </c>
      <c r="I446" s="13">
        <f>INDEX(Foderstater!$X$63:$AI$100,MATCH(E446,Foderstater!$U$63:$U$100,0),MATCH(A446&amp;C446&amp;D446,Foderstater!$X$62:$AI$62,0))</f>
        <v>9.7729344009567475E-3</v>
      </c>
      <c r="J446" s="159"/>
      <c r="K446" s="159"/>
    </row>
    <row r="447" spans="1:12" x14ac:dyDescent="0.25">
      <c r="A447" t="s">
        <v>38</v>
      </c>
      <c r="D447" t="s">
        <v>20</v>
      </c>
      <c r="E447" t="str">
        <f>Foderstater!U$74</f>
        <v>maize</v>
      </c>
      <c r="H447" t="s">
        <v>326</v>
      </c>
      <c r="I447" s="13">
        <f>INDEX(Foderstater!$X$63:$AI$100,MATCH(E447,Foderstater!$U$63:$U$100,0),MATCH(A447&amp;C447&amp;D447,Foderstater!$X$62:$AI$62,0))</f>
        <v>4.2459669391401007E-2</v>
      </c>
      <c r="J447" s="159"/>
      <c r="K447" s="159"/>
    </row>
    <row r="448" spans="1:12" x14ac:dyDescent="0.25">
      <c r="A448" t="s">
        <v>38</v>
      </c>
      <c r="D448" t="s">
        <v>20</v>
      </c>
      <c r="E448" t="str">
        <f>Foderstater!U$75</f>
        <v>peas</v>
      </c>
      <c r="H448" t="s">
        <v>326</v>
      </c>
      <c r="I448" s="13">
        <f>INDEX(Foderstater!$X$63:$AI$100,MATCH(E448,Foderstater!$U$63:$U$100,0),MATCH(A448&amp;C448&amp;D448,Foderstater!$X$62:$AI$62,0))</f>
        <v>0.18818835539063533</v>
      </c>
      <c r="J448" s="159"/>
      <c r="K448" s="159"/>
    </row>
    <row r="449" spans="1:11" x14ac:dyDescent="0.25">
      <c r="A449" t="s">
        <v>38</v>
      </c>
      <c r="D449" t="s">
        <v>20</v>
      </c>
      <c r="E449" t="str">
        <f>Foderstater!U$76</f>
        <v>broad beans</v>
      </c>
      <c r="H449" t="s">
        <v>326</v>
      </c>
      <c r="I449" s="13">
        <f>INDEX(Foderstater!$X$63:$AI$100,MATCH(E449,Foderstater!$U$63:$U$100,0),MATCH(A449&amp;C449&amp;D449,Foderstater!$X$62:$AI$62,0))</f>
        <v>0.19513584282773944</v>
      </c>
      <c r="J449" s="159"/>
      <c r="K449" s="159"/>
    </row>
    <row r="450" spans="1:11" x14ac:dyDescent="0.25">
      <c r="A450" t="s">
        <v>38</v>
      </c>
      <c r="D450" t="s">
        <v>20</v>
      </c>
      <c r="E450" t="str">
        <f>Foderstater!U$77</f>
        <v>rapeseed</v>
      </c>
      <c r="H450" t="s">
        <v>326</v>
      </c>
      <c r="I450" s="13">
        <f>INDEX(Foderstater!$X$63:$AI$100,MATCH(E450,Foderstater!$U$63:$U$100,0),MATCH(A450&amp;C450&amp;D450,Foderstater!$X$62:$AI$62,0))</f>
        <v>0.36097378167357463</v>
      </c>
      <c r="J450" s="159"/>
      <c r="K450" s="159"/>
    </row>
    <row r="451" spans="1:11" x14ac:dyDescent="0.25">
      <c r="A451" t="s">
        <v>38</v>
      </c>
      <c r="D451" t="s">
        <v>20</v>
      </c>
      <c r="E451" t="str">
        <f>Foderstater!U$78</f>
        <v>linseed</v>
      </c>
      <c r="H451" t="s">
        <v>326</v>
      </c>
      <c r="I451" s="13">
        <f>INDEX(Foderstater!$X$63:$AI$100,MATCH(E451,Foderstater!$U$63:$U$100,0),MATCH(A451&amp;C451&amp;D451,Foderstater!$X$62:$AI$62,0))</f>
        <v>2.6627548268207211E-4</v>
      </c>
      <c r="J451" s="159"/>
      <c r="K451" s="159"/>
    </row>
    <row r="452" spans="1:11" x14ac:dyDescent="0.25">
      <c r="A452" t="s">
        <v>38</v>
      </c>
      <c r="D452" t="s">
        <v>20</v>
      </c>
      <c r="E452" t="str">
        <f>Foderstater!U$79</f>
        <v>vegetable oils</v>
      </c>
      <c r="H452" t="s">
        <v>326</v>
      </c>
      <c r="I452" s="13">
        <f>INDEX(Foderstater!$X$63:$AI$100,MATCH(E452,Foderstater!$U$63:$U$100,0),MATCH(A452&amp;C452&amp;D452,Foderstater!$X$62:$AI$62,0))</f>
        <v>6.874417863468929E-3</v>
      </c>
      <c r="J452" s="159"/>
      <c r="K452" s="159"/>
    </row>
    <row r="453" spans="1:11" x14ac:dyDescent="0.25">
      <c r="A453" t="s">
        <v>38</v>
      </c>
      <c r="D453" t="s">
        <v>20</v>
      </c>
      <c r="E453" t="str">
        <f>Foderstater!U$80</f>
        <v>soybeans</v>
      </c>
      <c r="H453" t="s">
        <v>326</v>
      </c>
      <c r="I453" s="13">
        <f>INDEX(Foderstater!$X$63:$AI$100,MATCH(E453,Foderstater!$U$63:$U$100,0),MATCH(A453&amp;C453&amp;D453,Foderstater!$X$62:$AI$62,0))</f>
        <v>6.7178905586753141E-3</v>
      </c>
      <c r="J453" s="159"/>
      <c r="K453" s="159"/>
    </row>
    <row r="454" spans="1:11" x14ac:dyDescent="0.25">
      <c r="A454" t="s">
        <v>38</v>
      </c>
      <c r="D454" t="s">
        <v>20</v>
      </c>
      <c r="E454" t="str">
        <f>Foderstater!U$81</f>
        <v>soybean meal</v>
      </c>
      <c r="H454" t="s">
        <v>326</v>
      </c>
      <c r="I454" s="13">
        <f>INDEX(Foderstater!$X$63:$AI$100,MATCH(E454,Foderstater!$U$63:$U$100,0),MATCH(A454&amp;C454&amp;D454,Foderstater!$X$62:$AI$62,0))</f>
        <v>6.1365437669271355E-2</v>
      </c>
      <c r="J454" s="159"/>
      <c r="K454" s="159"/>
    </row>
    <row r="455" spans="1:11" x14ac:dyDescent="0.25">
      <c r="A455" t="s">
        <v>38</v>
      </c>
      <c r="D455" t="s">
        <v>20</v>
      </c>
      <c r="E455" t="str">
        <f>Foderstater!U$82</f>
        <v>soybean protein concentrate</v>
      </c>
      <c r="H455" t="s">
        <v>326</v>
      </c>
      <c r="I455" s="13">
        <f>INDEX(Foderstater!$X$63:$AI$100,MATCH(E455,Foderstater!$U$63:$U$100,0),MATCH(A455&amp;C455&amp;D455,Foderstater!$X$62:$AI$62,0))</f>
        <v>0</v>
      </c>
      <c r="J455" s="159"/>
      <c r="K455" s="159"/>
    </row>
    <row r="456" spans="1:11" x14ac:dyDescent="0.25">
      <c r="A456" t="s">
        <v>38</v>
      </c>
      <c r="D456" t="s">
        <v>20</v>
      </c>
      <c r="E456" t="str">
        <f>Foderstater!U$83</f>
        <v>rapeseed meal</v>
      </c>
      <c r="H456" t="s">
        <v>326</v>
      </c>
      <c r="I456" s="13">
        <f>INDEX(Foderstater!$X$63:$AI$100,MATCH(E456,Foderstater!$U$63:$U$100,0),MATCH(A456&amp;C456&amp;D456,Foderstater!$X$62:$AI$62,0))</f>
        <v>0.47396410229169195</v>
      </c>
      <c r="J456" s="159"/>
      <c r="K456" s="159"/>
    </row>
    <row r="457" spans="1:11" x14ac:dyDescent="0.25">
      <c r="A457" t="s">
        <v>38</v>
      </c>
      <c r="D457" t="s">
        <v>20</v>
      </c>
      <c r="E457" t="str">
        <f>Foderstater!U$84</f>
        <v>sunflower seed meal</v>
      </c>
      <c r="H457" t="s">
        <v>326</v>
      </c>
      <c r="I457" s="13">
        <f>INDEX(Foderstater!$X$63:$AI$100,MATCH(E457,Foderstater!$U$63:$U$100,0),MATCH(A457&amp;C457&amp;D457,Foderstater!$X$62:$AI$62,0))</f>
        <v>6.5473553082180435E-3</v>
      </c>
    </row>
    <row r="458" spans="1:11" x14ac:dyDescent="0.25">
      <c r="A458" t="s">
        <v>38</v>
      </c>
      <c r="D458" t="s">
        <v>20</v>
      </c>
      <c r="E458" t="str">
        <f>Foderstater!U$85</f>
        <v>palm kernel expeller</v>
      </c>
      <c r="H458" t="s">
        <v>326</v>
      </c>
      <c r="I458" s="13">
        <f>INDEX(Foderstater!$X$63:$AI$100,MATCH(E458,Foderstater!$U$63:$U$100,0),MATCH(A458&amp;C458&amp;D458,Foderstater!$X$62:$AI$62,0))</f>
        <v>4.2544185479227364E-2</v>
      </c>
    </row>
    <row r="459" spans="1:11" x14ac:dyDescent="0.25">
      <c r="A459" t="s">
        <v>38</v>
      </c>
      <c r="D459" t="s">
        <v>20</v>
      </c>
      <c r="E459" t="str">
        <f>Foderstater!U$86</f>
        <v>luzern meal</v>
      </c>
      <c r="H459" t="s">
        <v>326</v>
      </c>
      <c r="I459" s="13">
        <f>INDEX(Foderstater!$X$63:$AI$100,MATCH(E459,Foderstater!$U$63:$U$100,0),MATCH(A459&amp;C459&amp;D459,Foderstater!$X$62:$AI$62,0))</f>
        <v>1.2941474067131715E-2</v>
      </c>
    </row>
    <row r="460" spans="1:11" x14ac:dyDescent="0.25">
      <c r="A460" t="s">
        <v>38</v>
      </c>
      <c r="D460" t="s">
        <v>20</v>
      </c>
      <c r="E460" t="str">
        <f>Foderstater!U$87</f>
        <v>wheat bran</v>
      </c>
      <c r="H460" t="s">
        <v>326</v>
      </c>
      <c r="I460" s="13">
        <f>INDEX(Foderstater!$X$63:$AI$100,MATCH(E460,Foderstater!$U$63:$U$100,0),MATCH(A460&amp;C460&amp;D460,Foderstater!$X$62:$AI$62,0))</f>
        <v>0.14099909828075238</v>
      </c>
    </row>
    <row r="461" spans="1:11" x14ac:dyDescent="0.25">
      <c r="A461" t="s">
        <v>38</v>
      </c>
      <c r="D461" t="s">
        <v>20</v>
      </c>
      <c r="E461" t="str">
        <f>Foderstater!U$88</f>
        <v>wheat bran, fine</v>
      </c>
      <c r="H461" t="s">
        <v>326</v>
      </c>
      <c r="I461" s="13">
        <f>INDEX(Foderstater!$X$63:$AI$100,MATCH(E461,Foderstater!$U$63:$U$100,0),MATCH(A461&amp;C461&amp;D461,Foderstater!$X$62:$AI$62,0))</f>
        <v>3.6962002826714343E-4</v>
      </c>
    </row>
    <row r="462" spans="1:11" x14ac:dyDescent="0.25">
      <c r="A462" t="s">
        <v>38</v>
      </c>
      <c r="D462" t="s">
        <v>20</v>
      </c>
      <c r="E462" t="str">
        <f>Foderstater!U$89</f>
        <v>oat hulls</v>
      </c>
      <c r="H462" t="s">
        <v>326</v>
      </c>
      <c r="I462" s="13">
        <f>INDEX(Foderstater!$X$63:$AI$100,MATCH(E462,Foderstater!$U$63:$U$100,0),MATCH(A462&amp;C462&amp;D462,Foderstater!$X$62:$AI$62,0))</f>
        <v>1.698197038402606E-2</v>
      </c>
    </row>
    <row r="463" spans="1:11" x14ac:dyDescent="0.25">
      <c r="A463" t="s">
        <v>38</v>
      </c>
      <c r="D463" t="s">
        <v>20</v>
      </c>
      <c r="E463" t="str">
        <f>Foderstater!U$90</f>
        <v>oat bran</v>
      </c>
      <c r="H463" t="s">
        <v>326</v>
      </c>
      <c r="I463" s="13">
        <f>INDEX(Foderstater!$X$63:$AI$100,MATCH(E463,Foderstater!$U$63:$U$100,0),MATCH(A463&amp;C463&amp;D463,Foderstater!$X$62:$AI$62,0))</f>
        <v>1.9166071484036143E-3</v>
      </c>
    </row>
    <row r="464" spans="1:11" x14ac:dyDescent="0.25">
      <c r="A464" t="s">
        <v>38</v>
      </c>
      <c r="D464" t="s">
        <v>20</v>
      </c>
      <c r="E464" t="str">
        <f>Foderstater!U$91</f>
        <v>rye bran</v>
      </c>
      <c r="H464" t="s">
        <v>326</v>
      </c>
      <c r="I464" s="13">
        <f>INDEX(Foderstater!$X$63:$AI$100,MATCH(E464,Foderstater!$U$63:$U$100,0),MATCH(A464&amp;C464&amp;D464,Foderstater!$X$62:$AI$62,0))</f>
        <v>5.9108372219059966E-3</v>
      </c>
    </row>
    <row r="465" spans="1:12" x14ac:dyDescent="0.25">
      <c r="A465" t="s">
        <v>38</v>
      </c>
      <c r="D465" t="s">
        <v>20</v>
      </c>
      <c r="E465" t="str">
        <f>Foderstater!U$92</f>
        <v>wheat distillers grain, dry</v>
      </c>
      <c r="H465" t="s">
        <v>326</v>
      </c>
      <c r="I465" s="13">
        <f>INDEX(Foderstater!$X$63:$AI$100,MATCH(E465,Foderstater!$U$63:$U$100,0),MATCH(A465&amp;C465&amp;D465,Foderstater!$X$62:$AI$62,0))</f>
        <v>0.15156063572052919</v>
      </c>
    </row>
    <row r="466" spans="1:12" x14ac:dyDescent="0.25">
      <c r="A466" t="s">
        <v>38</v>
      </c>
      <c r="D466" t="s">
        <v>20</v>
      </c>
      <c r="E466" t="str">
        <f>Foderstater!U$93</f>
        <v>barley brewers grain</v>
      </c>
      <c r="H466" t="s">
        <v>326</v>
      </c>
      <c r="I466" s="13">
        <f>INDEX(Foderstater!$X$63:$AI$100,MATCH(E466,Foderstater!$U$63:$U$100,0),MATCH(A466&amp;C466&amp;D466,Foderstater!$X$62:$AI$62,0))</f>
        <v>0</v>
      </c>
    </row>
    <row r="467" spans="1:12" x14ac:dyDescent="0.25">
      <c r="A467" t="s">
        <v>38</v>
      </c>
      <c r="D467" t="s">
        <v>20</v>
      </c>
      <c r="E467" t="str">
        <f>Foderstater!U$94</f>
        <v>maize gluten meal</v>
      </c>
      <c r="H467" t="s">
        <v>326</v>
      </c>
      <c r="I467" s="13">
        <f>INDEX(Foderstater!$X$63:$AI$100,MATCH(E467,Foderstater!$U$63:$U$100,0),MATCH(A467&amp;C467&amp;D467,Foderstater!$X$62:$AI$62,0))</f>
        <v>4.5796866038063828E-3</v>
      </c>
    </row>
    <row r="468" spans="1:12" x14ac:dyDescent="0.25">
      <c r="A468" t="s">
        <v>38</v>
      </c>
      <c r="D468" t="s">
        <v>20</v>
      </c>
      <c r="E468" t="str">
        <f>Foderstater!U$95</f>
        <v>sugar beet molasses</v>
      </c>
      <c r="H468" t="s">
        <v>326</v>
      </c>
      <c r="I468" s="13">
        <f>INDEX(Foderstater!$X$63:$AI$100,MATCH(E468,Foderstater!$U$63:$U$100,0),MATCH(A468&amp;C468&amp;D468,Foderstater!$X$62:$AI$62,0))</f>
        <v>5.078594708304953E-2</v>
      </c>
    </row>
    <row r="469" spans="1:12" x14ac:dyDescent="0.25">
      <c r="A469" t="s">
        <v>38</v>
      </c>
      <c r="D469" t="s">
        <v>20</v>
      </c>
      <c r="E469" t="str">
        <f>Foderstater!U$96</f>
        <v>sugar beet pulp</v>
      </c>
      <c r="H469" t="s">
        <v>326</v>
      </c>
      <c r="I469" s="13">
        <f>INDEX(Foderstater!$X$63:$AI$100,MATCH(E469,Foderstater!$U$63:$U$100,0),MATCH(A469&amp;C469&amp;D469,Foderstater!$X$62:$AI$62,0))</f>
        <v>9.7995501841553825E-2</v>
      </c>
    </row>
    <row r="470" spans="1:12" x14ac:dyDescent="0.25">
      <c r="A470" t="s">
        <v>38</v>
      </c>
      <c r="D470" t="s">
        <v>20</v>
      </c>
      <c r="E470" t="str">
        <f>Foderstater!U$97</f>
        <v>whey powder</v>
      </c>
      <c r="H470" t="s">
        <v>326</v>
      </c>
      <c r="I470" s="13">
        <f>INDEX(Foderstater!$X$63:$AI$100,MATCH(E470,Foderstater!$U$63:$U$100,0),MATCH(A470&amp;C470&amp;D470,Foderstater!$X$62:$AI$62,0))</f>
        <v>0</v>
      </c>
    </row>
    <row r="471" spans="1:12" x14ac:dyDescent="0.25">
      <c r="A471" t="s">
        <v>38</v>
      </c>
      <c r="D471" t="s">
        <v>20</v>
      </c>
      <c r="E471" t="str">
        <f>Foderstater!U$98</f>
        <v>potatoe protein</v>
      </c>
      <c r="H471" t="s">
        <v>326</v>
      </c>
      <c r="I471" s="13">
        <f>INDEX(Foderstater!$X$63:$AI$100,MATCH(E471,Foderstater!$U$63:$U$100,0),MATCH(A471&amp;C471&amp;D471,Foderstater!$X$62:$AI$62,0))</f>
        <v>4.4864855896685517E-4</v>
      </c>
    </row>
    <row r="472" spans="1:12" x14ac:dyDescent="0.25">
      <c r="A472" t="s">
        <v>38</v>
      </c>
      <c r="D472" t="s">
        <v>20</v>
      </c>
      <c r="E472" t="str">
        <f>Foderstater!U$99</f>
        <v>fish meal</v>
      </c>
      <c r="H472" t="s">
        <v>326</v>
      </c>
      <c r="I472" s="13">
        <f>INDEX(Foderstater!$X$63:$AI$100,MATCH(E472,Foderstater!$U$63:$U$100,0),MATCH(A472&amp;C472&amp;D472,Foderstater!$X$62:$AI$62,0))</f>
        <v>0</v>
      </c>
    </row>
    <row r="473" spans="1:12" x14ac:dyDescent="0.25">
      <c r="A473" t="s">
        <v>38</v>
      </c>
      <c r="D473" t="s">
        <v>20</v>
      </c>
      <c r="E473" t="str">
        <f>Foderstater!U$100</f>
        <v>minerals</v>
      </c>
      <c r="H473" t="s">
        <v>326</v>
      </c>
      <c r="I473" s="13">
        <f>INDEX(Foderstater!$X$63:$AI$100,MATCH(E473,Foderstater!$U$63:$U$100,0),MATCH(A473&amp;C473&amp;D473,Foderstater!$X$62:$AI$62,0))</f>
        <v>0.6316938527980368</v>
      </c>
    </row>
    <row r="475" spans="1:12" x14ac:dyDescent="0.25">
      <c r="A475" s="91" t="s">
        <v>448</v>
      </c>
      <c r="B475" s="163"/>
      <c r="C475" s="163"/>
      <c r="D475" s="90"/>
      <c r="E475" s="90"/>
      <c r="F475" s="90"/>
      <c r="G475" s="90"/>
      <c r="H475" s="90"/>
      <c r="I475" s="164"/>
      <c r="J475" s="90"/>
      <c r="K475" s="90"/>
      <c r="L475" s="90"/>
    </row>
    <row r="476" spans="1:12" x14ac:dyDescent="0.25">
      <c r="A476" s="159" t="s">
        <v>38</v>
      </c>
      <c r="B476" s="159"/>
      <c r="C476" s="159"/>
      <c r="D476" s="159"/>
      <c r="H476" s="159" t="s">
        <v>326</v>
      </c>
      <c r="I476" s="159">
        <v>0</v>
      </c>
      <c r="J476" s="159"/>
      <c r="K476" s="159" t="s">
        <v>426</v>
      </c>
    </row>
    <row r="477" spans="1:12" x14ac:dyDescent="0.25">
      <c r="A477" t="s">
        <v>38</v>
      </c>
      <c r="E477" t="str">
        <f>Foderstater!U$63</f>
        <v>ley silage, 1st cut</v>
      </c>
      <c r="H477" t="s">
        <v>326</v>
      </c>
      <c r="I477" s="13">
        <f>INDEX(Foderstater!$X$63:$AI$100,MATCH(E477,Foderstater!$U$63:$U$100,0),MATCH(A477&amp;C477&amp;D477,Foderstater!$X$62:$AI$62,0))</f>
        <v>0</v>
      </c>
      <c r="J477" s="159"/>
      <c r="K477" s="159"/>
    </row>
    <row r="478" spans="1:12" x14ac:dyDescent="0.25">
      <c r="A478" t="s">
        <v>38</v>
      </c>
      <c r="E478" t="str">
        <f>Foderstater!U$64</f>
        <v>ley silage, regrowth</v>
      </c>
      <c r="H478" t="s">
        <v>326</v>
      </c>
      <c r="I478" s="13">
        <f>INDEX(Foderstater!$X$63:$AI$100,MATCH(E478,Foderstater!$U$63:$U$100,0),MATCH(A478&amp;C478&amp;D478,Foderstater!$X$62:$AI$62,0))</f>
        <v>68.854768967576106</v>
      </c>
      <c r="J478" s="159"/>
      <c r="K478" s="159"/>
    </row>
    <row r="479" spans="1:12" x14ac:dyDescent="0.25">
      <c r="A479" t="s">
        <v>38</v>
      </c>
      <c r="E479" t="str">
        <f>Foderstater!U$65</f>
        <v>other silage</v>
      </c>
      <c r="H479" t="s">
        <v>326</v>
      </c>
      <c r="I479" s="13">
        <f>INDEX(Foderstater!$X$63:$AI$100,MATCH(E479,Foderstater!$U$63:$U$100,0),MATCH(A479&amp;C479&amp;D479,Foderstater!$X$62:$AI$62,0))</f>
        <v>0</v>
      </c>
      <c r="J479" s="159"/>
      <c r="K479" s="159"/>
    </row>
    <row r="480" spans="1:12" x14ac:dyDescent="0.25">
      <c r="A480" t="s">
        <v>38</v>
      </c>
      <c r="E480" t="str">
        <f>Foderstater!U$66</f>
        <v>maize silage</v>
      </c>
      <c r="H480" t="s">
        <v>326</v>
      </c>
      <c r="I480" s="13">
        <f>INDEX(Foderstater!$X$63:$AI$100,MATCH(E480,Foderstater!$U$63:$U$100,0),MATCH(A480&amp;C480&amp;D480,Foderstater!$X$62:$AI$62,0))</f>
        <v>0</v>
      </c>
      <c r="J480" s="159"/>
      <c r="K480" s="159"/>
    </row>
    <row r="481" spans="1:11" x14ac:dyDescent="0.25">
      <c r="A481" t="s">
        <v>38</v>
      </c>
      <c r="E481" t="str">
        <f>Foderstater!U$67</f>
        <v>straw</v>
      </c>
      <c r="H481" t="s">
        <v>326</v>
      </c>
      <c r="I481" s="13">
        <f>INDEX(Foderstater!$X$63:$AI$100,MATCH(E481,Foderstater!$U$63:$U$100,0),MATCH(A481&amp;C481&amp;D481,Foderstater!$X$62:$AI$62,0))</f>
        <v>0</v>
      </c>
      <c r="J481" s="159"/>
      <c r="K481" s="159"/>
    </row>
    <row r="482" spans="1:11" x14ac:dyDescent="0.25">
      <c r="A482" t="s">
        <v>38</v>
      </c>
      <c r="E482" t="str">
        <f>Foderstater!U$68</f>
        <v>grazing</v>
      </c>
      <c r="H482" t="s">
        <v>326</v>
      </c>
      <c r="I482" s="13">
        <f>INDEX(Foderstater!$X$63:$AI$100,MATCH(E482,Foderstater!$U$63:$U$100,0),MATCH(A482&amp;C482&amp;D482,Foderstater!$X$62:$AI$62,0))</f>
        <v>30.425854259446911</v>
      </c>
      <c r="J482" s="159"/>
      <c r="K482" s="159"/>
    </row>
    <row r="483" spans="1:11" x14ac:dyDescent="0.25">
      <c r="A483" t="s">
        <v>38</v>
      </c>
      <c r="E483" t="str">
        <f>Foderstater!U$69</f>
        <v>wheat</v>
      </c>
      <c r="H483" t="s">
        <v>326</v>
      </c>
      <c r="I483" s="13">
        <f>INDEX(Foderstater!$X$63:$AI$100,MATCH(E483,Foderstater!$U$63:$U$100,0),MATCH(A483&amp;C483&amp;D483,Foderstater!$X$62:$AI$62,0))</f>
        <v>0</v>
      </c>
      <c r="J483" s="159"/>
      <c r="K483" s="159"/>
    </row>
    <row r="484" spans="1:11" x14ac:dyDescent="0.25">
      <c r="A484" t="s">
        <v>38</v>
      </c>
      <c r="E484" t="str">
        <f>Foderstater!U$70</f>
        <v>barley</v>
      </c>
      <c r="H484" t="s">
        <v>326</v>
      </c>
      <c r="I484" s="13">
        <f>INDEX(Foderstater!$X$63:$AI$100,MATCH(E484,Foderstater!$U$63:$U$100,0),MATCH(A484&amp;C484&amp;D484,Foderstater!$X$62:$AI$62,0))</f>
        <v>0</v>
      </c>
      <c r="J484" s="159"/>
      <c r="K484" s="159"/>
    </row>
    <row r="485" spans="1:11" x14ac:dyDescent="0.25">
      <c r="A485" t="s">
        <v>38</v>
      </c>
      <c r="E485" t="str">
        <f>Foderstater!U$71</f>
        <v>oats</v>
      </c>
      <c r="H485" t="s">
        <v>326</v>
      </c>
      <c r="I485" s="13">
        <f>INDEX(Foderstater!$X$63:$AI$100,MATCH(E485,Foderstater!$U$63:$U$100,0),MATCH(A485&amp;C485&amp;D485,Foderstater!$X$62:$AI$62,0))</f>
        <v>0</v>
      </c>
      <c r="J485" s="159"/>
      <c r="K485" s="159"/>
    </row>
    <row r="486" spans="1:11" x14ac:dyDescent="0.25">
      <c r="A486" t="s">
        <v>38</v>
      </c>
      <c r="E486" t="str">
        <f>Foderstater!U$72</f>
        <v>triticale</v>
      </c>
      <c r="H486" t="s">
        <v>326</v>
      </c>
      <c r="I486" s="13">
        <f>INDEX(Foderstater!$X$63:$AI$100,MATCH(E486,Foderstater!$U$63:$U$100,0),MATCH(A486&amp;C486&amp;D486,Foderstater!$X$62:$AI$62,0))</f>
        <v>0</v>
      </c>
      <c r="J486" s="159"/>
      <c r="K486" s="159"/>
    </row>
    <row r="487" spans="1:11" x14ac:dyDescent="0.25">
      <c r="A487" t="s">
        <v>38</v>
      </c>
      <c r="E487" t="str">
        <f>Foderstater!U$73</f>
        <v>rye</v>
      </c>
      <c r="H487" t="s">
        <v>326</v>
      </c>
      <c r="I487" s="13">
        <f>INDEX(Foderstater!$X$63:$AI$100,MATCH(E487,Foderstater!$U$63:$U$100,0),MATCH(A487&amp;C487&amp;D487,Foderstater!$X$62:$AI$62,0))</f>
        <v>0</v>
      </c>
      <c r="J487" s="159"/>
      <c r="K487" s="159"/>
    </row>
    <row r="488" spans="1:11" x14ac:dyDescent="0.25">
      <c r="A488" t="s">
        <v>38</v>
      </c>
      <c r="E488" t="str">
        <f>Foderstater!U$74</f>
        <v>maize</v>
      </c>
      <c r="H488" t="s">
        <v>326</v>
      </c>
      <c r="I488" s="13">
        <f>INDEX(Foderstater!$X$63:$AI$100,MATCH(E488,Foderstater!$U$63:$U$100,0),MATCH(A488&amp;C488&amp;D488,Foderstater!$X$62:$AI$62,0))</f>
        <v>0</v>
      </c>
      <c r="J488" s="159"/>
      <c r="K488" s="159"/>
    </row>
    <row r="489" spans="1:11" x14ac:dyDescent="0.25">
      <c r="A489" t="s">
        <v>38</v>
      </c>
      <c r="E489" t="str">
        <f>Foderstater!U$75</f>
        <v>peas</v>
      </c>
      <c r="H489" t="s">
        <v>326</v>
      </c>
      <c r="I489" s="13">
        <f>INDEX(Foderstater!$X$63:$AI$100,MATCH(E489,Foderstater!$U$63:$U$100,0),MATCH(A489&amp;C489&amp;D489,Foderstater!$X$62:$AI$62,0))</f>
        <v>0</v>
      </c>
      <c r="J489" s="159"/>
      <c r="K489" s="159"/>
    </row>
    <row r="490" spans="1:11" x14ac:dyDescent="0.25">
      <c r="A490" t="s">
        <v>38</v>
      </c>
      <c r="E490" t="str">
        <f>Foderstater!U$76</f>
        <v>broad beans</v>
      </c>
      <c r="H490" t="s">
        <v>326</v>
      </c>
      <c r="I490" s="13">
        <f>INDEX(Foderstater!$X$63:$AI$100,MATCH(E490,Foderstater!$U$63:$U$100,0),MATCH(A490&amp;C490&amp;D490,Foderstater!$X$62:$AI$62,0))</f>
        <v>0</v>
      </c>
      <c r="J490" s="159"/>
      <c r="K490" s="159"/>
    </row>
    <row r="491" spans="1:11" x14ac:dyDescent="0.25">
      <c r="A491" t="s">
        <v>38</v>
      </c>
      <c r="E491" t="str">
        <f>Foderstater!U$77</f>
        <v>rapeseed</v>
      </c>
      <c r="H491" t="s">
        <v>326</v>
      </c>
      <c r="I491" s="13">
        <f>INDEX(Foderstater!$X$63:$AI$100,MATCH(E491,Foderstater!$U$63:$U$100,0),MATCH(A491&amp;C491&amp;D491,Foderstater!$X$62:$AI$62,0))</f>
        <v>0</v>
      </c>
      <c r="J491" s="159"/>
      <c r="K491" s="159"/>
    </row>
    <row r="492" spans="1:11" x14ac:dyDescent="0.25">
      <c r="A492" t="s">
        <v>38</v>
      </c>
      <c r="E492" t="str">
        <f>Foderstater!U$78</f>
        <v>linseed</v>
      </c>
      <c r="H492" t="s">
        <v>326</v>
      </c>
      <c r="I492" s="13">
        <f>INDEX(Foderstater!$X$63:$AI$100,MATCH(E492,Foderstater!$U$63:$U$100,0),MATCH(A492&amp;C492&amp;D492,Foderstater!$X$62:$AI$62,0))</f>
        <v>0</v>
      </c>
      <c r="J492" s="159"/>
      <c r="K492" s="159"/>
    </row>
    <row r="493" spans="1:11" x14ac:dyDescent="0.25">
      <c r="A493" t="s">
        <v>38</v>
      </c>
      <c r="E493" t="str">
        <f>Foderstater!U$79</f>
        <v>vegetable oils</v>
      </c>
      <c r="H493" t="s">
        <v>326</v>
      </c>
      <c r="I493" s="13">
        <f>INDEX(Foderstater!$X$63:$AI$100,MATCH(E493,Foderstater!$U$63:$U$100,0),MATCH(A493&amp;C493&amp;D493,Foderstater!$X$62:$AI$62,0))</f>
        <v>0</v>
      </c>
      <c r="J493" s="159"/>
      <c r="K493" s="159"/>
    </row>
    <row r="494" spans="1:11" x14ac:dyDescent="0.25">
      <c r="A494" t="s">
        <v>38</v>
      </c>
      <c r="E494" t="str">
        <f>Foderstater!U$80</f>
        <v>soybeans</v>
      </c>
      <c r="H494" t="s">
        <v>326</v>
      </c>
      <c r="I494" s="13">
        <f>INDEX(Foderstater!$X$63:$AI$100,MATCH(E494,Foderstater!$U$63:$U$100,0),MATCH(A494&amp;C494&amp;D494,Foderstater!$X$62:$AI$62,0))</f>
        <v>0</v>
      </c>
      <c r="J494" s="159"/>
      <c r="K494" s="159"/>
    </row>
    <row r="495" spans="1:11" x14ac:dyDescent="0.25">
      <c r="A495" t="s">
        <v>38</v>
      </c>
      <c r="E495" t="str">
        <f>Foderstater!U$81</f>
        <v>soybean meal</v>
      </c>
      <c r="H495" t="s">
        <v>326</v>
      </c>
      <c r="I495" s="13">
        <f>INDEX(Foderstater!$X$63:$AI$100,MATCH(E495,Foderstater!$U$63:$U$100,0),MATCH(A495&amp;C495&amp;D495,Foderstater!$X$62:$AI$62,0))</f>
        <v>0</v>
      </c>
      <c r="J495" s="159"/>
      <c r="K495" s="159"/>
    </row>
    <row r="496" spans="1:11" x14ac:dyDescent="0.25">
      <c r="A496" t="s">
        <v>38</v>
      </c>
      <c r="E496" t="str">
        <f>Foderstater!U$82</f>
        <v>soybean protein concentrate</v>
      </c>
      <c r="H496" t="s">
        <v>326</v>
      </c>
      <c r="I496" s="13">
        <f>INDEX(Foderstater!$X$63:$AI$100,MATCH(E496,Foderstater!$U$63:$U$100,0),MATCH(A496&amp;C496&amp;D496,Foderstater!$X$62:$AI$62,0))</f>
        <v>0</v>
      </c>
      <c r="J496" s="159"/>
      <c r="K496" s="159"/>
    </row>
    <row r="497" spans="1:11" x14ac:dyDescent="0.25">
      <c r="A497" t="s">
        <v>38</v>
      </c>
      <c r="E497" t="str">
        <f>Foderstater!U$83</f>
        <v>rapeseed meal</v>
      </c>
      <c r="H497" t="s">
        <v>326</v>
      </c>
      <c r="I497" s="13">
        <f>INDEX(Foderstater!$X$63:$AI$100,MATCH(E497,Foderstater!$U$63:$U$100,0),MATCH(A497&amp;C497&amp;D497,Foderstater!$X$62:$AI$62,0))</f>
        <v>0</v>
      </c>
      <c r="J497" s="159"/>
      <c r="K497" s="159"/>
    </row>
    <row r="498" spans="1:11" x14ac:dyDescent="0.25">
      <c r="A498" t="s">
        <v>38</v>
      </c>
      <c r="E498" t="str">
        <f>Foderstater!U$84</f>
        <v>sunflower seed meal</v>
      </c>
      <c r="H498" t="s">
        <v>326</v>
      </c>
      <c r="I498" s="13">
        <f>INDEX(Foderstater!$X$63:$AI$100,MATCH(E498,Foderstater!$U$63:$U$100,0),MATCH(A498&amp;C498&amp;D498,Foderstater!$X$62:$AI$62,0))</f>
        <v>0</v>
      </c>
    </row>
    <row r="499" spans="1:11" x14ac:dyDescent="0.25">
      <c r="A499" t="s">
        <v>38</v>
      </c>
      <c r="E499" t="str">
        <f>Foderstater!U$85</f>
        <v>palm kernel expeller</v>
      </c>
      <c r="H499" t="s">
        <v>326</v>
      </c>
      <c r="I499" s="13">
        <f>INDEX(Foderstater!$X$63:$AI$100,MATCH(E499,Foderstater!$U$63:$U$100,0),MATCH(A499&amp;C499&amp;D499,Foderstater!$X$62:$AI$62,0))</f>
        <v>0</v>
      </c>
    </row>
    <row r="500" spans="1:11" x14ac:dyDescent="0.25">
      <c r="A500" t="s">
        <v>38</v>
      </c>
      <c r="E500" t="str">
        <f>Foderstater!U$86</f>
        <v>luzern meal</v>
      </c>
      <c r="H500" t="s">
        <v>326</v>
      </c>
      <c r="I500" s="13">
        <f>INDEX(Foderstater!$X$63:$AI$100,MATCH(E500,Foderstater!$U$63:$U$100,0),MATCH(A500&amp;C500&amp;D500,Foderstater!$X$62:$AI$62,0))</f>
        <v>0</v>
      </c>
    </row>
    <row r="501" spans="1:11" x14ac:dyDescent="0.25">
      <c r="A501" t="s">
        <v>38</v>
      </c>
      <c r="E501" t="str">
        <f>Foderstater!U$87</f>
        <v>wheat bran</v>
      </c>
      <c r="H501" t="s">
        <v>326</v>
      </c>
      <c r="I501" s="13">
        <f>INDEX(Foderstater!$X$63:$AI$100,MATCH(E501,Foderstater!$U$63:$U$100,0),MATCH(A501&amp;C501&amp;D501,Foderstater!$X$62:$AI$62,0))</f>
        <v>0</v>
      </c>
    </row>
    <row r="502" spans="1:11" x14ac:dyDescent="0.25">
      <c r="A502" t="s">
        <v>38</v>
      </c>
      <c r="E502" t="str">
        <f>Foderstater!U$88</f>
        <v>wheat bran, fine</v>
      </c>
      <c r="H502" t="s">
        <v>326</v>
      </c>
      <c r="I502" s="13">
        <f>INDEX(Foderstater!$X$63:$AI$100,MATCH(E502,Foderstater!$U$63:$U$100,0),MATCH(A502&amp;C502&amp;D502,Foderstater!$X$62:$AI$62,0))</f>
        <v>0</v>
      </c>
    </row>
    <row r="503" spans="1:11" x14ac:dyDescent="0.25">
      <c r="A503" t="s">
        <v>38</v>
      </c>
      <c r="E503" t="str">
        <f>Foderstater!U$89</f>
        <v>oat hulls</v>
      </c>
      <c r="H503" t="s">
        <v>326</v>
      </c>
      <c r="I503" s="13">
        <f>INDEX(Foderstater!$X$63:$AI$100,MATCH(E503,Foderstater!$U$63:$U$100,0),MATCH(A503&amp;C503&amp;D503,Foderstater!$X$62:$AI$62,0))</f>
        <v>0</v>
      </c>
    </row>
    <row r="504" spans="1:11" x14ac:dyDescent="0.25">
      <c r="A504" t="s">
        <v>38</v>
      </c>
      <c r="E504" t="str">
        <f>Foderstater!U$90</f>
        <v>oat bran</v>
      </c>
      <c r="H504" t="s">
        <v>326</v>
      </c>
      <c r="I504" s="13">
        <f>INDEX(Foderstater!$X$63:$AI$100,MATCH(E504,Foderstater!$U$63:$U$100,0),MATCH(A504&amp;C504&amp;D504,Foderstater!$X$62:$AI$62,0))</f>
        <v>0</v>
      </c>
    </row>
    <row r="505" spans="1:11" x14ac:dyDescent="0.25">
      <c r="A505" t="s">
        <v>38</v>
      </c>
      <c r="E505" t="str">
        <f>Foderstater!U$91</f>
        <v>rye bran</v>
      </c>
      <c r="H505" t="s">
        <v>326</v>
      </c>
      <c r="I505" s="13">
        <f>INDEX(Foderstater!$X$63:$AI$100,MATCH(E505,Foderstater!$U$63:$U$100,0),MATCH(A505&amp;C505&amp;D505,Foderstater!$X$62:$AI$62,0))</f>
        <v>0</v>
      </c>
    </row>
    <row r="506" spans="1:11" x14ac:dyDescent="0.25">
      <c r="A506" t="s">
        <v>38</v>
      </c>
      <c r="E506" t="str">
        <f>Foderstater!U$92</f>
        <v>wheat distillers grain, dry</v>
      </c>
      <c r="H506" t="s">
        <v>326</v>
      </c>
      <c r="I506" s="13">
        <f>INDEX(Foderstater!$X$63:$AI$100,MATCH(E506,Foderstater!$U$63:$U$100,0),MATCH(A506&amp;C506&amp;D506,Foderstater!$X$62:$AI$62,0))</f>
        <v>0</v>
      </c>
    </row>
    <row r="507" spans="1:11" x14ac:dyDescent="0.25">
      <c r="A507" t="s">
        <v>38</v>
      </c>
      <c r="E507" t="str">
        <f>Foderstater!U$93</f>
        <v>barley brewers grain</v>
      </c>
      <c r="H507" t="s">
        <v>326</v>
      </c>
      <c r="I507" s="13">
        <f>INDEX(Foderstater!$X$63:$AI$100,MATCH(E507,Foderstater!$U$63:$U$100,0),MATCH(A507&amp;C507&amp;D507,Foderstater!$X$62:$AI$62,0))</f>
        <v>0</v>
      </c>
    </row>
    <row r="508" spans="1:11" x14ac:dyDescent="0.25">
      <c r="A508" t="s">
        <v>38</v>
      </c>
      <c r="E508" t="str">
        <f>Foderstater!U$94</f>
        <v>maize gluten meal</v>
      </c>
      <c r="H508" t="s">
        <v>326</v>
      </c>
      <c r="I508" s="13">
        <f>INDEX(Foderstater!$X$63:$AI$100,MATCH(E508,Foderstater!$U$63:$U$100,0),MATCH(A508&amp;C508&amp;D508,Foderstater!$X$62:$AI$62,0))</f>
        <v>0</v>
      </c>
    </row>
    <row r="509" spans="1:11" x14ac:dyDescent="0.25">
      <c r="A509" t="s">
        <v>38</v>
      </c>
      <c r="E509" t="str">
        <f>Foderstater!U$95</f>
        <v>sugar beet molasses</v>
      </c>
      <c r="H509" t="s">
        <v>326</v>
      </c>
      <c r="I509" s="13">
        <f>INDEX(Foderstater!$X$63:$AI$100,MATCH(E509,Foderstater!$U$63:$U$100,0),MATCH(A509&amp;C509&amp;D509,Foderstater!$X$62:$AI$62,0))</f>
        <v>0</v>
      </c>
    </row>
    <row r="510" spans="1:11" x14ac:dyDescent="0.25">
      <c r="A510" t="s">
        <v>38</v>
      </c>
      <c r="E510" t="str">
        <f>Foderstater!U$96</f>
        <v>sugar beet pulp</v>
      </c>
      <c r="H510" t="s">
        <v>326</v>
      </c>
      <c r="I510" s="13">
        <f>INDEX(Foderstater!$X$63:$AI$100,MATCH(E510,Foderstater!$U$63:$U$100,0),MATCH(A510&amp;C510&amp;D510,Foderstater!$X$62:$AI$62,0))</f>
        <v>0</v>
      </c>
    </row>
    <row r="511" spans="1:11" x14ac:dyDescent="0.25">
      <c r="A511" t="s">
        <v>38</v>
      </c>
      <c r="E511" t="str">
        <f>Foderstater!U$97</f>
        <v>whey powder</v>
      </c>
      <c r="H511" t="s">
        <v>326</v>
      </c>
      <c r="I511" s="13">
        <f>INDEX(Foderstater!$X$63:$AI$100,MATCH(E511,Foderstater!$U$63:$U$100,0),MATCH(A511&amp;C511&amp;D511,Foderstater!$X$62:$AI$62,0))</f>
        <v>0</v>
      </c>
    </row>
    <row r="512" spans="1:11" x14ac:dyDescent="0.25">
      <c r="A512" t="s">
        <v>38</v>
      </c>
      <c r="E512" t="str">
        <f>Foderstater!U$98</f>
        <v>potatoe protein</v>
      </c>
      <c r="H512" t="s">
        <v>326</v>
      </c>
      <c r="I512" s="13">
        <f>INDEX(Foderstater!$X$63:$AI$100,MATCH(E512,Foderstater!$U$63:$U$100,0),MATCH(A512&amp;C512&amp;D512,Foderstater!$X$62:$AI$62,0))</f>
        <v>0</v>
      </c>
    </row>
    <row r="513" spans="1:12" x14ac:dyDescent="0.25">
      <c r="A513" t="s">
        <v>38</v>
      </c>
      <c r="E513" t="str">
        <f>Foderstater!U$99</f>
        <v>fish meal</v>
      </c>
      <c r="H513" t="s">
        <v>326</v>
      </c>
      <c r="I513" s="13">
        <f>INDEX(Foderstater!$X$63:$AI$100,MATCH(E513,Foderstater!$U$63:$U$100,0),MATCH(A513&amp;C513&amp;D513,Foderstater!$X$62:$AI$62,0))</f>
        <v>0</v>
      </c>
    </row>
    <row r="514" spans="1:12" x14ac:dyDescent="0.25">
      <c r="A514" t="s">
        <v>38</v>
      </c>
      <c r="E514" t="str">
        <f>Foderstater!U$100</f>
        <v>minerals</v>
      </c>
      <c r="H514" t="s">
        <v>326</v>
      </c>
      <c r="I514" s="13">
        <f>INDEX(Foderstater!$X$63:$AI$100,MATCH(E514,Foderstater!$U$63:$U$100,0),MATCH(A514&amp;C514&amp;D514,Foderstater!$X$62:$AI$62,0))</f>
        <v>0.71937677297698155</v>
      </c>
    </row>
    <row r="516" spans="1:12" x14ac:dyDescent="0.25">
      <c r="A516" s="91" t="s">
        <v>86</v>
      </c>
      <c r="B516" s="163"/>
      <c r="C516" s="163"/>
      <c r="D516" s="90"/>
      <c r="E516" s="90"/>
      <c r="F516" s="90"/>
      <c r="G516" s="90"/>
      <c r="H516" s="90"/>
      <c r="I516" s="164"/>
      <c r="J516" s="90"/>
      <c r="K516" s="90"/>
      <c r="L516" s="90"/>
    </row>
    <row r="517" spans="1:12" x14ac:dyDescent="0.25">
      <c r="A517" s="159" t="s">
        <v>38</v>
      </c>
      <c r="B517" s="159"/>
      <c r="C517" s="159"/>
      <c r="D517" s="159" t="s">
        <v>35</v>
      </c>
      <c r="H517" s="159" t="s">
        <v>326</v>
      </c>
      <c r="I517" s="159">
        <v>0</v>
      </c>
      <c r="J517" s="159"/>
      <c r="K517" s="159" t="s">
        <v>426</v>
      </c>
    </row>
    <row r="518" spans="1:12" x14ac:dyDescent="0.25">
      <c r="A518" t="s">
        <v>38</v>
      </c>
      <c r="D518" t="s">
        <v>35</v>
      </c>
      <c r="E518" t="str">
        <f>Foderstater!U$63</f>
        <v>ley silage, 1st cut</v>
      </c>
      <c r="H518" t="s">
        <v>326</v>
      </c>
      <c r="I518" s="13">
        <f>INDEX(Foderstater!$X$63:$AI$100,MATCH(E518,Foderstater!$U$63:$U$100,0),MATCH(A518&amp;C518&amp;D518,Foderstater!$X$62:$AI$62,0))</f>
        <v>60.138713626619086</v>
      </c>
      <c r="J518" s="159"/>
      <c r="K518" s="159"/>
    </row>
    <row r="519" spans="1:12" x14ac:dyDescent="0.25">
      <c r="A519" t="s">
        <v>38</v>
      </c>
      <c r="D519" t="s">
        <v>35</v>
      </c>
      <c r="E519" t="str">
        <f>Foderstater!U$64</f>
        <v>ley silage, regrowth</v>
      </c>
      <c r="H519" t="s">
        <v>326</v>
      </c>
      <c r="I519" s="13">
        <f>INDEX(Foderstater!$X$63:$AI$100,MATCH(E519,Foderstater!$U$63:$U$100,0),MATCH(A519&amp;C519&amp;D519,Foderstater!$X$62:$AI$62,0))</f>
        <v>0</v>
      </c>
      <c r="J519" s="159"/>
      <c r="K519" s="159"/>
    </row>
    <row r="520" spans="1:12" x14ac:dyDescent="0.25">
      <c r="A520" t="s">
        <v>38</v>
      </c>
      <c r="D520" t="s">
        <v>35</v>
      </c>
      <c r="E520" t="str">
        <f>Foderstater!U$65</f>
        <v>other silage</v>
      </c>
      <c r="H520" t="s">
        <v>326</v>
      </c>
      <c r="I520" s="13">
        <f>INDEX(Foderstater!$X$63:$AI$100,MATCH(E520,Foderstater!$U$63:$U$100,0),MATCH(A520&amp;C520&amp;D520,Foderstater!$X$62:$AI$62,0))</f>
        <v>0</v>
      </c>
      <c r="J520" s="159"/>
      <c r="K520" s="159"/>
    </row>
    <row r="521" spans="1:12" x14ac:dyDescent="0.25">
      <c r="A521" t="s">
        <v>38</v>
      </c>
      <c r="D521" t="s">
        <v>35</v>
      </c>
      <c r="E521" t="str">
        <f>Foderstater!U$66</f>
        <v>maize silage</v>
      </c>
      <c r="H521" t="s">
        <v>326</v>
      </c>
      <c r="I521" s="13">
        <f>INDEX(Foderstater!$X$63:$AI$100,MATCH(E521,Foderstater!$U$63:$U$100,0),MATCH(A521&amp;C521&amp;D521,Foderstater!$X$62:$AI$62,0))</f>
        <v>0</v>
      </c>
      <c r="J521" s="159"/>
      <c r="K521" s="159"/>
    </row>
    <row r="522" spans="1:12" x14ac:dyDescent="0.25">
      <c r="A522" t="s">
        <v>38</v>
      </c>
      <c r="D522" t="s">
        <v>35</v>
      </c>
      <c r="E522" t="str">
        <f>Foderstater!U$67</f>
        <v>straw</v>
      </c>
      <c r="H522" t="s">
        <v>326</v>
      </c>
      <c r="I522" s="13">
        <f>INDEX(Foderstater!$X$63:$AI$100,MATCH(E522,Foderstater!$U$63:$U$100,0),MATCH(A522&amp;C522&amp;D522,Foderstater!$X$62:$AI$62,0))</f>
        <v>0</v>
      </c>
      <c r="J522" s="159"/>
      <c r="K522" s="159"/>
    </row>
    <row r="523" spans="1:12" x14ac:dyDescent="0.25">
      <c r="A523" t="s">
        <v>38</v>
      </c>
      <c r="D523" t="s">
        <v>35</v>
      </c>
      <c r="E523" t="str">
        <f>Foderstater!U$68</f>
        <v>grazing</v>
      </c>
      <c r="H523" t="s">
        <v>326</v>
      </c>
      <c r="I523" s="13">
        <f>INDEX(Foderstater!$X$63:$AI$100,MATCH(E523,Foderstater!$U$63:$U$100,0),MATCH(A523&amp;C523&amp;D523,Foderstater!$X$62:$AI$62,0))</f>
        <v>0</v>
      </c>
      <c r="J523" s="159"/>
      <c r="K523" s="159"/>
    </row>
    <row r="524" spans="1:12" x14ac:dyDescent="0.25">
      <c r="A524" t="s">
        <v>38</v>
      </c>
      <c r="D524" t="s">
        <v>35</v>
      </c>
      <c r="E524" t="str">
        <f>Foderstater!U$69</f>
        <v>wheat</v>
      </c>
      <c r="H524" t="s">
        <v>326</v>
      </c>
      <c r="I524" s="13">
        <f>INDEX(Foderstater!$X$63:$AI$100,MATCH(E524,Foderstater!$U$63:$U$100,0),MATCH(A524&amp;C524&amp;D524,Foderstater!$X$62:$AI$62,0))</f>
        <v>8.7950802360888023</v>
      </c>
      <c r="J524" s="159"/>
      <c r="K524" s="159"/>
    </row>
    <row r="525" spans="1:12" x14ac:dyDescent="0.25">
      <c r="A525" t="s">
        <v>38</v>
      </c>
      <c r="D525" t="s">
        <v>35</v>
      </c>
      <c r="E525" t="str">
        <f>Foderstater!U$70</f>
        <v>barley</v>
      </c>
      <c r="H525" t="s">
        <v>326</v>
      </c>
      <c r="I525" s="13">
        <f>INDEX(Foderstater!$X$63:$AI$100,MATCH(E525,Foderstater!$U$63:$U$100,0),MATCH(A525&amp;C525&amp;D525,Foderstater!$X$62:$AI$62,0))</f>
        <v>16.456273052444185</v>
      </c>
      <c r="J525" s="159"/>
      <c r="K525" s="159"/>
    </row>
    <row r="526" spans="1:12" x14ac:dyDescent="0.25">
      <c r="A526" t="s">
        <v>38</v>
      </c>
      <c r="D526" t="s">
        <v>35</v>
      </c>
      <c r="E526" t="str">
        <f>Foderstater!U$71</f>
        <v>oats</v>
      </c>
      <c r="H526" t="s">
        <v>326</v>
      </c>
      <c r="I526" s="13">
        <f>INDEX(Foderstater!$X$63:$AI$100,MATCH(E526,Foderstater!$U$63:$U$100,0),MATCH(A526&amp;C526&amp;D526,Foderstater!$X$62:$AI$62,0))</f>
        <v>3.6372465594215786</v>
      </c>
      <c r="J526" s="159"/>
      <c r="K526" s="159"/>
    </row>
    <row r="527" spans="1:12" x14ac:dyDescent="0.25">
      <c r="A527" t="s">
        <v>38</v>
      </c>
      <c r="D527" t="s">
        <v>35</v>
      </c>
      <c r="E527" t="str">
        <f>Foderstater!U$72</f>
        <v>triticale</v>
      </c>
      <c r="H527" t="s">
        <v>326</v>
      </c>
      <c r="I527" s="13">
        <f>INDEX(Foderstater!$X$63:$AI$100,MATCH(E527,Foderstater!$U$63:$U$100,0),MATCH(A527&amp;C527&amp;D527,Foderstater!$X$62:$AI$62,0))</f>
        <v>5.8891480485237606</v>
      </c>
      <c r="J527" s="159"/>
      <c r="K527" s="159"/>
    </row>
    <row r="528" spans="1:12" x14ac:dyDescent="0.25">
      <c r="A528" t="s">
        <v>38</v>
      </c>
      <c r="D528" t="s">
        <v>35</v>
      </c>
      <c r="E528" t="str">
        <f>Foderstater!U$73</f>
        <v>rye</v>
      </c>
      <c r="H528" t="s">
        <v>326</v>
      </c>
      <c r="I528" s="13">
        <f>INDEX(Foderstater!$X$63:$AI$100,MATCH(E528,Foderstater!$U$63:$U$100,0),MATCH(A528&amp;C528&amp;D528,Foderstater!$X$62:$AI$62,0))</f>
        <v>1.3507533293838584E-2</v>
      </c>
      <c r="J528" s="159"/>
      <c r="K528" s="159"/>
    </row>
    <row r="529" spans="1:11" x14ac:dyDescent="0.25">
      <c r="A529" t="s">
        <v>38</v>
      </c>
      <c r="D529" t="s">
        <v>35</v>
      </c>
      <c r="E529" t="str">
        <f>Foderstater!U$74</f>
        <v>maize</v>
      </c>
      <c r="H529" t="s">
        <v>326</v>
      </c>
      <c r="I529" s="13">
        <f>INDEX(Foderstater!$X$63:$AI$100,MATCH(E529,Foderstater!$U$63:$U$100,0),MATCH(A529&amp;C529&amp;D529,Foderstater!$X$62:$AI$62,0))</f>
        <v>5.8685075988393134E-2</v>
      </c>
      <c r="J529" s="159"/>
      <c r="K529" s="159"/>
    </row>
    <row r="530" spans="1:11" x14ac:dyDescent="0.25">
      <c r="A530" t="s">
        <v>38</v>
      </c>
      <c r="D530" t="s">
        <v>35</v>
      </c>
      <c r="E530" t="str">
        <f>Foderstater!U$75</f>
        <v>peas</v>
      </c>
      <c r="H530" t="s">
        <v>326</v>
      </c>
      <c r="I530" s="13">
        <f>INDEX(Foderstater!$X$63:$AI$100,MATCH(E530,Foderstater!$U$63:$U$100,0),MATCH(A530&amp;C530&amp;D530,Foderstater!$X$62:$AI$62,0))</f>
        <v>1.230521308754674</v>
      </c>
      <c r="J530" s="159"/>
      <c r="K530" s="159"/>
    </row>
    <row r="531" spans="1:11" x14ac:dyDescent="0.25">
      <c r="A531" t="s">
        <v>38</v>
      </c>
      <c r="D531" t="s">
        <v>35</v>
      </c>
      <c r="E531" t="str">
        <f>Foderstater!U$76</f>
        <v>broad beans</v>
      </c>
      <c r="H531" t="s">
        <v>326</v>
      </c>
      <c r="I531" s="13">
        <f>INDEX(Foderstater!$X$63:$AI$100,MATCH(E531,Foderstater!$U$63:$U$100,0),MATCH(A531&amp;C531&amp;D531,Foderstater!$X$62:$AI$62,0))</f>
        <v>1.1908458068725807</v>
      </c>
      <c r="J531" s="159"/>
      <c r="K531" s="159"/>
    </row>
    <row r="532" spans="1:11" x14ac:dyDescent="0.25">
      <c r="A532" t="s">
        <v>38</v>
      </c>
      <c r="D532" t="s">
        <v>35</v>
      </c>
      <c r="E532" t="str">
        <f>Foderstater!U$77</f>
        <v>rapeseed</v>
      </c>
      <c r="H532" t="s">
        <v>326</v>
      </c>
      <c r="I532" s="13">
        <f>INDEX(Foderstater!$X$63:$AI$100,MATCH(E532,Foderstater!$U$63:$U$100,0),MATCH(A532&amp;C532&amp;D532,Foderstater!$X$62:$AI$62,0))</f>
        <v>0.49891518495011011</v>
      </c>
      <c r="J532" s="159"/>
      <c r="K532" s="159"/>
    </row>
    <row r="533" spans="1:11" x14ac:dyDescent="0.25">
      <c r="A533" t="s">
        <v>38</v>
      </c>
      <c r="D533" t="s">
        <v>35</v>
      </c>
      <c r="E533" t="str">
        <f>Foderstater!U$78</f>
        <v>linseed</v>
      </c>
      <c r="H533" t="s">
        <v>326</v>
      </c>
      <c r="I533" s="13">
        <f>INDEX(Foderstater!$X$63:$AI$100,MATCH(E533,Foderstater!$U$63:$U$100,0),MATCH(A533&amp;C533&amp;D533,Foderstater!$X$62:$AI$62,0))</f>
        <v>3.6802917118822752E-4</v>
      </c>
      <c r="J533" s="159"/>
      <c r="K533" s="159"/>
    </row>
    <row r="534" spans="1:11" x14ac:dyDescent="0.25">
      <c r="A534" t="s">
        <v>38</v>
      </c>
      <c r="D534" t="s">
        <v>35</v>
      </c>
      <c r="E534" t="str">
        <f>Foderstater!U$79</f>
        <v>vegetable oils</v>
      </c>
      <c r="H534" t="s">
        <v>326</v>
      </c>
      <c r="I534" s="13">
        <f>INDEX(Foderstater!$X$63:$AI$100,MATCH(E534,Foderstater!$U$63:$U$100,0),MATCH(A534&amp;C534&amp;D534,Foderstater!$X$62:$AI$62,0))</f>
        <v>9.5013866211436822E-3</v>
      </c>
      <c r="J534" s="159"/>
      <c r="K534" s="159"/>
    </row>
    <row r="535" spans="1:11" x14ac:dyDescent="0.25">
      <c r="A535" t="s">
        <v>38</v>
      </c>
      <c r="D535" t="s">
        <v>35</v>
      </c>
      <c r="E535" t="str">
        <f>Foderstater!U$80</f>
        <v>soybeans</v>
      </c>
      <c r="H535" t="s">
        <v>326</v>
      </c>
      <c r="I535" s="13">
        <f>INDEX(Foderstater!$X$63:$AI$100,MATCH(E535,Foderstater!$U$63:$U$100,0),MATCH(A535&amp;C535&amp;D535,Foderstater!$X$62:$AI$62,0))</f>
        <v>9.2850444567383218E-3</v>
      </c>
      <c r="J535" s="159"/>
      <c r="K535" s="159"/>
    </row>
    <row r="536" spans="1:11" x14ac:dyDescent="0.25">
      <c r="A536" t="s">
        <v>38</v>
      </c>
      <c r="D536" t="s">
        <v>35</v>
      </c>
      <c r="E536" t="str">
        <f>Foderstater!U$81</f>
        <v>soybean meal</v>
      </c>
      <c r="H536" t="s">
        <v>326</v>
      </c>
      <c r="I536" s="13">
        <f>INDEX(Foderstater!$X$63:$AI$100,MATCH(E536,Foderstater!$U$63:$U$100,0),MATCH(A536&amp;C536&amp;D536,Foderstater!$X$62:$AI$62,0))</f>
        <v>8.4815436019657742E-2</v>
      </c>
      <c r="J536" s="159"/>
      <c r="K536" s="159"/>
    </row>
    <row r="537" spans="1:11" x14ac:dyDescent="0.25">
      <c r="A537" t="s">
        <v>38</v>
      </c>
      <c r="D537" t="s">
        <v>35</v>
      </c>
      <c r="E537" t="str">
        <f>Foderstater!U$82</f>
        <v>soybean protein concentrate</v>
      </c>
      <c r="H537" t="s">
        <v>326</v>
      </c>
      <c r="I537" s="13">
        <f>INDEX(Foderstater!$X$63:$AI$100,MATCH(E537,Foderstater!$U$63:$U$100,0),MATCH(A537&amp;C537&amp;D537,Foderstater!$X$62:$AI$62,0))</f>
        <v>0</v>
      </c>
      <c r="J537" s="159"/>
      <c r="K537" s="159"/>
    </row>
    <row r="538" spans="1:11" x14ac:dyDescent="0.25">
      <c r="A538" t="s">
        <v>38</v>
      </c>
      <c r="D538" t="s">
        <v>35</v>
      </c>
      <c r="E538" t="str">
        <f>Foderstater!U$83</f>
        <v>rapeseed meal</v>
      </c>
      <c r="H538" t="s">
        <v>326</v>
      </c>
      <c r="I538" s="13">
        <f>INDEX(Foderstater!$X$63:$AI$100,MATCH(E538,Foderstater!$U$63:$U$100,0),MATCH(A538&amp;C538&amp;D538,Foderstater!$X$62:$AI$62,0))</f>
        <v>0.65508327684698231</v>
      </c>
      <c r="J538" s="159"/>
      <c r="K538" s="159"/>
    </row>
    <row r="539" spans="1:11" x14ac:dyDescent="0.25">
      <c r="A539" t="s">
        <v>38</v>
      </c>
      <c r="D539" t="s">
        <v>35</v>
      </c>
      <c r="E539" t="str">
        <f>Foderstater!U$84</f>
        <v>sunflower seed meal</v>
      </c>
      <c r="H539" t="s">
        <v>326</v>
      </c>
      <c r="I539" s="13">
        <f>INDEX(Foderstater!$X$63:$AI$100,MATCH(E539,Foderstater!$U$63:$U$100,0),MATCH(A539&amp;C539&amp;D539,Foderstater!$X$62:$AI$62,0))</f>
        <v>9.0493413936850002E-3</v>
      </c>
    </row>
    <row r="540" spans="1:11" x14ac:dyDescent="0.25">
      <c r="A540" t="s">
        <v>38</v>
      </c>
      <c r="D540" t="s">
        <v>35</v>
      </c>
      <c r="E540" t="str">
        <f>Foderstater!U$85</f>
        <v>palm kernel expeller</v>
      </c>
      <c r="H540" t="s">
        <v>326</v>
      </c>
      <c r="I540" s="13">
        <f>INDEX(Foderstater!$X$63:$AI$100,MATCH(E540,Foderstater!$U$63:$U$100,0),MATCH(A540&amp;C540&amp;D540,Foderstater!$X$62:$AI$62,0))</f>
        <v>5.880188879234155E-2</v>
      </c>
    </row>
    <row r="541" spans="1:11" x14ac:dyDescent="0.25">
      <c r="A541" t="s">
        <v>38</v>
      </c>
      <c r="D541" t="s">
        <v>35</v>
      </c>
      <c r="E541" t="str">
        <f>Foderstater!U$86</f>
        <v>luzern meal</v>
      </c>
      <c r="H541" t="s">
        <v>326</v>
      </c>
      <c r="I541" s="13">
        <f>INDEX(Foderstater!$X$63:$AI$100,MATCH(E541,Foderstater!$U$63:$U$100,0),MATCH(A541&amp;C541&amp;D541,Foderstater!$X$62:$AI$62,0))</f>
        <v>1.7886888897567656E-2</v>
      </c>
    </row>
    <row r="542" spans="1:11" x14ac:dyDescent="0.25">
      <c r="A542" t="s">
        <v>38</v>
      </c>
      <c r="D542" t="s">
        <v>35</v>
      </c>
      <c r="E542" t="str">
        <f>Foderstater!U$87</f>
        <v>wheat bran</v>
      </c>
      <c r="H542" t="s">
        <v>326</v>
      </c>
      <c r="I542" s="13">
        <f>INDEX(Foderstater!$X$63:$AI$100,MATCH(E542,Foderstater!$U$63:$U$100,0),MATCH(A542&amp;C542&amp;D542,Foderstater!$X$62:$AI$62,0))</f>
        <v>0.19488005713432707</v>
      </c>
    </row>
    <row r="543" spans="1:11" x14ac:dyDescent="0.25">
      <c r="A543" t="s">
        <v>38</v>
      </c>
      <c r="D543" t="s">
        <v>35</v>
      </c>
      <c r="E543" t="str">
        <f>Foderstater!U$88</f>
        <v>wheat bran, fine</v>
      </c>
      <c r="H543" t="s">
        <v>326</v>
      </c>
      <c r="I543" s="13">
        <f>INDEX(Foderstater!$X$63:$AI$100,MATCH(E543,Foderstater!$U$63:$U$100,0),MATCH(A543&amp;C543&amp;D543,Foderstater!$X$62:$AI$62,0))</f>
        <v>5.108654814463125E-4</v>
      </c>
    </row>
    <row r="544" spans="1:11" x14ac:dyDescent="0.25">
      <c r="A544" t="s">
        <v>38</v>
      </c>
      <c r="D544" t="s">
        <v>35</v>
      </c>
      <c r="E544" t="str">
        <f>Foderstater!U$89</f>
        <v>oat hulls</v>
      </c>
      <c r="H544" t="s">
        <v>326</v>
      </c>
      <c r="I544" s="13">
        <f>INDEX(Foderstater!$X$63:$AI$100,MATCH(E544,Foderstater!$U$63:$U$100,0),MATCH(A544&amp;C544&amp;D544,Foderstater!$X$62:$AI$62,0))</f>
        <v>2.3471407966757316E-2</v>
      </c>
    </row>
    <row r="545" spans="1:11" x14ac:dyDescent="0.25">
      <c r="A545" t="s">
        <v>38</v>
      </c>
      <c r="D545" t="s">
        <v>35</v>
      </c>
      <c r="E545" t="str">
        <f>Foderstater!U$90</f>
        <v>oat bran</v>
      </c>
      <c r="H545" t="s">
        <v>326</v>
      </c>
      <c r="I545" s="13">
        <f>INDEX(Foderstater!$X$63:$AI$100,MATCH(E545,Foderstater!$U$63:$U$100,0),MATCH(A545&amp;C545&amp;D545,Foderstater!$X$62:$AI$62,0))</f>
        <v>2.6490134698680073E-3</v>
      </c>
    </row>
    <row r="546" spans="1:11" x14ac:dyDescent="0.25">
      <c r="A546" t="s">
        <v>38</v>
      </c>
      <c r="D546" t="s">
        <v>35</v>
      </c>
      <c r="E546" t="str">
        <f>Foderstater!U$91</f>
        <v>rye bran</v>
      </c>
      <c r="H546" t="s">
        <v>326</v>
      </c>
      <c r="I546" s="13">
        <f>INDEX(Foderstater!$X$63:$AI$100,MATCH(E546,Foderstater!$U$63:$U$100,0),MATCH(A546&amp;C546&amp;D546,Foderstater!$X$62:$AI$62,0))</f>
        <v>8.1695862566661028E-3</v>
      </c>
    </row>
    <row r="547" spans="1:11" x14ac:dyDescent="0.25">
      <c r="A547" t="s">
        <v>38</v>
      </c>
      <c r="D547" t="s">
        <v>35</v>
      </c>
      <c r="E547" t="str">
        <f>Foderstater!U$92</f>
        <v>wheat distillers grain, dry</v>
      </c>
      <c r="H547" t="s">
        <v>326</v>
      </c>
      <c r="I547" s="13">
        <f>INDEX(Foderstater!$X$63:$AI$100,MATCH(E547,Foderstater!$U$63:$U$100,0),MATCH(A547&amp;C547&amp;D547,Foderstater!$X$62:$AI$62,0))</f>
        <v>0.20947754779055638</v>
      </c>
    </row>
    <row r="548" spans="1:11" x14ac:dyDescent="0.25">
      <c r="A548" t="s">
        <v>38</v>
      </c>
      <c r="D548" t="s">
        <v>35</v>
      </c>
      <c r="E548" t="str">
        <f>Foderstater!U$93</f>
        <v>barley brewers grain</v>
      </c>
      <c r="H548" t="s">
        <v>326</v>
      </c>
      <c r="I548" s="13">
        <f>INDEX(Foderstater!$X$63:$AI$100,MATCH(E548,Foderstater!$U$63:$U$100,0),MATCH(A548&amp;C548&amp;D548,Foderstater!$X$62:$AI$62,0))</f>
        <v>0</v>
      </c>
    </row>
    <row r="549" spans="1:11" x14ac:dyDescent="0.25">
      <c r="A549" t="s">
        <v>38</v>
      </c>
      <c r="D549" t="s">
        <v>35</v>
      </c>
      <c r="E549" t="str">
        <f>Foderstater!U$94</f>
        <v>maize gluten meal</v>
      </c>
      <c r="H549" t="s">
        <v>326</v>
      </c>
      <c r="I549" s="13">
        <f>INDEX(Foderstater!$X$63:$AI$100,MATCH(E549,Foderstater!$U$63:$U$100,0),MATCH(A549&amp;C549&amp;D549,Foderstater!$X$62:$AI$62,0))</f>
        <v>6.3297538628935548E-3</v>
      </c>
    </row>
    <row r="550" spans="1:11" x14ac:dyDescent="0.25">
      <c r="A550" t="s">
        <v>38</v>
      </c>
      <c r="D550" t="s">
        <v>35</v>
      </c>
      <c r="E550" t="str">
        <f>Foderstater!U$95</f>
        <v>sugar beet molasses</v>
      </c>
      <c r="H550" t="s">
        <v>326</v>
      </c>
      <c r="I550" s="13">
        <f>INDEX(Foderstater!$X$63:$AI$100,MATCH(E550,Foderstater!$U$63:$U$100,0),MATCH(A550&amp;C550&amp;D550,Foderstater!$X$62:$AI$62,0))</f>
        <v>7.0193131657187727E-2</v>
      </c>
    </row>
    <row r="551" spans="1:11" x14ac:dyDescent="0.25">
      <c r="A551" t="s">
        <v>38</v>
      </c>
      <c r="D551" t="s">
        <v>35</v>
      </c>
      <c r="E551" t="str">
        <f>Foderstater!U$96</f>
        <v>sugar beet pulp</v>
      </c>
      <c r="H551" t="s">
        <v>326</v>
      </c>
      <c r="I551" s="13">
        <f>INDEX(Foderstater!$X$63:$AI$100,MATCH(E551,Foderstater!$U$63:$U$100,0),MATCH(A551&amp;C551&amp;D551,Foderstater!$X$62:$AI$62,0))</f>
        <v>0.13544319950020575</v>
      </c>
    </row>
    <row r="552" spans="1:11" x14ac:dyDescent="0.25">
      <c r="A552" t="s">
        <v>38</v>
      </c>
      <c r="D552" t="s">
        <v>35</v>
      </c>
      <c r="E552" t="str">
        <f>Foderstater!U$97</f>
        <v>whey powder</v>
      </c>
      <c r="H552" t="s">
        <v>326</v>
      </c>
      <c r="I552" s="13">
        <f>INDEX(Foderstater!$X$63:$AI$100,MATCH(E552,Foderstater!$U$63:$U$100,0),MATCH(A552&amp;C552&amp;D552,Foderstater!$X$62:$AI$62,0))</f>
        <v>0</v>
      </c>
    </row>
    <row r="553" spans="1:11" x14ac:dyDescent="0.25">
      <c r="A553" t="s">
        <v>38</v>
      </c>
      <c r="D553" t="s">
        <v>35</v>
      </c>
      <c r="E553" t="str">
        <f>Foderstater!U$98</f>
        <v>potatoe protein</v>
      </c>
      <c r="H553" t="s">
        <v>326</v>
      </c>
      <c r="I553" s="13">
        <f>INDEX(Foderstater!$X$63:$AI$100,MATCH(E553,Foderstater!$U$63:$U$100,0),MATCH(A553&amp;C553&amp;D553,Foderstater!$X$62:$AI$62,0))</f>
        <v>6.2009373017834091E-4</v>
      </c>
    </row>
    <row r="554" spans="1:11" x14ac:dyDescent="0.25">
      <c r="A554" t="s">
        <v>38</v>
      </c>
      <c r="D554" t="s">
        <v>35</v>
      </c>
      <c r="E554" t="str">
        <f>Foderstater!U$99</f>
        <v>fish meal</v>
      </c>
      <c r="H554" t="s">
        <v>326</v>
      </c>
      <c r="I554" s="13">
        <f>INDEX(Foderstater!$X$63:$AI$100,MATCH(E554,Foderstater!$U$63:$U$100,0),MATCH(A554&amp;C554&amp;D554,Foderstater!$X$62:$AI$62,0))</f>
        <v>0</v>
      </c>
    </row>
    <row r="555" spans="1:11" x14ac:dyDescent="0.25">
      <c r="A555" t="s">
        <v>38</v>
      </c>
      <c r="D555" t="s">
        <v>35</v>
      </c>
      <c r="E555" t="str">
        <f>Foderstater!U$100</f>
        <v>minerals</v>
      </c>
      <c r="H555" t="s">
        <v>326</v>
      </c>
      <c r="I555" s="13">
        <f>INDEX(Foderstater!$X$63:$AI$100,MATCH(E555,Foderstater!$U$63:$U$100,0),MATCH(A555&amp;C555&amp;D555,Foderstater!$X$62:$AI$62,0))</f>
        <v>0.59452761799360676</v>
      </c>
    </row>
    <row r="556" spans="1:11" x14ac:dyDescent="0.25">
      <c r="J556" s="159"/>
      <c r="K556" s="159"/>
    </row>
    <row r="557" spans="1:11" x14ac:dyDescent="0.25">
      <c r="A557" s="159" t="s">
        <v>38</v>
      </c>
      <c r="B557" s="159" t="s">
        <v>1</v>
      </c>
      <c r="C557" s="159" t="s">
        <v>432</v>
      </c>
      <c r="D557" s="159" t="s">
        <v>35</v>
      </c>
      <c r="H557" s="159" t="s">
        <v>326</v>
      </c>
      <c r="I557" s="159">
        <v>0</v>
      </c>
      <c r="J557" s="159"/>
      <c r="K557" s="159" t="s">
        <v>426</v>
      </c>
    </row>
    <row r="558" spans="1:11" x14ac:dyDescent="0.25">
      <c r="A558" t="s">
        <v>38</v>
      </c>
      <c r="B558" t="s">
        <v>1</v>
      </c>
      <c r="C558" t="s">
        <v>432</v>
      </c>
      <c r="D558" t="s">
        <v>35</v>
      </c>
      <c r="E558" t="str">
        <f>Foderstater!U$63</f>
        <v>ley silage, 1st cut</v>
      </c>
      <c r="H558" t="s">
        <v>326</v>
      </c>
      <c r="I558" s="13">
        <f>INDEX(Foderstater!$X$63:$AI$100,MATCH(E558,Foderstater!$U$63:$U$100,0),MATCH(A558&amp;C558&amp;D558,Foderstater!$X$62:$AI$62,0))</f>
        <v>56.070538180908102</v>
      </c>
      <c r="J558" s="159"/>
      <c r="K558" s="159"/>
    </row>
    <row r="559" spans="1:11" x14ac:dyDescent="0.25">
      <c r="A559" t="s">
        <v>38</v>
      </c>
      <c r="B559" t="s">
        <v>1</v>
      </c>
      <c r="C559" t="s">
        <v>432</v>
      </c>
      <c r="D559" t="s">
        <v>35</v>
      </c>
      <c r="E559" t="str">
        <f>Foderstater!U$64</f>
        <v>ley silage, regrowth</v>
      </c>
      <c r="H559" t="s">
        <v>326</v>
      </c>
      <c r="I559" s="13">
        <f>INDEX(Foderstater!$X$63:$AI$100,MATCH(E559,Foderstater!$U$63:$U$100,0),MATCH(A559&amp;C559&amp;D559,Foderstater!$X$62:$AI$62,0))</f>
        <v>0</v>
      </c>
      <c r="J559" s="159"/>
      <c r="K559" s="159"/>
    </row>
    <row r="560" spans="1:11" x14ac:dyDescent="0.25">
      <c r="A560" t="s">
        <v>38</v>
      </c>
      <c r="B560" t="s">
        <v>1</v>
      </c>
      <c r="C560" t="s">
        <v>432</v>
      </c>
      <c r="D560" t="s">
        <v>35</v>
      </c>
      <c r="E560" t="str">
        <f>Foderstater!U$65</f>
        <v>other silage</v>
      </c>
      <c r="H560" t="s">
        <v>326</v>
      </c>
      <c r="I560" s="13">
        <f>INDEX(Foderstater!$X$63:$AI$100,MATCH(E560,Foderstater!$U$63:$U$100,0),MATCH(A560&amp;C560&amp;D560,Foderstater!$X$62:$AI$62,0))</f>
        <v>0</v>
      </c>
      <c r="J560" s="159"/>
      <c r="K560" s="159"/>
    </row>
    <row r="561" spans="1:11" x14ac:dyDescent="0.25">
      <c r="A561" t="s">
        <v>38</v>
      </c>
      <c r="B561" t="s">
        <v>1</v>
      </c>
      <c r="C561" t="s">
        <v>432</v>
      </c>
      <c r="D561" t="s">
        <v>35</v>
      </c>
      <c r="E561" t="str">
        <f>Foderstater!U$66</f>
        <v>maize silage</v>
      </c>
      <c r="H561" t="s">
        <v>326</v>
      </c>
      <c r="I561" s="13">
        <f>INDEX(Foderstater!$X$63:$AI$100,MATCH(E561,Foderstater!$U$63:$U$100,0),MATCH(A561&amp;C561&amp;D561,Foderstater!$X$62:$AI$62,0))</f>
        <v>13.09114711176567</v>
      </c>
      <c r="J561" s="159"/>
      <c r="K561" s="159"/>
    </row>
    <row r="562" spans="1:11" x14ac:dyDescent="0.25">
      <c r="A562" t="s">
        <v>38</v>
      </c>
      <c r="B562" t="s">
        <v>1</v>
      </c>
      <c r="C562" t="s">
        <v>432</v>
      </c>
      <c r="D562" t="s">
        <v>35</v>
      </c>
      <c r="E562" t="str">
        <f>Foderstater!U$67</f>
        <v>straw</v>
      </c>
      <c r="H562" t="s">
        <v>326</v>
      </c>
      <c r="I562" s="13">
        <f>INDEX(Foderstater!$X$63:$AI$100,MATCH(E562,Foderstater!$U$63:$U$100,0),MATCH(A562&amp;C562&amp;D562,Foderstater!$X$62:$AI$62,0))</f>
        <v>0</v>
      </c>
      <c r="J562" s="159"/>
      <c r="K562" s="159"/>
    </row>
    <row r="563" spans="1:11" x14ac:dyDescent="0.25">
      <c r="A563" t="s">
        <v>38</v>
      </c>
      <c r="B563" t="s">
        <v>1</v>
      </c>
      <c r="C563" t="s">
        <v>432</v>
      </c>
      <c r="D563" t="s">
        <v>35</v>
      </c>
      <c r="E563" t="str">
        <f>Foderstater!U$68</f>
        <v>grazing</v>
      </c>
      <c r="H563" t="s">
        <v>326</v>
      </c>
      <c r="I563" s="13">
        <f>INDEX(Foderstater!$X$63:$AI$100,MATCH(E563,Foderstater!$U$63:$U$100,0),MATCH(A563&amp;C563&amp;D563,Foderstater!$X$62:$AI$62,0))</f>
        <v>0</v>
      </c>
      <c r="J563" s="159"/>
      <c r="K563" s="159"/>
    </row>
    <row r="564" spans="1:11" x14ac:dyDescent="0.25">
      <c r="A564" t="s">
        <v>38</v>
      </c>
      <c r="B564" t="s">
        <v>1</v>
      </c>
      <c r="C564" t="s">
        <v>432</v>
      </c>
      <c r="D564" t="s">
        <v>35</v>
      </c>
      <c r="E564" t="str">
        <f>Foderstater!U$69</f>
        <v>wheat</v>
      </c>
      <c r="H564" t="s">
        <v>326</v>
      </c>
      <c r="I564" s="13">
        <f>INDEX(Foderstater!$X$63:$AI$100,MATCH(E564,Foderstater!$U$63:$U$100,0),MATCH(A564&amp;C564&amp;D564,Foderstater!$X$62:$AI$62,0))</f>
        <v>6.338193642704308</v>
      </c>
      <c r="J564" s="159"/>
      <c r="K564" s="159"/>
    </row>
    <row r="565" spans="1:11" x14ac:dyDescent="0.25">
      <c r="A565" t="s">
        <v>38</v>
      </c>
      <c r="B565" t="s">
        <v>1</v>
      </c>
      <c r="C565" t="s">
        <v>432</v>
      </c>
      <c r="D565" t="s">
        <v>35</v>
      </c>
      <c r="E565" t="str">
        <f>Foderstater!U$70</f>
        <v>barley</v>
      </c>
      <c r="H565" t="s">
        <v>326</v>
      </c>
      <c r="I565" s="13">
        <f>INDEX(Foderstater!$X$63:$AI$100,MATCH(E565,Foderstater!$U$63:$U$100,0),MATCH(A565&amp;C565&amp;D565,Foderstater!$X$62:$AI$62,0))</f>
        <v>13.009738603465815</v>
      </c>
      <c r="J565" s="159"/>
      <c r="K565" s="159"/>
    </row>
    <row r="566" spans="1:11" x14ac:dyDescent="0.25">
      <c r="A566" t="s">
        <v>38</v>
      </c>
      <c r="B566" t="s">
        <v>1</v>
      </c>
      <c r="C566" t="s">
        <v>432</v>
      </c>
      <c r="D566" t="s">
        <v>35</v>
      </c>
      <c r="E566" t="str">
        <f>Foderstater!U$71</f>
        <v>oats</v>
      </c>
      <c r="H566" t="s">
        <v>326</v>
      </c>
      <c r="I566" s="13">
        <f>INDEX(Foderstater!$X$63:$AI$100,MATCH(E566,Foderstater!$U$63:$U$100,0),MATCH(A566&amp;C566&amp;D566,Foderstater!$X$62:$AI$62,0))</f>
        <v>2.6885792015166539</v>
      </c>
      <c r="J566" s="159"/>
      <c r="K566" s="159"/>
    </row>
    <row r="567" spans="1:11" x14ac:dyDescent="0.25">
      <c r="A567" t="s">
        <v>38</v>
      </c>
      <c r="B567" t="s">
        <v>1</v>
      </c>
      <c r="C567" t="s">
        <v>432</v>
      </c>
      <c r="D567" t="s">
        <v>35</v>
      </c>
      <c r="E567" t="str">
        <f>Foderstater!U$72</f>
        <v>triticale</v>
      </c>
      <c r="H567" t="s">
        <v>326</v>
      </c>
      <c r="I567" s="13">
        <f>INDEX(Foderstater!$X$63:$AI$100,MATCH(E567,Foderstater!$U$63:$U$100,0),MATCH(A567&amp;C567&amp;D567,Foderstater!$X$62:$AI$62,0))</f>
        <v>5.0332855432745562</v>
      </c>
      <c r="J567" s="159"/>
      <c r="K567" s="159"/>
    </row>
    <row r="568" spans="1:11" x14ac:dyDescent="0.25">
      <c r="A568" t="s">
        <v>38</v>
      </c>
      <c r="B568" t="s">
        <v>1</v>
      </c>
      <c r="C568" t="s">
        <v>432</v>
      </c>
      <c r="D568" t="s">
        <v>35</v>
      </c>
      <c r="E568" t="str">
        <f>Foderstater!U$73</f>
        <v>rye</v>
      </c>
      <c r="H568" t="s">
        <v>326</v>
      </c>
      <c r="I568" s="13">
        <f>INDEX(Foderstater!$X$63:$AI$100,MATCH(E568,Foderstater!$U$63:$U$100,0),MATCH(A568&amp;C568&amp;D568,Foderstater!$X$62:$AI$62,0))</f>
        <v>0</v>
      </c>
      <c r="J568" s="159"/>
      <c r="K568" s="159"/>
    </row>
    <row r="569" spans="1:11" x14ac:dyDescent="0.25">
      <c r="A569" t="s">
        <v>38</v>
      </c>
      <c r="B569" t="s">
        <v>1</v>
      </c>
      <c r="C569" t="s">
        <v>432</v>
      </c>
      <c r="D569" t="s">
        <v>35</v>
      </c>
      <c r="E569" t="str">
        <f>Foderstater!U$74</f>
        <v>maize</v>
      </c>
      <c r="H569" t="s">
        <v>326</v>
      </c>
      <c r="I569" s="13">
        <f>INDEX(Foderstater!$X$63:$AI$100,MATCH(E569,Foderstater!$U$63:$U$100,0),MATCH(A569&amp;C569&amp;D569,Foderstater!$X$62:$AI$62,0))</f>
        <v>0</v>
      </c>
      <c r="J569" s="159"/>
      <c r="K569" s="159"/>
    </row>
    <row r="570" spans="1:11" x14ac:dyDescent="0.25">
      <c r="A570" t="s">
        <v>38</v>
      </c>
      <c r="B570" t="s">
        <v>1</v>
      </c>
      <c r="C570" t="s">
        <v>432</v>
      </c>
      <c r="D570" t="s">
        <v>35</v>
      </c>
      <c r="E570" t="str">
        <f>Foderstater!U$75</f>
        <v>peas</v>
      </c>
      <c r="H570" t="s">
        <v>326</v>
      </c>
      <c r="I570" s="13">
        <f>INDEX(Foderstater!$X$63:$AI$100,MATCH(E570,Foderstater!$U$63:$U$100,0),MATCH(A570&amp;C570&amp;D570,Foderstater!$X$62:$AI$62,0))</f>
        <v>1.6370482011197791</v>
      </c>
      <c r="J570" s="159"/>
      <c r="K570" s="159"/>
    </row>
    <row r="571" spans="1:11" x14ac:dyDescent="0.25">
      <c r="A571" t="s">
        <v>38</v>
      </c>
      <c r="B571" t="s">
        <v>1</v>
      </c>
      <c r="C571" t="s">
        <v>432</v>
      </c>
      <c r="D571" t="s">
        <v>35</v>
      </c>
      <c r="E571" t="str">
        <f>Foderstater!U$76</f>
        <v>broad beans</v>
      </c>
      <c r="H571" t="s">
        <v>326</v>
      </c>
      <c r="I571" s="13">
        <f>INDEX(Foderstater!$X$63:$AI$100,MATCH(E571,Foderstater!$U$63:$U$100,0),MATCH(A571&amp;C571&amp;D571,Foderstater!$X$62:$AI$62,0))</f>
        <v>1.5539189073731028</v>
      </c>
      <c r="J571" s="159"/>
      <c r="K571" s="159"/>
    </row>
    <row r="572" spans="1:11" x14ac:dyDescent="0.25">
      <c r="A572" t="s">
        <v>38</v>
      </c>
      <c r="B572" t="s">
        <v>1</v>
      </c>
      <c r="C572" t="s">
        <v>432</v>
      </c>
      <c r="D572" t="s">
        <v>35</v>
      </c>
      <c r="E572" t="str">
        <f>Foderstater!U$77</f>
        <v>rapeseed</v>
      </c>
      <c r="H572" t="s">
        <v>326</v>
      </c>
      <c r="I572" s="13">
        <f>INDEX(Foderstater!$X$63:$AI$100,MATCH(E572,Foderstater!$U$63:$U$100,0),MATCH(A572&amp;C572&amp;D572,Foderstater!$X$62:$AI$62,0))</f>
        <v>0</v>
      </c>
      <c r="J572" s="159"/>
      <c r="K572" s="159"/>
    </row>
    <row r="573" spans="1:11" x14ac:dyDescent="0.25">
      <c r="A573" t="s">
        <v>38</v>
      </c>
      <c r="B573" t="s">
        <v>1</v>
      </c>
      <c r="C573" t="s">
        <v>432</v>
      </c>
      <c r="D573" t="s">
        <v>35</v>
      </c>
      <c r="E573" t="str">
        <f>Foderstater!U$78</f>
        <v>linseed</v>
      </c>
      <c r="H573" t="s">
        <v>326</v>
      </c>
      <c r="I573" s="13">
        <f>INDEX(Foderstater!$X$63:$AI$100,MATCH(E573,Foderstater!$U$63:$U$100,0),MATCH(A573&amp;C573&amp;D573,Foderstater!$X$62:$AI$62,0))</f>
        <v>0</v>
      </c>
      <c r="J573" s="159"/>
      <c r="K573" s="159"/>
    </row>
    <row r="574" spans="1:11" x14ac:dyDescent="0.25">
      <c r="A574" t="s">
        <v>38</v>
      </c>
      <c r="B574" t="s">
        <v>1</v>
      </c>
      <c r="C574" t="s">
        <v>432</v>
      </c>
      <c r="D574" t="s">
        <v>35</v>
      </c>
      <c r="E574" t="str">
        <f>Foderstater!U$79</f>
        <v>vegetable oils</v>
      </c>
      <c r="H574" t="s">
        <v>326</v>
      </c>
      <c r="I574" s="13">
        <f>INDEX(Foderstater!$X$63:$AI$100,MATCH(E574,Foderstater!$U$63:$U$100,0),MATCH(A574&amp;C574&amp;D574,Foderstater!$X$62:$AI$62,0))</f>
        <v>0</v>
      </c>
      <c r="J574" s="159"/>
      <c r="K574" s="159"/>
    </row>
    <row r="575" spans="1:11" x14ac:dyDescent="0.25">
      <c r="A575" t="s">
        <v>38</v>
      </c>
      <c r="B575" t="s">
        <v>1</v>
      </c>
      <c r="C575" t="s">
        <v>432</v>
      </c>
      <c r="D575" t="s">
        <v>35</v>
      </c>
      <c r="E575" t="str">
        <f>Foderstater!U$80</f>
        <v>soybeans</v>
      </c>
      <c r="H575" t="s">
        <v>326</v>
      </c>
      <c r="I575" s="13">
        <f>INDEX(Foderstater!$X$63:$AI$100,MATCH(E575,Foderstater!$U$63:$U$100,0),MATCH(A575&amp;C575&amp;D575,Foderstater!$X$62:$AI$62,0))</f>
        <v>0</v>
      </c>
      <c r="J575" s="159"/>
      <c r="K575" s="159"/>
    </row>
    <row r="576" spans="1:11" x14ac:dyDescent="0.25">
      <c r="A576" t="s">
        <v>38</v>
      </c>
      <c r="B576" t="s">
        <v>1</v>
      </c>
      <c r="C576" t="s">
        <v>432</v>
      </c>
      <c r="D576" t="s">
        <v>35</v>
      </c>
      <c r="E576" t="str">
        <f>Foderstater!U$81</f>
        <v>soybean meal</v>
      </c>
      <c r="H576" t="s">
        <v>326</v>
      </c>
      <c r="I576" s="13">
        <f>INDEX(Foderstater!$X$63:$AI$100,MATCH(E576,Foderstater!$U$63:$U$100,0),MATCH(A576&amp;C576&amp;D576,Foderstater!$X$62:$AI$62,0))</f>
        <v>0</v>
      </c>
      <c r="J576" s="159"/>
      <c r="K576" s="159"/>
    </row>
    <row r="577" spans="1:11" x14ac:dyDescent="0.25">
      <c r="A577" t="s">
        <v>38</v>
      </c>
      <c r="B577" t="s">
        <v>1</v>
      </c>
      <c r="C577" t="s">
        <v>432</v>
      </c>
      <c r="D577" t="s">
        <v>35</v>
      </c>
      <c r="E577" t="str">
        <f>Foderstater!U$82</f>
        <v>soybean protein concentrate</v>
      </c>
      <c r="H577" t="s">
        <v>326</v>
      </c>
      <c r="I577" s="13">
        <f>INDEX(Foderstater!$X$63:$AI$100,MATCH(E577,Foderstater!$U$63:$U$100,0),MATCH(A577&amp;C577&amp;D577,Foderstater!$X$62:$AI$62,0))</f>
        <v>0</v>
      </c>
      <c r="J577" s="159"/>
      <c r="K577" s="159"/>
    </row>
    <row r="578" spans="1:11" x14ac:dyDescent="0.25">
      <c r="A578" t="s">
        <v>38</v>
      </c>
      <c r="B578" t="s">
        <v>1</v>
      </c>
      <c r="C578" t="s">
        <v>432</v>
      </c>
      <c r="D578" t="s">
        <v>35</v>
      </c>
      <c r="E578" t="str">
        <f>Foderstater!U$83</f>
        <v>rapeseed meal</v>
      </c>
      <c r="H578" t="s">
        <v>326</v>
      </c>
      <c r="I578" s="13">
        <f>INDEX(Foderstater!$X$63:$AI$100,MATCH(E578,Foderstater!$U$63:$U$100,0),MATCH(A578&amp;C578&amp;D578,Foderstater!$X$62:$AI$62,0))</f>
        <v>0</v>
      </c>
      <c r="J578" s="159"/>
      <c r="K578" s="159"/>
    </row>
    <row r="579" spans="1:11" x14ac:dyDescent="0.25">
      <c r="A579" t="s">
        <v>38</v>
      </c>
      <c r="B579" t="s">
        <v>1</v>
      </c>
      <c r="C579" t="s">
        <v>432</v>
      </c>
      <c r="D579" t="s">
        <v>35</v>
      </c>
      <c r="E579" t="str">
        <f>Foderstater!U$84</f>
        <v>sunflower seed meal</v>
      </c>
      <c r="H579" t="s">
        <v>326</v>
      </c>
      <c r="I579" s="13">
        <f>INDEX(Foderstater!$X$63:$AI$100,MATCH(E579,Foderstater!$U$63:$U$100,0),MATCH(A579&amp;C579&amp;D579,Foderstater!$X$62:$AI$62,0))</f>
        <v>0</v>
      </c>
    </row>
    <row r="580" spans="1:11" x14ac:dyDescent="0.25">
      <c r="A580" t="s">
        <v>38</v>
      </c>
      <c r="B580" t="s">
        <v>1</v>
      </c>
      <c r="C580" t="s">
        <v>432</v>
      </c>
      <c r="D580" t="s">
        <v>35</v>
      </c>
      <c r="E580" t="str">
        <f>Foderstater!U$85</f>
        <v>palm kernel expeller</v>
      </c>
      <c r="H580" t="s">
        <v>326</v>
      </c>
      <c r="I580" s="13">
        <f>INDEX(Foderstater!$X$63:$AI$100,MATCH(E580,Foderstater!$U$63:$U$100,0),MATCH(A580&amp;C580&amp;D580,Foderstater!$X$62:$AI$62,0))</f>
        <v>0</v>
      </c>
    </row>
    <row r="581" spans="1:11" x14ac:dyDescent="0.25">
      <c r="A581" t="s">
        <v>38</v>
      </c>
      <c r="B581" t="s">
        <v>1</v>
      </c>
      <c r="C581" t="s">
        <v>432</v>
      </c>
      <c r="D581" t="s">
        <v>35</v>
      </c>
      <c r="E581" t="str">
        <f>Foderstater!U$86</f>
        <v>luzern meal</v>
      </c>
      <c r="H581" t="s">
        <v>326</v>
      </c>
      <c r="I581" s="13">
        <f>INDEX(Foderstater!$X$63:$AI$100,MATCH(E581,Foderstater!$U$63:$U$100,0),MATCH(A581&amp;C581&amp;D581,Foderstater!$X$62:$AI$62,0))</f>
        <v>0</v>
      </c>
    </row>
    <row r="582" spans="1:11" x14ac:dyDescent="0.25">
      <c r="A582" t="s">
        <v>38</v>
      </c>
      <c r="B582" t="s">
        <v>1</v>
      </c>
      <c r="C582" t="s">
        <v>432</v>
      </c>
      <c r="D582" t="s">
        <v>35</v>
      </c>
      <c r="E582" t="str">
        <f>Foderstater!U$87</f>
        <v>wheat bran</v>
      </c>
      <c r="H582" t="s">
        <v>326</v>
      </c>
      <c r="I582" s="13">
        <f>INDEX(Foderstater!$X$63:$AI$100,MATCH(E582,Foderstater!$U$63:$U$100,0),MATCH(A582&amp;C582&amp;D582,Foderstater!$X$62:$AI$62,0))</f>
        <v>0</v>
      </c>
    </row>
    <row r="583" spans="1:11" x14ac:dyDescent="0.25">
      <c r="A583" t="s">
        <v>38</v>
      </c>
      <c r="B583" t="s">
        <v>1</v>
      </c>
      <c r="C583" t="s">
        <v>432</v>
      </c>
      <c r="D583" t="s">
        <v>35</v>
      </c>
      <c r="E583" t="str">
        <f>Foderstater!U$88</f>
        <v>wheat bran, fine</v>
      </c>
      <c r="H583" t="s">
        <v>326</v>
      </c>
      <c r="I583" s="13">
        <f>INDEX(Foderstater!$X$63:$AI$100,MATCH(E583,Foderstater!$U$63:$U$100,0),MATCH(A583&amp;C583&amp;D583,Foderstater!$X$62:$AI$62,0))</f>
        <v>0</v>
      </c>
    </row>
    <row r="584" spans="1:11" x14ac:dyDescent="0.25">
      <c r="A584" t="s">
        <v>38</v>
      </c>
      <c r="B584" t="s">
        <v>1</v>
      </c>
      <c r="C584" t="s">
        <v>432</v>
      </c>
      <c r="D584" t="s">
        <v>35</v>
      </c>
      <c r="E584" t="str">
        <f>Foderstater!U$89</f>
        <v>oat hulls</v>
      </c>
      <c r="H584" t="s">
        <v>326</v>
      </c>
      <c r="I584" s="13">
        <f>INDEX(Foderstater!$X$63:$AI$100,MATCH(E584,Foderstater!$U$63:$U$100,0),MATCH(A584&amp;C584&amp;D584,Foderstater!$X$62:$AI$62,0))</f>
        <v>0</v>
      </c>
    </row>
    <row r="585" spans="1:11" x14ac:dyDescent="0.25">
      <c r="A585" t="s">
        <v>38</v>
      </c>
      <c r="B585" t="s">
        <v>1</v>
      </c>
      <c r="C585" t="s">
        <v>432</v>
      </c>
      <c r="D585" t="s">
        <v>35</v>
      </c>
      <c r="E585" t="str">
        <f>Foderstater!U$90</f>
        <v>oat bran</v>
      </c>
      <c r="H585" t="s">
        <v>326</v>
      </c>
      <c r="I585" s="13">
        <f>INDEX(Foderstater!$X$63:$AI$100,MATCH(E585,Foderstater!$U$63:$U$100,0),MATCH(A585&amp;C585&amp;D585,Foderstater!$X$62:$AI$62,0))</f>
        <v>0</v>
      </c>
    </row>
    <row r="586" spans="1:11" x14ac:dyDescent="0.25">
      <c r="A586" t="s">
        <v>38</v>
      </c>
      <c r="B586" t="s">
        <v>1</v>
      </c>
      <c r="C586" t="s">
        <v>432</v>
      </c>
      <c r="D586" t="s">
        <v>35</v>
      </c>
      <c r="E586" t="str">
        <f>Foderstater!U$91</f>
        <v>rye bran</v>
      </c>
      <c r="H586" t="s">
        <v>326</v>
      </c>
      <c r="I586" s="13">
        <f>INDEX(Foderstater!$X$63:$AI$100,MATCH(E586,Foderstater!$U$63:$U$100,0),MATCH(A586&amp;C586&amp;D586,Foderstater!$X$62:$AI$62,0))</f>
        <v>0</v>
      </c>
    </row>
    <row r="587" spans="1:11" x14ac:dyDescent="0.25">
      <c r="A587" t="s">
        <v>38</v>
      </c>
      <c r="B587" t="s">
        <v>1</v>
      </c>
      <c r="C587" t="s">
        <v>432</v>
      </c>
      <c r="D587" t="s">
        <v>35</v>
      </c>
      <c r="E587" t="str">
        <f>Foderstater!U$92</f>
        <v>wheat distillers grain, dry</v>
      </c>
      <c r="H587" t="s">
        <v>326</v>
      </c>
      <c r="I587" s="13">
        <f>INDEX(Foderstater!$X$63:$AI$100,MATCH(E587,Foderstater!$U$63:$U$100,0),MATCH(A587&amp;C587&amp;D587,Foderstater!$X$62:$AI$62,0))</f>
        <v>0</v>
      </c>
    </row>
    <row r="588" spans="1:11" x14ac:dyDescent="0.25">
      <c r="A588" t="s">
        <v>38</v>
      </c>
      <c r="B588" t="s">
        <v>1</v>
      </c>
      <c r="C588" t="s">
        <v>432</v>
      </c>
      <c r="D588" t="s">
        <v>35</v>
      </c>
      <c r="E588" t="str">
        <f>Foderstater!U$93</f>
        <v>barley brewers grain</v>
      </c>
      <c r="H588" t="s">
        <v>326</v>
      </c>
      <c r="I588" s="13">
        <f>INDEX(Foderstater!$X$63:$AI$100,MATCH(E588,Foderstater!$U$63:$U$100,0),MATCH(A588&amp;C588&amp;D588,Foderstater!$X$62:$AI$62,0))</f>
        <v>0</v>
      </c>
    </row>
    <row r="589" spans="1:11" x14ac:dyDescent="0.25">
      <c r="A589" t="s">
        <v>38</v>
      </c>
      <c r="B589" t="s">
        <v>1</v>
      </c>
      <c r="C589" t="s">
        <v>432</v>
      </c>
      <c r="D589" t="s">
        <v>35</v>
      </c>
      <c r="E589" t="str">
        <f>Foderstater!U$94</f>
        <v>maize gluten meal</v>
      </c>
      <c r="H589" t="s">
        <v>326</v>
      </c>
      <c r="I589" s="13">
        <f>INDEX(Foderstater!$X$63:$AI$100,MATCH(E589,Foderstater!$U$63:$U$100,0),MATCH(A589&amp;C589&amp;D589,Foderstater!$X$62:$AI$62,0))</f>
        <v>0</v>
      </c>
    </row>
    <row r="590" spans="1:11" x14ac:dyDescent="0.25">
      <c r="A590" t="s">
        <v>38</v>
      </c>
      <c r="B590" t="s">
        <v>1</v>
      </c>
      <c r="C590" t="s">
        <v>432</v>
      </c>
      <c r="D590" t="s">
        <v>35</v>
      </c>
      <c r="E590" t="str">
        <f>Foderstater!U$95</f>
        <v>sugar beet molasses</v>
      </c>
      <c r="H590" t="s">
        <v>326</v>
      </c>
      <c r="I590" s="13">
        <f>INDEX(Foderstater!$X$63:$AI$100,MATCH(E590,Foderstater!$U$63:$U$100,0),MATCH(A590&amp;C590&amp;D590,Foderstater!$X$62:$AI$62,0))</f>
        <v>0</v>
      </c>
    </row>
    <row r="591" spans="1:11" x14ac:dyDescent="0.25">
      <c r="A591" t="s">
        <v>38</v>
      </c>
      <c r="B591" t="s">
        <v>1</v>
      </c>
      <c r="C591" t="s">
        <v>432</v>
      </c>
      <c r="D591" t="s">
        <v>35</v>
      </c>
      <c r="E591" t="str">
        <f>Foderstater!U$96</f>
        <v>sugar beet pulp</v>
      </c>
      <c r="H591" t="s">
        <v>326</v>
      </c>
      <c r="I591" s="13">
        <f>INDEX(Foderstater!$X$63:$AI$100,MATCH(E591,Foderstater!$U$63:$U$100,0),MATCH(A591&amp;C591&amp;D591,Foderstater!$X$62:$AI$62,0))</f>
        <v>0</v>
      </c>
    </row>
    <row r="592" spans="1:11" x14ac:dyDescent="0.25">
      <c r="A592" t="s">
        <v>38</v>
      </c>
      <c r="B592" t="s">
        <v>1</v>
      </c>
      <c r="C592" t="s">
        <v>432</v>
      </c>
      <c r="D592" t="s">
        <v>35</v>
      </c>
      <c r="E592" t="str">
        <f>Foderstater!U$97</f>
        <v>whey powder</v>
      </c>
      <c r="H592" t="s">
        <v>326</v>
      </c>
      <c r="I592" s="13">
        <f>INDEX(Foderstater!$X$63:$AI$100,MATCH(E592,Foderstater!$U$63:$U$100,0),MATCH(A592&amp;C592&amp;D592,Foderstater!$X$62:$AI$62,0))</f>
        <v>0</v>
      </c>
    </row>
    <row r="593" spans="1:12" x14ac:dyDescent="0.25">
      <c r="A593" t="s">
        <v>38</v>
      </c>
      <c r="B593" t="s">
        <v>1</v>
      </c>
      <c r="C593" t="s">
        <v>432</v>
      </c>
      <c r="D593" t="s">
        <v>35</v>
      </c>
      <c r="E593" t="str">
        <f>Foderstater!U$98</f>
        <v>potatoe protein</v>
      </c>
      <c r="H593" t="s">
        <v>326</v>
      </c>
      <c r="I593" s="13">
        <f>INDEX(Foderstater!$X$63:$AI$100,MATCH(E593,Foderstater!$U$63:$U$100,0),MATCH(A593&amp;C593&amp;D593,Foderstater!$X$62:$AI$62,0))</f>
        <v>0</v>
      </c>
    </row>
    <row r="594" spans="1:12" x14ac:dyDescent="0.25">
      <c r="A594" t="s">
        <v>38</v>
      </c>
      <c r="B594" t="s">
        <v>1</v>
      </c>
      <c r="C594" t="s">
        <v>432</v>
      </c>
      <c r="D594" t="s">
        <v>35</v>
      </c>
      <c r="E594" t="str">
        <f>Foderstater!U$99</f>
        <v>fish meal</v>
      </c>
      <c r="H594" t="s">
        <v>326</v>
      </c>
      <c r="I594" s="13">
        <f>INDEX(Foderstater!$X$63:$AI$100,MATCH(E594,Foderstater!$U$63:$U$100,0),MATCH(A594&amp;C594&amp;D594,Foderstater!$X$62:$AI$62,0))</f>
        <v>0</v>
      </c>
    </row>
    <row r="595" spans="1:12" x14ac:dyDescent="0.25">
      <c r="A595" t="s">
        <v>38</v>
      </c>
      <c r="B595" t="s">
        <v>1</v>
      </c>
      <c r="C595" t="s">
        <v>432</v>
      </c>
      <c r="D595" t="s">
        <v>35</v>
      </c>
      <c r="E595" t="str">
        <f>Foderstater!U$100</f>
        <v>minerals</v>
      </c>
      <c r="H595" t="s">
        <v>326</v>
      </c>
      <c r="I595" s="13">
        <f>INDEX(Foderstater!$X$63:$AI$100,MATCH(E595,Foderstater!$U$63:$U$100,0),MATCH(A595&amp;C595&amp;D595,Foderstater!$X$62:$AI$62,0))</f>
        <v>0.57755060787201484</v>
      </c>
    </row>
    <row r="597" spans="1:12" x14ac:dyDescent="0.25">
      <c r="A597" s="158" t="s">
        <v>305</v>
      </c>
      <c r="B597" s="158"/>
      <c r="C597" s="158"/>
      <c r="D597" s="95"/>
      <c r="E597" s="95"/>
      <c r="F597" s="95"/>
      <c r="G597" s="95"/>
      <c r="H597" s="95"/>
      <c r="I597" s="95"/>
      <c r="J597" s="95"/>
      <c r="K597" s="95"/>
      <c r="L597" s="95"/>
    </row>
    <row r="598" spans="1:12" x14ac:dyDescent="0.25">
      <c r="A598" s="93" t="s">
        <v>2</v>
      </c>
      <c r="D598" s="93" t="s">
        <v>18</v>
      </c>
      <c r="E598" s="93"/>
      <c r="F598" s="93"/>
      <c r="G598" s="93"/>
      <c r="H598" s="93" t="s">
        <v>40</v>
      </c>
      <c r="I598" s="93">
        <v>7.1</v>
      </c>
      <c r="J598" s="93" t="s">
        <v>4</v>
      </c>
      <c r="K598" s="93"/>
      <c r="L598" s="93" t="s">
        <v>41</v>
      </c>
    </row>
    <row r="599" spans="1:12" x14ac:dyDescent="0.25">
      <c r="A599" s="93" t="s">
        <v>38</v>
      </c>
      <c r="D599" s="93" t="s">
        <v>18</v>
      </c>
      <c r="E599" s="93"/>
      <c r="F599" s="93"/>
      <c r="G599" s="93"/>
      <c r="H599" s="93" t="s">
        <v>40</v>
      </c>
      <c r="I599" s="93">
        <v>5.0999999999999996</v>
      </c>
      <c r="J599" s="93" t="s">
        <v>4</v>
      </c>
      <c r="K599" s="93"/>
      <c r="L599" s="93" t="s">
        <v>41</v>
      </c>
    </row>
    <row r="600" spans="1:12" x14ac:dyDescent="0.25">
      <c r="A600" s="93"/>
      <c r="D600" s="93" t="s">
        <v>33</v>
      </c>
      <c r="E600" s="93"/>
      <c r="F600" s="93"/>
      <c r="G600" s="93"/>
      <c r="H600" s="93" t="s">
        <v>40</v>
      </c>
      <c r="I600" s="93">
        <v>5.7</v>
      </c>
      <c r="J600" s="93" t="s">
        <v>4</v>
      </c>
      <c r="K600" s="93"/>
      <c r="L600" s="93" t="s">
        <v>41</v>
      </c>
    </row>
    <row r="601" spans="1:12" x14ac:dyDescent="0.25">
      <c r="A601" s="93"/>
      <c r="D601" s="93" t="s">
        <v>20</v>
      </c>
      <c r="E601" s="93"/>
      <c r="F601" s="93"/>
      <c r="G601" s="93"/>
      <c r="H601" s="93" t="s">
        <v>40</v>
      </c>
      <c r="I601" s="93">
        <v>7.7</v>
      </c>
      <c r="J601" s="93" t="s">
        <v>4</v>
      </c>
      <c r="K601" s="93"/>
      <c r="L601" s="93" t="s">
        <v>41</v>
      </c>
    </row>
    <row r="602" spans="1:12" x14ac:dyDescent="0.25">
      <c r="A602" s="93"/>
      <c r="D602" s="93" t="s">
        <v>34</v>
      </c>
      <c r="E602" s="93"/>
      <c r="F602" s="93"/>
      <c r="G602" s="93"/>
      <c r="H602" s="93" t="s">
        <v>40</v>
      </c>
      <c r="I602" s="93">
        <v>9.1</v>
      </c>
      <c r="J602" s="93" t="s">
        <v>4</v>
      </c>
      <c r="K602" s="93" t="s">
        <v>42</v>
      </c>
      <c r="L602" s="93" t="s">
        <v>41</v>
      </c>
    </row>
    <row r="603" spans="1:12" x14ac:dyDescent="0.25">
      <c r="A603" s="93"/>
      <c r="D603" s="93" t="s">
        <v>35</v>
      </c>
      <c r="E603" s="93"/>
      <c r="F603" s="93"/>
      <c r="G603" s="93"/>
      <c r="H603" s="93" t="s">
        <v>40</v>
      </c>
      <c r="I603" s="93">
        <v>9.1</v>
      </c>
      <c r="J603" s="93" t="s">
        <v>4</v>
      </c>
      <c r="K603" s="93" t="s">
        <v>42</v>
      </c>
      <c r="L603" s="93" t="s">
        <v>41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1"/>
  <sheetViews>
    <sheetView workbookViewId="0">
      <selection activeCell="G9" sqref="G9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51</v>
      </c>
      <c r="B1" s="6" t="s">
        <v>47</v>
      </c>
      <c r="C1" s="6" t="s">
        <v>307</v>
      </c>
      <c r="D1" s="6" t="s">
        <v>53</v>
      </c>
      <c r="E1" s="6" t="s">
        <v>56</v>
      </c>
      <c r="F1" s="6" t="s">
        <v>54</v>
      </c>
      <c r="G1" s="6" t="s">
        <v>57</v>
      </c>
      <c r="H1" s="6" t="s">
        <v>58</v>
      </c>
      <c r="I1" s="6" t="s">
        <v>59</v>
      </c>
      <c r="J1" s="6" t="s">
        <v>55</v>
      </c>
    </row>
    <row r="2" spans="1:11" x14ac:dyDescent="0.25">
      <c r="A2" t="s">
        <v>2</v>
      </c>
      <c r="B2" t="s">
        <v>43</v>
      </c>
      <c r="C2" t="s">
        <v>308</v>
      </c>
      <c r="D2">
        <v>1</v>
      </c>
      <c r="E2" s="1">
        <f>D2*1.01^5</f>
        <v>1.0510100500999999</v>
      </c>
      <c r="F2" s="1">
        <f>E2*1.0081^5</f>
        <v>1.0942711329791557</v>
      </c>
      <c r="G2" s="1">
        <f>F2*1.0061^5</f>
        <v>1.1280560721959558</v>
      </c>
      <c r="H2" s="1">
        <f>G2*1.004^5</f>
        <v>1.1507984060123795</v>
      </c>
      <c r="I2" s="1">
        <f>H2*1.002^5</f>
        <v>1.1623525141647169</v>
      </c>
      <c r="J2" s="1">
        <f>I2*1.001^5</f>
        <v>1.1681759118900195</v>
      </c>
      <c r="K2" s="2"/>
    </row>
    <row r="11" spans="1:11" x14ac:dyDescent="0.25">
      <c r="E11" s="1"/>
      <c r="F11" s="1"/>
      <c r="G11" s="1"/>
      <c r="H11" s="1"/>
      <c r="I11" s="1"/>
      <c r="J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O1" zoomScale="80" zoomScaleNormal="80" workbookViewId="0">
      <selection activeCell="AQ26" sqref="AQ26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61</v>
      </c>
      <c r="P2" s="5"/>
      <c r="Y2" s="4" t="s">
        <v>62</v>
      </c>
    </row>
    <row r="3" spans="2:47" x14ac:dyDescent="0.25">
      <c r="D3" s="6" t="s">
        <v>63</v>
      </c>
      <c r="F3" s="6" t="s">
        <v>64</v>
      </c>
      <c r="H3" s="6" t="s">
        <v>65</v>
      </c>
      <c r="J3" s="6" t="s">
        <v>66</v>
      </c>
      <c r="AA3" s="6" t="s">
        <v>63</v>
      </c>
      <c r="AC3" s="6" t="s">
        <v>64</v>
      </c>
      <c r="AE3" s="6" t="s">
        <v>65</v>
      </c>
      <c r="AG3" s="6" t="s">
        <v>66</v>
      </c>
    </row>
    <row r="4" spans="2:47" x14ac:dyDescent="0.25">
      <c r="B4" s="6"/>
      <c r="D4" t="s">
        <v>67</v>
      </c>
      <c r="E4" t="s">
        <v>68</v>
      </c>
      <c r="F4" t="s">
        <v>67</v>
      </c>
      <c r="G4" t="s">
        <v>68</v>
      </c>
      <c r="H4" t="s">
        <v>67</v>
      </c>
      <c r="I4" t="s">
        <v>68</v>
      </c>
      <c r="J4" t="s">
        <v>67</v>
      </c>
      <c r="K4" t="s">
        <v>68</v>
      </c>
      <c r="M4" s="7" t="s">
        <v>69</v>
      </c>
      <c r="N4" s="8"/>
      <c r="O4" s="8"/>
      <c r="P4" s="9" t="s">
        <v>70</v>
      </c>
      <c r="Q4" s="9" t="s">
        <v>71</v>
      </c>
      <c r="R4" s="9" t="s">
        <v>72</v>
      </c>
      <c r="S4" s="9"/>
      <c r="T4" s="9" t="s">
        <v>73</v>
      </c>
      <c r="U4" s="8"/>
      <c r="V4" s="8"/>
      <c r="W4" s="10"/>
      <c r="Y4" s="6"/>
      <c r="AA4" t="s">
        <v>67</v>
      </c>
      <c r="AB4" t="s">
        <v>68</v>
      </c>
      <c r="AC4" t="s">
        <v>67</v>
      </c>
      <c r="AD4" t="s">
        <v>68</v>
      </c>
      <c r="AE4" t="s">
        <v>67</v>
      </c>
      <c r="AF4" t="s">
        <v>68</v>
      </c>
      <c r="AG4" t="s">
        <v>67</v>
      </c>
      <c r="AH4" t="s">
        <v>68</v>
      </c>
      <c r="AJ4" s="7" t="s">
        <v>69</v>
      </c>
      <c r="AK4" s="8"/>
      <c r="AL4" s="8"/>
      <c r="AM4" s="9" t="s">
        <v>70</v>
      </c>
      <c r="AN4" s="9" t="s">
        <v>71</v>
      </c>
      <c r="AO4" s="9" t="s">
        <v>72</v>
      </c>
      <c r="AP4" s="9"/>
      <c r="AQ4" s="9" t="s">
        <v>73</v>
      </c>
      <c r="AR4" s="8"/>
      <c r="AS4" s="8"/>
      <c r="AT4" s="10"/>
    </row>
    <row r="5" spans="2:47" x14ac:dyDescent="0.25">
      <c r="B5" t="s">
        <v>74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75</v>
      </c>
      <c r="N5" s="15"/>
      <c r="O5" s="15"/>
      <c r="P5" s="16">
        <v>13.2</v>
      </c>
      <c r="Q5" s="17">
        <v>12.9</v>
      </c>
      <c r="R5" s="15" t="s">
        <v>76</v>
      </c>
      <c r="S5" s="15"/>
      <c r="T5" s="15" t="s">
        <v>77</v>
      </c>
      <c r="U5" s="15"/>
      <c r="V5" s="15"/>
      <c r="W5" s="18"/>
      <c r="Y5" t="s">
        <v>74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75</v>
      </c>
      <c r="AK5" s="15"/>
      <c r="AL5" s="15"/>
      <c r="AM5" s="19">
        <f>(12.7+12.7+12.7+12.7)/4</f>
        <v>12.7</v>
      </c>
      <c r="AN5" s="20">
        <v>12.7</v>
      </c>
      <c r="AO5" s="15" t="s">
        <v>76</v>
      </c>
      <c r="AP5" s="15"/>
      <c r="AQ5" s="15" t="s">
        <v>78</v>
      </c>
      <c r="AR5" s="15"/>
      <c r="AS5" s="15"/>
      <c r="AT5" s="18"/>
    </row>
    <row r="6" spans="2:47" x14ac:dyDescent="0.25">
      <c r="B6" t="s">
        <v>79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80</v>
      </c>
      <c r="N6" s="15"/>
      <c r="O6" s="15"/>
      <c r="P6" s="19">
        <v>27</v>
      </c>
      <c r="Q6" s="17">
        <v>27</v>
      </c>
      <c r="R6" s="15" t="s">
        <v>76</v>
      </c>
      <c r="S6" s="15"/>
      <c r="T6" s="15" t="s">
        <v>77</v>
      </c>
      <c r="U6" s="15"/>
      <c r="V6" s="15"/>
      <c r="W6" s="18"/>
      <c r="Y6" t="s">
        <v>79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80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76</v>
      </c>
      <c r="AP6" s="15"/>
      <c r="AQ6" s="15" t="s">
        <v>81</v>
      </c>
      <c r="AR6" s="15"/>
      <c r="AS6" s="15"/>
      <c r="AT6" s="18"/>
    </row>
    <row r="7" spans="2:47" x14ac:dyDescent="0.25">
      <c r="B7" t="s">
        <v>82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83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84</v>
      </c>
      <c r="U7" s="15"/>
      <c r="V7" s="15"/>
      <c r="W7" s="18"/>
      <c r="Y7" t="s">
        <v>82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83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85</v>
      </c>
      <c r="AR7" s="15"/>
      <c r="AS7" s="15"/>
      <c r="AT7" s="18"/>
    </row>
    <row r="8" spans="2:47" x14ac:dyDescent="0.25">
      <c r="B8" t="s">
        <v>86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87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88</v>
      </c>
      <c r="U8" s="15"/>
      <c r="V8" s="15"/>
      <c r="W8" s="18"/>
      <c r="Y8" t="s">
        <v>86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87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89</v>
      </c>
      <c r="AR8" s="15"/>
      <c r="AS8" s="15"/>
      <c r="AT8" s="18"/>
    </row>
    <row r="9" spans="2:47" x14ac:dyDescent="0.25">
      <c r="B9" t="s">
        <v>90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92</v>
      </c>
      <c r="AR9" s="15"/>
      <c r="AS9" s="15"/>
      <c r="AT9" s="18"/>
    </row>
    <row r="10" spans="2:47" x14ac:dyDescent="0.25">
      <c r="D10" s="26"/>
      <c r="E10" s="26"/>
      <c r="M10" s="14" t="s">
        <v>93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84</v>
      </c>
      <c r="U10" s="15"/>
      <c r="V10" s="15"/>
      <c r="W10" s="18"/>
      <c r="AJ10" s="14" t="s">
        <v>93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78</v>
      </c>
      <c r="AR10" s="15"/>
      <c r="AS10" s="15"/>
      <c r="AT10" s="18"/>
    </row>
    <row r="11" spans="2:47" x14ac:dyDescent="0.25">
      <c r="B11" s="27" t="s">
        <v>94</v>
      </c>
      <c r="D11" t="s">
        <v>67</v>
      </c>
      <c r="E11" t="s">
        <v>68</v>
      </c>
      <c r="G11" t="s">
        <v>95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96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97</v>
      </c>
      <c r="S11" s="15"/>
      <c r="T11" s="15" t="s">
        <v>85</v>
      </c>
      <c r="U11" s="15"/>
      <c r="V11" s="15"/>
      <c r="W11" s="18"/>
      <c r="Y11" s="27" t="s">
        <v>94</v>
      </c>
      <c r="AA11" t="s">
        <v>67</v>
      </c>
      <c r="AB11" t="s">
        <v>68</v>
      </c>
      <c r="AD11" t="s">
        <v>95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96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97</v>
      </c>
      <c r="AP11" s="15"/>
      <c r="AQ11" s="15" t="s">
        <v>85</v>
      </c>
      <c r="AR11" s="15"/>
      <c r="AS11" s="15"/>
      <c r="AT11" s="18"/>
      <c r="AU11" s="32"/>
    </row>
    <row r="12" spans="2:47" x14ac:dyDescent="0.25">
      <c r="B12" t="s">
        <v>98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99</v>
      </c>
      <c r="N12" s="15"/>
      <c r="O12" s="15"/>
      <c r="P12" s="15">
        <v>100</v>
      </c>
      <c r="Q12" s="33">
        <f>P12</f>
        <v>100</v>
      </c>
      <c r="R12" s="15" t="s">
        <v>100</v>
      </c>
      <c r="S12" s="15"/>
      <c r="T12" s="15" t="s">
        <v>101</v>
      </c>
      <c r="U12" s="15"/>
      <c r="V12" s="15"/>
      <c r="W12" s="18"/>
      <c r="Y12" t="s">
        <v>98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99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100</v>
      </c>
      <c r="AP12" s="15"/>
      <c r="AQ12" s="15"/>
      <c r="AR12" s="15"/>
      <c r="AS12" s="15"/>
      <c r="AT12" s="18"/>
      <c r="AU12" s="32"/>
    </row>
    <row r="13" spans="2:47" x14ac:dyDescent="0.25">
      <c r="B13" t="s">
        <v>102</v>
      </c>
      <c r="D13" s="12">
        <f>D12*P8/100</f>
        <v>122361.22653271889</v>
      </c>
      <c r="E13" s="12">
        <f>E12*Q8/100</f>
        <v>26230.316860251078</v>
      </c>
      <c r="M13" s="35" t="s">
        <v>103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102</v>
      </c>
      <c r="AA13" s="12">
        <f>AA12*AM8/100</f>
        <v>67784.690562793054</v>
      </c>
      <c r="AB13" s="12">
        <f>AB12*AN8/100</f>
        <v>36821.313392134514</v>
      </c>
      <c r="AJ13" s="35" t="s">
        <v>103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104</v>
      </c>
      <c r="D14" s="12">
        <f>D12-D13</f>
        <v>119192.15050351919</v>
      </c>
      <c r="E14" s="12">
        <f>E12-E13</f>
        <v>25550.968746836195</v>
      </c>
      <c r="M14" s="14" t="s">
        <v>105</v>
      </c>
      <c r="N14" s="15"/>
      <c r="O14" s="15"/>
      <c r="P14" s="15">
        <v>6.6</v>
      </c>
      <c r="Q14" s="37">
        <f t="shared" ref="Q14:Q22" si="4">P14</f>
        <v>6.6</v>
      </c>
      <c r="R14" s="24" t="s">
        <v>106</v>
      </c>
      <c r="S14" s="15"/>
      <c r="T14" s="15" t="s">
        <v>101</v>
      </c>
      <c r="U14" s="15"/>
      <c r="V14" s="15"/>
      <c r="W14" s="18"/>
      <c r="Y14" t="s">
        <v>104</v>
      </c>
      <c r="AA14" s="12">
        <f>AA12-AA13</f>
        <v>63326.896599282481</v>
      </c>
      <c r="AB14" s="12">
        <f>AB12-AB13</f>
        <v>34399.795683560864</v>
      </c>
      <c r="AJ14" s="14" t="s">
        <v>105</v>
      </c>
      <c r="AK14" s="15"/>
      <c r="AL14" s="15"/>
      <c r="AM14" s="19">
        <v>2</v>
      </c>
      <c r="AN14" s="37">
        <f t="shared" si="3"/>
        <v>2</v>
      </c>
      <c r="AO14" s="24" t="s">
        <v>106</v>
      </c>
      <c r="AP14" s="15"/>
      <c r="AQ14" s="15" t="s">
        <v>101</v>
      </c>
      <c r="AR14" s="15"/>
      <c r="AS14" s="15"/>
      <c r="AT14" s="18"/>
      <c r="AU14" s="32"/>
    </row>
    <row r="15" spans="2:47" x14ac:dyDescent="0.25">
      <c r="B15" t="s">
        <v>340</v>
      </c>
      <c r="D15" s="12">
        <f>D13*(1-P15/100)</f>
        <v>117222.05501834469</v>
      </c>
      <c r="E15" s="12">
        <f>E13*(1-Q15/100)</f>
        <v>25128.643552120531</v>
      </c>
      <c r="M15" s="14" t="s">
        <v>108</v>
      </c>
      <c r="N15" s="15"/>
      <c r="O15" s="15"/>
      <c r="P15" s="38">
        <v>4.2</v>
      </c>
      <c r="Q15" s="37">
        <f t="shared" si="4"/>
        <v>4.2</v>
      </c>
      <c r="R15" s="24" t="s">
        <v>109</v>
      </c>
      <c r="S15" s="15"/>
      <c r="T15" s="15" t="s">
        <v>101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108</v>
      </c>
      <c r="AK15" s="15"/>
      <c r="AL15" s="15"/>
      <c r="AM15" s="19">
        <v>4</v>
      </c>
      <c r="AN15" s="37">
        <f t="shared" si="3"/>
        <v>4</v>
      </c>
      <c r="AO15" s="24" t="s">
        <v>109</v>
      </c>
      <c r="AP15" s="15"/>
      <c r="AQ15" s="15" t="s">
        <v>101</v>
      </c>
      <c r="AR15" s="15"/>
      <c r="AS15" s="15"/>
      <c r="AT15" s="18"/>
      <c r="AU15" s="32"/>
    </row>
    <row r="16" spans="2:47" x14ac:dyDescent="0.25">
      <c r="B16" t="s">
        <v>341</v>
      </c>
      <c r="D16" s="12">
        <f>D14*(1-P17/100)</f>
        <v>115139.61738639954</v>
      </c>
      <c r="E16" s="12">
        <f>E14*(1-Q17/100)</f>
        <v>24682.235809443762</v>
      </c>
      <c r="M16" s="25" t="s">
        <v>111</v>
      </c>
      <c r="N16" s="15"/>
      <c r="O16" s="15"/>
      <c r="P16" s="15">
        <v>10</v>
      </c>
      <c r="Q16" s="37">
        <f t="shared" si="4"/>
        <v>10</v>
      </c>
      <c r="R16" s="15" t="s">
        <v>100</v>
      </c>
      <c r="S16" s="15"/>
      <c r="T16" s="15" t="s">
        <v>101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111</v>
      </c>
      <c r="AK16" s="15"/>
      <c r="AL16" s="15"/>
      <c r="AM16" s="15">
        <v>3</v>
      </c>
      <c r="AN16" s="37">
        <f t="shared" si="3"/>
        <v>3</v>
      </c>
      <c r="AO16" s="15" t="s">
        <v>100</v>
      </c>
      <c r="AP16" s="15"/>
      <c r="AQ16" s="15" t="s">
        <v>101</v>
      </c>
      <c r="AR16" s="15"/>
      <c r="AS16" s="15"/>
      <c r="AT16" s="18"/>
      <c r="AU16" s="32"/>
    </row>
    <row r="17" spans="2:47" x14ac:dyDescent="0.25">
      <c r="B17" t="s">
        <v>107</v>
      </c>
      <c r="D17" s="12">
        <f>D15+E15*P39/100</f>
        <v>139586.54777973198</v>
      </c>
      <c r="E17" s="12">
        <f>E15-E15*P39/100</f>
        <v>2764.1507907332598</v>
      </c>
      <c r="M17" s="14" t="s">
        <v>113</v>
      </c>
      <c r="N17" s="15"/>
      <c r="O17" s="15"/>
      <c r="P17" s="15">
        <v>3.4</v>
      </c>
      <c r="Q17" s="37">
        <f t="shared" si="4"/>
        <v>3.4</v>
      </c>
      <c r="R17" s="24" t="s">
        <v>109</v>
      </c>
      <c r="S17" s="15"/>
      <c r="T17" s="15" t="s">
        <v>101</v>
      </c>
      <c r="U17" s="15"/>
      <c r="V17" s="15"/>
      <c r="W17" s="18"/>
      <c r="Y17" t="s">
        <v>107</v>
      </c>
      <c r="AA17" s="12">
        <f>AA15+AB15*AM39/100</f>
        <v>70022.087460184208</v>
      </c>
      <c r="AB17" s="12">
        <f>AB15-AB15*AM39/100</f>
        <v>30399.676336546258</v>
      </c>
      <c r="AJ17" s="14" t="s">
        <v>113</v>
      </c>
      <c r="AK17" s="15"/>
      <c r="AL17" s="15"/>
      <c r="AM17" s="15">
        <v>3.2</v>
      </c>
      <c r="AN17" s="37">
        <f t="shared" si="3"/>
        <v>3.2</v>
      </c>
      <c r="AO17" s="24" t="s">
        <v>109</v>
      </c>
      <c r="AP17" s="15"/>
      <c r="AQ17" s="15" t="s">
        <v>101</v>
      </c>
      <c r="AR17" s="15"/>
      <c r="AS17" s="15"/>
      <c r="AT17" s="18"/>
      <c r="AU17" s="32"/>
    </row>
    <row r="18" spans="2:47" x14ac:dyDescent="0.25">
      <c r="B18" t="s">
        <v>110</v>
      </c>
      <c r="D18" s="12">
        <f>D16+E16*P40/100</f>
        <v>117237.60743020226</v>
      </c>
      <c r="E18" s="12">
        <f>E16-E16*P40/100</f>
        <v>22584.245765641041</v>
      </c>
      <c r="M18" s="25" t="s">
        <v>111</v>
      </c>
      <c r="N18" s="15"/>
      <c r="O18" s="15"/>
      <c r="P18" s="15">
        <v>10</v>
      </c>
      <c r="Q18" s="37">
        <f t="shared" si="4"/>
        <v>10</v>
      </c>
      <c r="R18" s="15" t="s">
        <v>100</v>
      </c>
      <c r="S18" s="15"/>
      <c r="T18" s="15" t="s">
        <v>101</v>
      </c>
      <c r="U18" s="15"/>
      <c r="V18" s="15"/>
      <c r="W18" s="18"/>
      <c r="Y18" t="s">
        <v>110</v>
      </c>
      <c r="AA18" s="12">
        <f>AA16+AB16*AM40/100</f>
        <v>64130.851096948827</v>
      </c>
      <c r="AB18" s="12">
        <f>AB16-AB16*AM40/100</f>
        <v>30468.58703284353</v>
      </c>
      <c r="AJ18" s="25" t="s">
        <v>111</v>
      </c>
      <c r="AK18" s="15"/>
      <c r="AL18" s="15"/>
      <c r="AM18" s="15">
        <v>10</v>
      </c>
      <c r="AN18" s="37">
        <f t="shared" si="3"/>
        <v>10</v>
      </c>
      <c r="AO18" s="15" t="s">
        <v>100</v>
      </c>
      <c r="AP18" s="15"/>
      <c r="AQ18" s="15" t="s">
        <v>101</v>
      </c>
      <c r="AR18" s="15"/>
      <c r="AS18" s="15"/>
      <c r="AT18" s="18"/>
      <c r="AU18" s="32"/>
    </row>
    <row r="19" spans="2:47" x14ac:dyDescent="0.25">
      <c r="B19" t="s">
        <v>112</v>
      </c>
      <c r="D19" s="12">
        <f>D17*(1-P19/100)</f>
        <v>130094.66253071019</v>
      </c>
      <c r="E19" s="12">
        <f>E17*(1-Q19/100)</f>
        <v>2576.1885369633978</v>
      </c>
      <c r="M19" s="14" t="s">
        <v>116</v>
      </c>
      <c r="N19" s="15"/>
      <c r="O19" s="15"/>
      <c r="P19" s="38">
        <v>6.8</v>
      </c>
      <c r="Q19" s="37">
        <f t="shared" si="4"/>
        <v>6.8</v>
      </c>
      <c r="R19" s="15" t="s">
        <v>117</v>
      </c>
      <c r="S19" s="15"/>
      <c r="T19" s="15" t="s">
        <v>101</v>
      </c>
      <c r="U19" s="15"/>
      <c r="V19" s="15"/>
      <c r="W19" s="18"/>
      <c r="Y19" t="s">
        <v>112</v>
      </c>
      <c r="AA19" s="12">
        <f>AA17*(1-AM19/100)</f>
        <v>68481.60153606016</v>
      </c>
      <c r="AB19" s="12">
        <f>AB17*(1-AN19/100)</f>
        <v>29730.883457142238</v>
      </c>
      <c r="AJ19" s="14" t="s">
        <v>116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117</v>
      </c>
      <c r="AP19" s="15"/>
      <c r="AQ19" s="15" t="s">
        <v>101</v>
      </c>
      <c r="AR19" s="15"/>
      <c r="AS19" s="15"/>
      <c r="AT19" s="18"/>
      <c r="AU19" s="32"/>
    </row>
    <row r="20" spans="2:47" x14ac:dyDescent="0.25">
      <c r="B20" t="s">
        <v>114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111</v>
      </c>
      <c r="N20" s="15"/>
      <c r="O20" s="15"/>
      <c r="P20" s="15">
        <v>59</v>
      </c>
      <c r="Q20" s="37">
        <f t="shared" si="4"/>
        <v>59</v>
      </c>
      <c r="R20" s="15" t="s">
        <v>100</v>
      </c>
      <c r="S20" s="15"/>
      <c r="T20" s="15" t="s">
        <v>101</v>
      </c>
      <c r="U20" s="15"/>
      <c r="V20" s="15"/>
      <c r="W20" s="18"/>
      <c r="Y20" t="s">
        <v>114</v>
      </c>
      <c r="AA20" s="12">
        <f>AA18*(1-AM21/100)</f>
        <v>63104.757479397646</v>
      </c>
      <c r="AB20" s="12">
        <f>AB18*(1-AN21/100)</f>
        <v>29981.089640318034</v>
      </c>
      <c r="AJ20" s="25" t="s">
        <v>111</v>
      </c>
      <c r="AK20" s="15"/>
      <c r="AL20" s="15"/>
      <c r="AM20" s="15">
        <v>234</v>
      </c>
      <c r="AN20" s="37">
        <f t="shared" si="3"/>
        <v>234</v>
      </c>
      <c r="AO20" s="15" t="s">
        <v>100</v>
      </c>
      <c r="AP20" s="15"/>
      <c r="AQ20" s="15" t="s">
        <v>101</v>
      </c>
      <c r="AR20" s="15"/>
      <c r="AS20" s="15"/>
      <c r="AT20" s="18"/>
      <c r="AU20" s="32"/>
    </row>
    <row r="21" spans="2:47" x14ac:dyDescent="0.25">
      <c r="B21" t="s">
        <v>115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120</v>
      </c>
      <c r="N21" s="15"/>
      <c r="O21" s="15"/>
      <c r="P21" s="23">
        <v>4</v>
      </c>
      <c r="Q21" s="40">
        <f t="shared" si="4"/>
        <v>4</v>
      </c>
      <c r="R21" s="15" t="s">
        <v>117</v>
      </c>
      <c r="S21" s="15"/>
      <c r="T21" s="15" t="s">
        <v>101</v>
      </c>
      <c r="U21" s="15"/>
      <c r="V21" s="15"/>
      <c r="W21" s="18"/>
      <c r="Y21" t="s">
        <v>115</v>
      </c>
      <c r="AA21" s="12">
        <f>AA13-AA15+AA17-AA19</f>
        <v>4251.8735466357757</v>
      </c>
      <c r="AB21" s="12">
        <f>AB13-AB15+AB17-AB19</f>
        <v>2141.6454150893987</v>
      </c>
      <c r="AJ21" s="14" t="s">
        <v>120</v>
      </c>
      <c r="AK21" s="15"/>
      <c r="AL21" s="15"/>
      <c r="AM21" s="15">
        <v>1.6</v>
      </c>
      <c r="AN21" s="40">
        <f t="shared" si="3"/>
        <v>1.6</v>
      </c>
      <c r="AO21" s="15" t="s">
        <v>117</v>
      </c>
      <c r="AP21" s="15"/>
      <c r="AQ21" s="15" t="s">
        <v>101</v>
      </c>
      <c r="AR21" s="15"/>
      <c r="AS21" s="15"/>
      <c r="AT21" s="18"/>
    </row>
    <row r="22" spans="2:47" x14ac:dyDescent="0.25">
      <c r="B22" t="s">
        <v>118</v>
      </c>
      <c r="D22" s="12">
        <f>D14-D16+D18-D20</f>
        <v>8742.0374143277586</v>
      </c>
      <c r="E22" s="12">
        <f>E14-E16+E18-E20</f>
        <v>1772.1027680180741</v>
      </c>
      <c r="M22" s="25" t="s">
        <v>111</v>
      </c>
      <c r="N22" s="15"/>
      <c r="O22" s="15"/>
      <c r="P22" s="15">
        <v>59</v>
      </c>
      <c r="Q22" s="37">
        <f t="shared" si="4"/>
        <v>59</v>
      </c>
      <c r="R22" s="15" t="s">
        <v>100</v>
      </c>
      <c r="S22" s="15"/>
      <c r="T22" s="15" t="s">
        <v>101</v>
      </c>
      <c r="U22" s="15"/>
      <c r="V22" s="15"/>
      <c r="W22" s="18"/>
      <c r="Y22" t="s">
        <v>118</v>
      </c>
      <c r="AA22" s="12">
        <f>AA14-AA16+AA18-AA20</f>
        <v>3052.5543087282203</v>
      </c>
      <c r="AB22" s="12">
        <f>AB14-AB16+AB18-AB20</f>
        <v>1588.2908543994417</v>
      </c>
      <c r="AJ22" s="25" t="s">
        <v>111</v>
      </c>
      <c r="AK22" s="15"/>
      <c r="AL22" s="15"/>
      <c r="AM22" s="15">
        <v>241</v>
      </c>
      <c r="AN22" s="37">
        <f t="shared" si="3"/>
        <v>241</v>
      </c>
      <c r="AO22" s="15" t="s">
        <v>100</v>
      </c>
      <c r="AP22" s="15"/>
      <c r="AQ22" s="15" t="s">
        <v>101</v>
      </c>
      <c r="AR22" s="15"/>
      <c r="AS22" s="15"/>
      <c r="AT22" s="18"/>
    </row>
    <row r="23" spans="2:47" x14ac:dyDescent="0.25">
      <c r="B23" t="s">
        <v>119</v>
      </c>
      <c r="D23" s="12">
        <f>D5*P7/100</f>
        <v>96909.870148000016</v>
      </c>
      <c r="E23" s="12">
        <f>E5*Q7/100</f>
        <v>19864.173731999999</v>
      </c>
      <c r="M23" s="35" t="s">
        <v>123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119</v>
      </c>
      <c r="AA23" s="12">
        <f>AA5*AM7/100</f>
        <v>33590.164258831006</v>
      </c>
      <c r="AB23" s="12">
        <f>AB5*AN7/100</f>
        <v>18246.508980105737</v>
      </c>
      <c r="AJ23" s="35" t="s">
        <v>123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105</v>
      </c>
      <c r="N24" s="21"/>
      <c r="O24" s="22"/>
      <c r="P24" s="23">
        <v>60.9</v>
      </c>
      <c r="Q24" s="23">
        <v>61.5</v>
      </c>
      <c r="R24" s="15" t="s">
        <v>76</v>
      </c>
      <c r="S24" s="15"/>
      <c r="T24" s="24" t="s">
        <v>84</v>
      </c>
      <c r="U24" s="15"/>
      <c r="V24" s="15"/>
      <c r="W24" s="18"/>
      <c r="Y24" t="s">
        <v>121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105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76</v>
      </c>
      <c r="AP24" s="15"/>
      <c r="AQ24" s="15"/>
      <c r="AR24" s="15"/>
      <c r="AS24" s="15"/>
      <c r="AT24" s="18"/>
    </row>
    <row r="25" spans="2:47" x14ac:dyDescent="0.25">
      <c r="B25" t="s">
        <v>122</v>
      </c>
      <c r="D25" s="12">
        <f>D24*(D19)/(D19+D20-D23)</f>
        <v>10028.193990455773</v>
      </c>
      <c r="E25" s="12">
        <f>E24*(E19)/(E19+E20-E23)</f>
        <v>198.58246220177472</v>
      </c>
      <c r="M25" s="14" t="s">
        <v>126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76</v>
      </c>
      <c r="S25" s="15"/>
      <c r="T25" s="15"/>
      <c r="U25" s="15"/>
      <c r="V25" s="15"/>
      <c r="W25" s="18"/>
      <c r="Y25" t="s">
        <v>122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126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76</v>
      </c>
      <c r="AP25" s="15"/>
      <c r="AQ25" s="15"/>
      <c r="AR25" s="15"/>
      <c r="AS25" s="15"/>
      <c r="AT25" s="18"/>
    </row>
    <row r="26" spans="2:47" x14ac:dyDescent="0.25">
      <c r="B26" t="s">
        <v>124</v>
      </c>
      <c r="D26" s="12">
        <f>D24-D25</f>
        <v>1205.4547895417763</v>
      </c>
      <c r="E26" s="12">
        <f>E24-E25</f>
        <v>140.03835176886048</v>
      </c>
      <c r="M26" s="14" t="s">
        <v>128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76</v>
      </c>
      <c r="S26" s="15"/>
      <c r="T26" s="15"/>
      <c r="U26" s="15"/>
      <c r="V26" s="15"/>
      <c r="W26" s="18"/>
      <c r="Y26" t="s">
        <v>124</v>
      </c>
      <c r="AA26" s="12">
        <f>AA24-AA25</f>
        <v>725.45986300655682</v>
      </c>
      <c r="AB26" s="12">
        <f>AB24-AB25</f>
        <v>288.43247862433429</v>
      </c>
      <c r="AJ26" s="14" t="s">
        <v>128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76</v>
      </c>
      <c r="AP26" s="15"/>
      <c r="AQ26" s="15"/>
      <c r="AR26" s="15"/>
      <c r="AS26" s="15"/>
      <c r="AT26" s="18"/>
    </row>
    <row r="27" spans="2:47" x14ac:dyDescent="0.25">
      <c r="B27" t="s">
        <v>125</v>
      </c>
      <c r="D27" s="12">
        <f>D20-D23-D26</f>
        <v>14432.778195452369</v>
      </c>
      <c r="E27" s="12">
        <f>E20-E23-E26</f>
        <v>1676.6638512465397</v>
      </c>
      <c r="M27" s="14" t="s">
        <v>130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76</v>
      </c>
      <c r="S27" s="15"/>
      <c r="T27" s="15"/>
      <c r="U27" s="15"/>
      <c r="V27" s="15"/>
      <c r="W27" s="18"/>
      <c r="Y27" t="s">
        <v>125</v>
      </c>
      <c r="AA27" s="12">
        <f>AA20-AA23-AA26</f>
        <v>28789.133357560084</v>
      </c>
      <c r="AB27" s="12">
        <f>AB20-AB23-AB26</f>
        <v>11446.148181587963</v>
      </c>
      <c r="AJ27" s="14" t="s">
        <v>130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76</v>
      </c>
      <c r="AP27" s="15"/>
      <c r="AQ27" s="15"/>
      <c r="AR27" s="15"/>
      <c r="AS27" s="15"/>
      <c r="AT27" s="18"/>
    </row>
    <row r="28" spans="2:47" x14ac:dyDescent="0.25">
      <c r="B28" t="s">
        <v>127</v>
      </c>
      <c r="D28" s="12">
        <f>(D19-D25)*(P37/100)</f>
        <v>17767.61123120362</v>
      </c>
      <c r="E28" s="12">
        <f>(E19-E25)*(Q37/100)</f>
        <v>1558.1557309026598</v>
      </c>
      <c r="M28" s="14" t="s">
        <v>131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76</v>
      </c>
      <c r="S28" s="15"/>
      <c r="T28" s="15"/>
      <c r="U28" s="15"/>
      <c r="V28" s="15"/>
      <c r="W28" s="18"/>
      <c r="Y28" t="s">
        <v>127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131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76</v>
      </c>
      <c r="AP28" s="15"/>
      <c r="AQ28" s="15"/>
      <c r="AR28" s="15"/>
      <c r="AS28" s="15"/>
      <c r="AT28" s="18"/>
    </row>
    <row r="29" spans="2:47" x14ac:dyDescent="0.25">
      <c r="B29" t="s">
        <v>129</v>
      </c>
      <c r="D29" s="12">
        <f>D19-D25-D28</f>
        <v>102298.8573090508</v>
      </c>
      <c r="E29" s="12">
        <f>E19-E25-E28</f>
        <v>819.45034385896315</v>
      </c>
      <c r="M29" s="43" t="s">
        <v>132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129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132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133</v>
      </c>
      <c r="S30" s="19"/>
      <c r="T30" s="15"/>
      <c r="U30" s="15"/>
      <c r="V30" s="15"/>
      <c r="W30" s="18"/>
      <c r="AA30" s="12"/>
      <c r="AB30" s="26"/>
      <c r="AJ30" s="14" t="s">
        <v>105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133</v>
      </c>
      <c r="S31" s="19"/>
      <c r="T31" s="15"/>
      <c r="U31" s="15"/>
      <c r="V31" s="15"/>
      <c r="W31" s="18"/>
      <c r="AA31" s="12"/>
      <c r="AB31" s="26"/>
      <c r="AJ31" s="14" t="s">
        <v>126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133</v>
      </c>
      <c r="S32" s="19"/>
      <c r="T32" s="15"/>
      <c r="U32" s="15"/>
      <c r="V32" s="15"/>
      <c r="W32" s="18"/>
      <c r="AA32" s="45"/>
      <c r="AB32" s="26"/>
      <c r="AJ32" s="14" t="s">
        <v>128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133</v>
      </c>
      <c r="S33" s="19"/>
      <c r="T33" s="15"/>
      <c r="U33" s="15"/>
      <c r="V33" s="15"/>
      <c r="W33" s="18"/>
      <c r="AA33" s="12"/>
      <c r="AB33" s="26"/>
      <c r="AJ33" s="14" t="s">
        <v>130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133</v>
      </c>
      <c r="S34" s="19"/>
      <c r="T34" s="15"/>
      <c r="U34" s="15"/>
      <c r="V34" s="15"/>
      <c r="W34" s="18"/>
      <c r="AA34" s="12"/>
      <c r="AB34" s="26"/>
      <c r="AJ34" s="14" t="s">
        <v>131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134</v>
      </c>
      <c r="N35" s="21"/>
      <c r="O35" s="22"/>
      <c r="P35" s="19"/>
      <c r="Q35" s="37"/>
      <c r="R35" s="19"/>
      <c r="S35" s="19" t="s">
        <v>322</v>
      </c>
      <c r="T35" s="15"/>
      <c r="U35" s="15"/>
      <c r="V35" s="15"/>
      <c r="W35" s="18"/>
      <c r="AA35" s="12"/>
      <c r="AB35" s="26"/>
      <c r="AJ35" s="35" t="s">
        <v>134</v>
      </c>
      <c r="AK35" s="21"/>
      <c r="AL35" s="22"/>
      <c r="AM35" s="19"/>
      <c r="AN35" s="37"/>
      <c r="AO35" s="19"/>
      <c r="AP35" s="19" t="s">
        <v>322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524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128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525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130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317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317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318</v>
      </c>
      <c r="N39" s="15"/>
      <c r="O39" s="19"/>
      <c r="P39" s="19">
        <v>89</v>
      </c>
      <c r="Q39" s="15"/>
      <c r="R39" s="108" t="s">
        <v>9</v>
      </c>
      <c r="S39" s="15"/>
      <c r="T39" s="15" t="s">
        <v>320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318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319</v>
      </c>
      <c r="N40" s="47"/>
      <c r="O40" s="46"/>
      <c r="P40" s="46">
        <v>8.5</v>
      </c>
      <c r="Q40" s="47"/>
      <c r="R40" s="47" t="s">
        <v>9</v>
      </c>
      <c r="S40" s="47"/>
      <c r="T40" s="47" t="s">
        <v>320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319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311</v>
      </c>
      <c r="F42" s="6" t="s">
        <v>312</v>
      </c>
      <c r="AH42" s="24"/>
      <c r="AI42" s="24"/>
    </row>
    <row r="43" spans="2:46" x14ac:dyDescent="0.25">
      <c r="B43" s="48" t="s">
        <v>135</v>
      </c>
      <c r="C43" s="48"/>
      <c r="D43" s="49" t="s">
        <v>277</v>
      </c>
      <c r="E43" s="49" t="s">
        <v>279</v>
      </c>
      <c r="F43" s="49" t="s">
        <v>137</v>
      </c>
      <c r="G43" s="49" t="s">
        <v>138</v>
      </c>
      <c r="H43" s="49" t="s">
        <v>338</v>
      </c>
      <c r="J43" s="48" t="s">
        <v>139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309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310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140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141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142</v>
      </c>
      <c r="K47" s="49"/>
      <c r="L47" s="49" t="s">
        <v>143</v>
      </c>
      <c r="M47" s="49" t="s">
        <v>144</v>
      </c>
      <c r="N47" s="49" t="s">
        <v>145</v>
      </c>
      <c r="O47" s="49" t="s">
        <v>146</v>
      </c>
      <c r="P47" s="49" t="s">
        <v>147</v>
      </c>
      <c r="Q47" s="49" t="s">
        <v>148</v>
      </c>
      <c r="R47" s="49" t="s">
        <v>149</v>
      </c>
      <c r="S47" s="49" t="s">
        <v>150</v>
      </c>
      <c r="T47" s="49" t="s">
        <v>151</v>
      </c>
      <c r="U47" s="49" t="s">
        <v>152</v>
      </c>
      <c r="V47" s="49" t="s">
        <v>153</v>
      </c>
      <c r="W47" s="49" t="s">
        <v>154</v>
      </c>
      <c r="X47" s="49" t="s">
        <v>155</v>
      </c>
      <c r="Y47" s="49" t="s">
        <v>156</v>
      </c>
      <c r="Z47" s="49" t="s">
        <v>157</v>
      </c>
      <c r="AA47" s="49" t="s">
        <v>158</v>
      </c>
      <c r="AB47" s="49" t="s">
        <v>159</v>
      </c>
      <c r="AC47" s="49" t="s">
        <v>160</v>
      </c>
      <c r="AD47" s="49" t="s">
        <v>161</v>
      </c>
      <c r="AE47" s="49" t="s">
        <v>162</v>
      </c>
      <c r="AF47" s="49" t="s">
        <v>163</v>
      </c>
      <c r="AG47" s="49" t="s">
        <v>164</v>
      </c>
      <c r="AH47" s="49"/>
    </row>
    <row r="48" spans="2:46" x14ac:dyDescent="0.25">
      <c r="B48" s="49" t="s">
        <v>165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140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166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141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167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168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169</v>
      </c>
      <c r="K51" s="49"/>
      <c r="L51" s="49" t="s">
        <v>170</v>
      </c>
      <c r="M51" s="49" t="s">
        <v>171</v>
      </c>
      <c r="N51" s="49" t="s">
        <v>172</v>
      </c>
      <c r="O51" s="49" t="s">
        <v>173</v>
      </c>
      <c r="P51" s="49" t="s">
        <v>174</v>
      </c>
      <c r="Q51" s="49" t="s">
        <v>175</v>
      </c>
      <c r="R51" s="49" t="s">
        <v>176</v>
      </c>
      <c r="S51" s="49" t="s">
        <v>177</v>
      </c>
      <c r="T51" s="49" t="s">
        <v>178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179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140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180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181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141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182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183</v>
      </c>
    </row>
    <row r="57" spans="2:34" x14ac:dyDescent="0.25">
      <c r="D57" s="49" t="s">
        <v>136</v>
      </c>
      <c r="E57" t="s">
        <v>143</v>
      </c>
      <c r="F57" t="s">
        <v>144</v>
      </c>
      <c r="G57" t="s">
        <v>145</v>
      </c>
      <c r="H57" t="s">
        <v>146</v>
      </c>
      <c r="I57" t="s">
        <v>147</v>
      </c>
      <c r="J57" t="s">
        <v>148</v>
      </c>
      <c r="K57" t="s">
        <v>149</v>
      </c>
      <c r="L57" t="s">
        <v>150</v>
      </c>
      <c r="M57" t="s">
        <v>151</v>
      </c>
      <c r="N57" t="s">
        <v>152</v>
      </c>
      <c r="O57" t="s">
        <v>153</v>
      </c>
      <c r="P57" t="s">
        <v>154</v>
      </c>
      <c r="Q57" t="s">
        <v>155</v>
      </c>
      <c r="R57" t="s">
        <v>156</v>
      </c>
      <c r="S57" t="s">
        <v>157</v>
      </c>
      <c r="T57" t="s">
        <v>158</v>
      </c>
      <c r="U57" t="s">
        <v>159</v>
      </c>
      <c r="V57" t="s">
        <v>160</v>
      </c>
      <c r="W57" t="s">
        <v>161</v>
      </c>
      <c r="X57" t="s">
        <v>162</v>
      </c>
      <c r="Y57" t="s">
        <v>163</v>
      </c>
      <c r="Z57" t="s">
        <v>164</v>
      </c>
    </row>
    <row r="58" spans="2:34" x14ac:dyDescent="0.25">
      <c r="B58" t="s">
        <v>184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323</v>
      </c>
    </row>
    <row r="59" spans="2:34" x14ac:dyDescent="0.25">
      <c r="B59" t="s">
        <v>185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324</v>
      </c>
    </row>
    <row r="60" spans="2:34" x14ac:dyDescent="0.25">
      <c r="B60" t="s">
        <v>141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140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186</v>
      </c>
    </row>
    <row r="64" spans="2:34" x14ac:dyDescent="0.25">
      <c r="D64" t="s">
        <v>143</v>
      </c>
      <c r="E64" t="s">
        <v>144</v>
      </c>
      <c r="F64" t="s">
        <v>145</v>
      </c>
      <c r="G64" t="s">
        <v>146</v>
      </c>
      <c r="H64" t="s">
        <v>147</v>
      </c>
      <c r="I64" t="s">
        <v>148</v>
      </c>
      <c r="J64" t="s">
        <v>149</v>
      </c>
      <c r="K64" t="s">
        <v>150</v>
      </c>
      <c r="L64" t="s">
        <v>151</v>
      </c>
      <c r="M64" t="s">
        <v>152</v>
      </c>
      <c r="N64" t="s">
        <v>153</v>
      </c>
      <c r="O64" t="s">
        <v>154</v>
      </c>
      <c r="P64" t="s">
        <v>155</v>
      </c>
      <c r="Q64" t="s">
        <v>156</v>
      </c>
      <c r="R64" t="s">
        <v>157</v>
      </c>
      <c r="S64" t="s">
        <v>158</v>
      </c>
      <c r="T64" t="s">
        <v>159</v>
      </c>
      <c r="U64" t="s">
        <v>160</v>
      </c>
      <c r="V64" t="s">
        <v>161</v>
      </c>
      <c r="W64" t="s">
        <v>162</v>
      </c>
      <c r="X64" t="s">
        <v>163</v>
      </c>
      <c r="Y64" t="s">
        <v>164</v>
      </c>
      <c r="Z64" t="s">
        <v>187</v>
      </c>
      <c r="AC64" s="6" t="s">
        <v>313</v>
      </c>
    </row>
    <row r="65" spans="2:31" x14ac:dyDescent="0.25">
      <c r="B65" t="s">
        <v>188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188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189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189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315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315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190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190</v>
      </c>
      <c r="AD68">
        <v>19.279999999999998</v>
      </c>
      <c r="AE68" s="13">
        <f t="shared" si="9"/>
        <v>11.5194144</v>
      </c>
    </row>
    <row r="69" spans="2:31" x14ac:dyDescent="0.25">
      <c r="B69" t="s">
        <v>191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191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192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192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193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193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194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194</v>
      </c>
      <c r="AD72">
        <v>12.48</v>
      </c>
      <c r="AE72" s="13">
        <f t="shared" si="9"/>
        <v>2.6478400000000004</v>
      </c>
    </row>
    <row r="73" spans="2:31" x14ac:dyDescent="0.25">
      <c r="B73" t="s">
        <v>195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195</v>
      </c>
      <c r="AD73">
        <v>27.5</v>
      </c>
      <c r="AE73" s="13">
        <f t="shared" si="9"/>
        <v>0.86166666666666669</v>
      </c>
    </row>
    <row r="74" spans="2:31" x14ac:dyDescent="0.25">
      <c r="B74" t="s">
        <v>314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314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321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321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316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316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196</v>
      </c>
    </row>
    <row r="79" spans="2:31" x14ac:dyDescent="0.25">
      <c r="D79" t="s">
        <v>143</v>
      </c>
      <c r="E79" t="s">
        <v>144</v>
      </c>
      <c r="F79" t="s">
        <v>145</v>
      </c>
      <c r="G79" t="s">
        <v>146</v>
      </c>
      <c r="H79" t="s">
        <v>147</v>
      </c>
      <c r="I79" t="s">
        <v>148</v>
      </c>
      <c r="J79" t="s">
        <v>149</v>
      </c>
      <c r="K79" t="s">
        <v>150</v>
      </c>
      <c r="L79" t="s">
        <v>151</v>
      </c>
      <c r="M79" t="s">
        <v>152</v>
      </c>
      <c r="N79" t="s">
        <v>153</v>
      </c>
      <c r="O79" t="s">
        <v>154</v>
      </c>
      <c r="P79" t="s">
        <v>155</v>
      </c>
      <c r="Q79" t="s">
        <v>156</v>
      </c>
      <c r="R79" t="s">
        <v>157</v>
      </c>
      <c r="S79" t="s">
        <v>158</v>
      </c>
      <c r="T79" t="s">
        <v>159</v>
      </c>
      <c r="U79" t="s">
        <v>160</v>
      </c>
      <c r="V79" t="s">
        <v>161</v>
      </c>
      <c r="W79" t="s">
        <v>162</v>
      </c>
      <c r="X79" t="s">
        <v>163</v>
      </c>
      <c r="Y79" t="s">
        <v>164</v>
      </c>
      <c r="AC79" s="6" t="s">
        <v>313</v>
      </c>
    </row>
    <row r="80" spans="2:31" x14ac:dyDescent="0.25">
      <c r="B80" t="s">
        <v>184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184</v>
      </c>
      <c r="AD80">
        <v>17.399999999999999</v>
      </c>
    </row>
    <row r="81" spans="2:30" x14ac:dyDescent="0.25">
      <c r="B81" t="s">
        <v>185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185</v>
      </c>
      <c r="AD81">
        <v>35.200000000000003</v>
      </c>
    </row>
    <row r="82" spans="2:30" x14ac:dyDescent="0.25">
      <c r="B82" t="s">
        <v>140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140</v>
      </c>
      <c r="AD82">
        <v>20.8</v>
      </c>
    </row>
    <row r="83" spans="2:30" x14ac:dyDescent="0.25">
      <c r="B83" t="s">
        <v>141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141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199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170</v>
      </c>
      <c r="E86" t="s">
        <v>171</v>
      </c>
      <c r="F86" t="s">
        <v>172</v>
      </c>
      <c r="G86" t="s">
        <v>173</v>
      </c>
      <c r="H86" t="s">
        <v>174</v>
      </c>
      <c r="I86" t="s">
        <v>175</v>
      </c>
      <c r="J86" t="s">
        <v>176</v>
      </c>
      <c r="K86" t="s">
        <v>177</v>
      </c>
      <c r="L86" t="s">
        <v>178</v>
      </c>
    </row>
    <row r="87" spans="2:30" x14ac:dyDescent="0.25">
      <c r="B87" s="66" t="s">
        <v>140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197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184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185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141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198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402</v>
      </c>
    </row>
    <row r="96" spans="2:30" x14ac:dyDescent="0.25">
      <c r="C96" t="s">
        <v>316</v>
      </c>
      <c r="F96" t="s">
        <v>397</v>
      </c>
      <c r="I96" t="s">
        <v>400</v>
      </c>
    </row>
    <row r="97" spans="2:11" x14ac:dyDescent="0.25">
      <c r="C97" t="s">
        <v>18</v>
      </c>
      <c r="D97" t="s">
        <v>398</v>
      </c>
      <c r="E97" t="s">
        <v>399</v>
      </c>
      <c r="F97" t="s">
        <v>18</v>
      </c>
      <c r="G97" t="s">
        <v>398</v>
      </c>
      <c r="H97" t="s">
        <v>399</v>
      </c>
      <c r="I97" t="s">
        <v>18</v>
      </c>
      <c r="J97" t="s">
        <v>398</v>
      </c>
      <c r="K97" t="s">
        <v>399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396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401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abSelected="1" topLeftCell="A7" workbookViewId="0">
      <selection activeCell="L23" sqref="L23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513</v>
      </c>
      <c r="C2" s="229"/>
      <c r="D2" s="229" t="s">
        <v>446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521</v>
      </c>
      <c r="Z2" s="219"/>
      <c r="AA2" s="197" t="s">
        <v>582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536</v>
      </c>
      <c r="C3" s="231"/>
      <c r="D3" s="232" t="s">
        <v>445</v>
      </c>
      <c r="E3" s="202"/>
      <c r="F3" s="202"/>
      <c r="G3" s="202"/>
      <c r="H3" s="202"/>
      <c r="I3" s="202"/>
      <c r="J3" s="202"/>
      <c r="K3" s="202"/>
      <c r="L3" s="202"/>
      <c r="M3" s="232" t="s">
        <v>463</v>
      </c>
      <c r="N3" s="202"/>
      <c r="O3" s="202"/>
      <c r="P3" s="202"/>
      <c r="Q3" s="202"/>
      <c r="R3" s="202"/>
      <c r="S3" s="232" t="s">
        <v>464</v>
      </c>
      <c r="T3" s="202"/>
      <c r="U3" s="202"/>
      <c r="V3" s="202"/>
      <c r="W3" s="202"/>
      <c r="X3" s="233"/>
      <c r="Y3" s="241" t="s">
        <v>522</v>
      </c>
      <c r="Z3" s="220"/>
      <c r="AA3" s="241" t="s">
        <v>585</v>
      </c>
      <c r="AB3" s="202"/>
      <c r="AC3" s="202"/>
      <c r="AD3" s="261" t="s">
        <v>543</v>
      </c>
      <c r="AE3" s="262" t="s">
        <v>545</v>
      </c>
      <c r="AF3" s="261" t="s">
        <v>547</v>
      </c>
      <c r="AG3" s="262" t="s">
        <v>549</v>
      </c>
      <c r="AH3" s="261" t="s">
        <v>550</v>
      </c>
      <c r="AI3" s="262" t="s">
        <v>552</v>
      </c>
      <c r="AJ3" s="261" t="s">
        <v>553</v>
      </c>
      <c r="AK3" s="262" t="s">
        <v>554</v>
      </c>
      <c r="AL3" s="261" t="s">
        <v>556</v>
      </c>
      <c r="AM3" s="262" t="s">
        <v>557</v>
      </c>
      <c r="AN3" s="261" t="s">
        <v>577</v>
      </c>
      <c r="AO3" s="262" t="s">
        <v>559</v>
      </c>
      <c r="AP3" s="261" t="s">
        <v>560</v>
      </c>
      <c r="AQ3" s="260" t="s">
        <v>581</v>
      </c>
      <c r="AR3" s="259" t="s">
        <v>576</v>
      </c>
    </row>
    <row r="4" spans="2:44" ht="22.5" customHeight="1" x14ac:dyDescent="0.25">
      <c r="B4" s="201"/>
      <c r="C4" s="202"/>
      <c r="D4" s="234" t="s">
        <v>442</v>
      </c>
      <c r="E4" s="234"/>
      <c r="F4" s="234"/>
      <c r="G4" s="235" t="s">
        <v>449</v>
      </c>
      <c r="H4" s="235"/>
      <c r="I4" s="235"/>
      <c r="J4" s="234" t="s">
        <v>443</v>
      </c>
      <c r="K4" s="234"/>
      <c r="L4" s="234"/>
      <c r="M4" s="235" t="s">
        <v>457</v>
      </c>
      <c r="N4" s="235"/>
      <c r="O4" s="235"/>
      <c r="P4" s="234" t="s">
        <v>458</v>
      </c>
      <c r="Q4" s="234"/>
      <c r="R4" s="234"/>
      <c r="S4" s="235" t="s">
        <v>450</v>
      </c>
      <c r="T4" s="235"/>
      <c r="U4" s="235"/>
      <c r="V4" s="234" t="s">
        <v>451</v>
      </c>
      <c r="W4" s="234"/>
      <c r="X4" s="222"/>
      <c r="Y4" s="221" t="s">
        <v>518</v>
      </c>
      <c r="Z4" s="222" t="s">
        <v>518</v>
      </c>
      <c r="AA4" s="201"/>
      <c r="AB4" s="202"/>
      <c r="AC4" s="202"/>
      <c r="AD4" s="261"/>
      <c r="AE4" s="262"/>
      <c r="AF4" s="261"/>
      <c r="AG4" s="262"/>
      <c r="AH4" s="261"/>
      <c r="AI4" s="262"/>
      <c r="AJ4" s="261"/>
      <c r="AK4" s="262"/>
      <c r="AL4" s="261"/>
      <c r="AM4" s="262"/>
      <c r="AN4" s="261"/>
      <c r="AO4" s="262"/>
      <c r="AP4" s="261"/>
      <c r="AQ4" s="260"/>
      <c r="AR4" s="259"/>
    </row>
    <row r="5" spans="2:44" ht="18.75" customHeight="1" x14ac:dyDescent="0.25">
      <c r="B5" s="209" t="s">
        <v>578</v>
      </c>
      <c r="C5" s="210" t="s">
        <v>483</v>
      </c>
      <c r="D5" s="234" t="s">
        <v>439</v>
      </c>
      <c r="E5" s="234" t="s">
        <v>440</v>
      </c>
      <c r="F5" s="234" t="s">
        <v>441</v>
      </c>
      <c r="G5" s="235" t="s">
        <v>439</v>
      </c>
      <c r="H5" s="235" t="s">
        <v>440</v>
      </c>
      <c r="I5" s="235" t="s">
        <v>441</v>
      </c>
      <c r="J5" s="234" t="s">
        <v>439</v>
      </c>
      <c r="K5" s="234" t="s">
        <v>440</v>
      </c>
      <c r="L5" s="234" t="s">
        <v>441</v>
      </c>
      <c r="M5" s="235" t="s">
        <v>439</v>
      </c>
      <c r="N5" s="235" t="s">
        <v>440</v>
      </c>
      <c r="O5" s="235" t="s">
        <v>441</v>
      </c>
      <c r="P5" s="234" t="s">
        <v>439</v>
      </c>
      <c r="Q5" s="234" t="s">
        <v>440</v>
      </c>
      <c r="R5" s="234" t="s">
        <v>441</v>
      </c>
      <c r="S5" s="235" t="s">
        <v>439</v>
      </c>
      <c r="T5" s="235" t="s">
        <v>440</v>
      </c>
      <c r="U5" s="235" t="s">
        <v>441</v>
      </c>
      <c r="V5" s="234" t="s">
        <v>439</v>
      </c>
      <c r="W5" s="234" t="s">
        <v>440</v>
      </c>
      <c r="X5" s="222" t="s">
        <v>441</v>
      </c>
      <c r="Y5" s="221" t="s">
        <v>519</v>
      </c>
      <c r="Z5" s="222" t="s">
        <v>520</v>
      </c>
      <c r="AA5" s="201"/>
      <c r="AB5" s="202"/>
      <c r="AC5" s="202"/>
      <c r="AD5" s="261"/>
      <c r="AE5" s="262"/>
      <c r="AF5" s="261"/>
      <c r="AG5" s="262"/>
      <c r="AH5" s="261"/>
      <c r="AI5" s="262"/>
      <c r="AJ5" s="261"/>
      <c r="AK5" s="262"/>
      <c r="AL5" s="261"/>
      <c r="AM5" s="262"/>
      <c r="AN5" s="261"/>
      <c r="AO5" s="262"/>
      <c r="AP5" s="261"/>
      <c r="AQ5" s="260"/>
      <c r="AR5" s="259" t="s">
        <v>575</v>
      </c>
    </row>
    <row r="6" spans="2:44" ht="15" customHeight="1" x14ac:dyDescent="0.25">
      <c r="B6" s="201" t="s">
        <v>537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573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452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562</v>
      </c>
      <c r="AB7" s="202"/>
      <c r="AC7" s="202"/>
      <c r="AD7" s="207" t="s">
        <v>544</v>
      </c>
      <c r="AE7" s="208" t="s">
        <v>546</v>
      </c>
      <c r="AF7" s="207" t="s">
        <v>548</v>
      </c>
      <c r="AG7" s="208" t="s">
        <v>544</v>
      </c>
      <c r="AH7" s="207" t="s">
        <v>551</v>
      </c>
      <c r="AI7" s="208" t="s">
        <v>546</v>
      </c>
      <c r="AJ7" s="207" t="s">
        <v>546</v>
      </c>
      <c r="AK7" s="208" t="s">
        <v>555</v>
      </c>
      <c r="AL7" s="207" t="s">
        <v>574</v>
      </c>
      <c r="AM7" s="208" t="s">
        <v>558</v>
      </c>
      <c r="AN7" s="207" t="s">
        <v>555</v>
      </c>
      <c r="AO7" s="208" t="s">
        <v>555</v>
      </c>
      <c r="AP7" s="207" t="s">
        <v>561</v>
      </c>
      <c r="AQ7" s="205"/>
      <c r="AR7" s="206"/>
    </row>
    <row r="8" spans="2:44" x14ac:dyDescent="0.25">
      <c r="B8" s="201" t="s">
        <v>538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453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578</v>
      </c>
      <c r="AB9" s="202"/>
      <c r="AC9" s="210" t="s">
        <v>483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454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563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541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564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540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565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539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569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599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568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542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566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455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567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456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571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444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476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570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316</v>
      </c>
      <c r="C20" s="238"/>
      <c r="D20" s="239">
        <f t="shared" ref="D20:Z20" si="0">SUM(D6:D18)</f>
        <v>3968</v>
      </c>
      <c r="E20" s="239">
        <f t="shared" si="0"/>
        <v>4002</v>
      </c>
      <c r="F20" s="239">
        <f t="shared" si="0"/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572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579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460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602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459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58" t="s">
        <v>596</v>
      </c>
      <c r="R23" s="258" t="s">
        <v>597</v>
      </c>
      <c r="S23" s="258" t="s">
        <v>584</v>
      </c>
      <c r="T23" s="257" t="s">
        <v>303</v>
      </c>
      <c r="U23" s="257"/>
      <c r="V23" s="257" t="s">
        <v>304</v>
      </c>
      <c r="W23" s="257"/>
      <c r="X23" s="168" t="s">
        <v>482</v>
      </c>
      <c r="Y23" s="165"/>
      <c r="Z23" s="174" t="s">
        <v>582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483</v>
      </c>
      <c r="Q24" s="258"/>
      <c r="R24" s="258"/>
      <c r="S24" s="258"/>
      <c r="T24" s="244" t="s">
        <v>483</v>
      </c>
      <c r="U24" s="244" t="s">
        <v>327</v>
      </c>
      <c r="V24" s="244" t="s">
        <v>483</v>
      </c>
      <c r="W24" s="244" t="s">
        <v>327</v>
      </c>
      <c r="X24" s="168" t="s">
        <v>517</v>
      </c>
      <c r="Z24" s="174" t="s">
        <v>598</v>
      </c>
      <c r="AA24" s="169"/>
      <c r="AB24" s="169"/>
      <c r="AC24" s="168" t="s">
        <v>303</v>
      </c>
      <c r="AD24" s="168" t="s">
        <v>482</v>
      </c>
      <c r="AE24" s="101" t="s">
        <v>304</v>
      </c>
      <c r="AF24" s="101" t="s">
        <v>482</v>
      </c>
      <c r="AG24" s="168" t="s">
        <v>316</v>
      </c>
      <c r="AH24" s="168" t="s">
        <v>517</v>
      </c>
    </row>
    <row r="25" spans="2:44" x14ac:dyDescent="0.25">
      <c r="B25" s="174" t="s">
        <v>510</v>
      </c>
      <c r="C25" s="174"/>
      <c r="D25" s="83" t="s">
        <v>516</v>
      </c>
      <c r="E25" s="169"/>
      <c r="F25" s="169"/>
      <c r="G25" s="169"/>
      <c r="H25" s="169"/>
      <c r="I25" s="169"/>
      <c r="J25" s="169"/>
      <c r="L25" s="169" t="s">
        <v>395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515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580</v>
      </c>
      <c r="C26" s="174"/>
      <c r="D26" s="168"/>
      <c r="E26" s="168" t="s">
        <v>483</v>
      </c>
      <c r="F26" s="101"/>
      <c r="G26" s="101" t="s">
        <v>483</v>
      </c>
      <c r="H26" s="168"/>
      <c r="I26" s="168" t="s">
        <v>482</v>
      </c>
      <c r="J26" s="101" t="s">
        <v>480</v>
      </c>
      <c r="L26" s="169" t="s">
        <v>429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509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465</v>
      </c>
      <c r="C27" s="170" t="s">
        <v>483</v>
      </c>
      <c r="D27" s="168" t="s">
        <v>303</v>
      </c>
      <c r="E27" s="168" t="s">
        <v>482</v>
      </c>
      <c r="F27" s="101" t="s">
        <v>304</v>
      </c>
      <c r="G27" s="101" t="s">
        <v>482</v>
      </c>
      <c r="H27" s="168" t="s">
        <v>316</v>
      </c>
      <c r="I27" s="168" t="s">
        <v>517</v>
      </c>
      <c r="J27" s="101" t="s">
        <v>481</v>
      </c>
      <c r="L27" s="169" t="s">
        <v>462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506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466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505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508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509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490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507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506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491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508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461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514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507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494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511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511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496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512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512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586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472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500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467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493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468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495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469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587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470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430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471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497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473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492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474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498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478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435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479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588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475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589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476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590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485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591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484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431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477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592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593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501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434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594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499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</row>
    <row r="55" spans="2:44" x14ac:dyDescent="0.25">
      <c r="L55" s="169" t="s">
        <v>595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447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AQ56" s="12"/>
      <c r="AR56" s="26"/>
    </row>
    <row r="57" spans="2:44" x14ac:dyDescent="0.25">
      <c r="AQ57" s="12"/>
      <c r="AR57" s="26"/>
    </row>
    <row r="58" spans="2:44" x14ac:dyDescent="0.25">
      <c r="S58" s="185" t="s">
        <v>600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AQ58" s="12"/>
      <c r="AR58" s="26"/>
    </row>
    <row r="59" spans="2:44" x14ac:dyDescent="0.25">
      <c r="S59" s="185" t="s">
        <v>601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1" spans="2:44" x14ac:dyDescent="0.25">
      <c r="T61" s="2"/>
    </row>
    <row r="62" spans="2:44" x14ac:dyDescent="0.25">
      <c r="B62" s="6" t="s">
        <v>502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503</v>
      </c>
      <c r="C63" s="6"/>
      <c r="I63" t="s">
        <v>432</v>
      </c>
      <c r="N63" t="s">
        <v>432</v>
      </c>
      <c r="O63" t="s">
        <v>432</v>
      </c>
      <c r="T63" s="2"/>
      <c r="U63" s="110" t="str">
        <f>B66</f>
        <v>ley silage, 1st cut</v>
      </c>
      <c r="X63" s="13">
        <f t="shared" ref="X63:X68" si="14">D66/D$116*100</f>
        <v>0</v>
      </c>
      <c r="Y63" s="13">
        <f t="shared" ref="Y63:AI63" si="15">E66/E$116*100</f>
        <v>55.38698659192309</v>
      </c>
      <c r="Z63" s="13">
        <f t="shared" si="15"/>
        <v>0</v>
      </c>
      <c r="AA63" s="13">
        <f t="shared" si="15"/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38.609681277854051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20.561419371957058</v>
      </c>
      <c r="AI63" s="13">
        <f t="shared" si="15"/>
        <v>56.668911580722877</v>
      </c>
    </row>
    <row r="64" spans="2:44" x14ac:dyDescent="0.25">
      <c r="B64" s="6" t="s">
        <v>504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si="14"/>
        <v>16.4763372524008</v>
      </c>
      <c r="Y64" s="13">
        <f t="shared" ref="Y64:AI64" si="17">E67/E$116*100</f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9.2377598080515053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9.5364207102254017</v>
      </c>
      <c r="AI64" s="13">
        <f t="shared" si="17"/>
        <v>0</v>
      </c>
    </row>
    <row r="65" spans="1:35" x14ac:dyDescent="0.25">
      <c r="B65" s="6" t="s">
        <v>486</v>
      </c>
      <c r="C65" s="6"/>
      <c r="T65" s="2"/>
      <c r="U65" s="110" t="str">
        <f t="shared" si="16"/>
        <v>other silage</v>
      </c>
      <c r="X65" s="13">
        <f t="shared" si="14"/>
        <v>17.049564668773787</v>
      </c>
      <c r="Y65" s="13">
        <f t="shared" ref="Y65:AI65" si="18">E68/E$116*100</f>
        <v>0</v>
      </c>
      <c r="Z65" s="13">
        <f t="shared" si="18"/>
        <v>0</v>
      </c>
      <c r="AA65" s="13">
        <f t="shared" si="18"/>
        <v>0</v>
      </c>
      <c r="AB65" s="13">
        <f t="shared" si="18"/>
        <v>0</v>
      </c>
      <c r="AC65" s="13">
        <f t="shared" si="18"/>
        <v>0</v>
      </c>
      <c r="AD65" s="13">
        <f t="shared" si="18"/>
        <v>0</v>
      </c>
      <c r="AE65" s="13">
        <f t="shared" si="18"/>
        <v>0</v>
      </c>
      <c r="AF65" s="13">
        <f t="shared" si="18"/>
        <v>0</v>
      </c>
      <c r="AG65" s="13">
        <f t="shared" si="18"/>
        <v>0</v>
      </c>
      <c r="AH65" s="13">
        <f t="shared" si="18"/>
        <v>0</v>
      </c>
      <c r="AI65" s="13">
        <f t="shared" si="18"/>
        <v>0</v>
      </c>
    </row>
    <row r="66" spans="1:35" x14ac:dyDescent="0.25">
      <c r="A66" s="155"/>
      <c r="B66" t="s">
        <v>436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Q66" s="2"/>
      <c r="T66" s="72"/>
      <c r="U66" s="110" t="str">
        <f t="shared" si="16"/>
        <v>maize silage</v>
      </c>
      <c r="X66" s="13">
        <f t="shared" si="14"/>
        <v>0</v>
      </c>
      <c r="Y66" s="13">
        <f t="shared" ref="Y66:AI66" si="19">E69/E$116*100</f>
        <v>0</v>
      </c>
      <c r="Z66" s="13">
        <f t="shared" si="19"/>
        <v>0</v>
      </c>
      <c r="AA66" s="13">
        <f t="shared" si="19"/>
        <v>0</v>
      </c>
      <c r="AB66" s="13">
        <f t="shared" si="19"/>
        <v>0</v>
      </c>
      <c r="AC66" s="13">
        <f t="shared" si="19"/>
        <v>13.09114711176567</v>
      </c>
      <c r="AD66" s="13">
        <f t="shared" si="19"/>
        <v>0</v>
      </c>
      <c r="AE66" s="13">
        <f t="shared" si="19"/>
        <v>0</v>
      </c>
      <c r="AF66" s="13">
        <f t="shared" si="19"/>
        <v>0</v>
      </c>
      <c r="AG66" s="13">
        <f t="shared" si="19"/>
        <v>0</v>
      </c>
      <c r="AH66" s="13">
        <f t="shared" si="19"/>
        <v>15.876048855936714</v>
      </c>
      <c r="AI66" s="13">
        <f t="shared" si="19"/>
        <v>13.226790925693349</v>
      </c>
    </row>
    <row r="67" spans="1:35" x14ac:dyDescent="0.25">
      <c r="B67" t="s">
        <v>437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Q67" s="2"/>
      <c r="T67" s="2"/>
      <c r="U67" s="110" t="str">
        <f t="shared" si="16"/>
        <v>straw</v>
      </c>
      <c r="X67" s="13">
        <f t="shared" si="14"/>
        <v>17.049564668773787</v>
      </c>
      <c r="Y67" s="13">
        <f t="shared" ref="Y67:AI67" si="20">E70/E$116*100</f>
        <v>0</v>
      </c>
      <c r="Z67" s="13">
        <f t="shared" si="20"/>
        <v>0</v>
      </c>
      <c r="AA67" s="13">
        <f t="shared" si="20"/>
        <v>0</v>
      </c>
      <c r="AB67" s="13">
        <f t="shared" si="20"/>
        <v>0</v>
      </c>
      <c r="AC67" s="13">
        <f t="shared" si="20"/>
        <v>0</v>
      </c>
      <c r="AD67" s="13">
        <f t="shared" si="20"/>
        <v>3.1679738484393072</v>
      </c>
      <c r="AE67" s="13">
        <f t="shared" si="20"/>
        <v>0</v>
      </c>
      <c r="AF67" s="13">
        <f t="shared" si="20"/>
        <v>0</v>
      </c>
      <c r="AG67" s="13">
        <f t="shared" si="20"/>
        <v>0</v>
      </c>
      <c r="AH67" s="13">
        <f t="shared" si="20"/>
        <v>3.0977656304266756</v>
      </c>
      <c r="AI67" s="13">
        <f t="shared" si="20"/>
        <v>0</v>
      </c>
    </row>
    <row r="68" spans="1:35" x14ac:dyDescent="0.25">
      <c r="B68" t="s">
        <v>438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Q68" s="2"/>
      <c r="T68" s="2"/>
      <c r="U68" s="110" t="str">
        <f t="shared" si="16"/>
        <v>grazing</v>
      </c>
      <c r="X68" s="13">
        <f t="shared" si="14"/>
        <v>48.703770344258132</v>
      </c>
      <c r="Y68" s="13">
        <f t="shared" ref="Y68:AI68" si="21">E71/E$116*100</f>
        <v>21.161076246926353</v>
      </c>
      <c r="Z68" s="13">
        <f t="shared" si="21"/>
        <v>30.425854259446911</v>
      </c>
      <c r="AA68" s="13">
        <f t="shared" si="21"/>
        <v>30.282083494235561</v>
      </c>
      <c r="AB68" s="13">
        <f t="shared" si="21"/>
        <v>0</v>
      </c>
      <c r="AC68" s="13">
        <f t="shared" si="21"/>
        <v>0</v>
      </c>
      <c r="AD68" s="13">
        <f t="shared" si="21"/>
        <v>10.166080013639251</v>
      </c>
      <c r="AE68" s="13">
        <f t="shared" si="21"/>
        <v>13.62395305250616</v>
      </c>
      <c r="AF68" s="13">
        <f t="shared" si="21"/>
        <v>38.614788214420173</v>
      </c>
      <c r="AG68" s="13">
        <f t="shared" si="21"/>
        <v>0</v>
      </c>
      <c r="AH68" s="13">
        <f t="shared" si="21"/>
        <v>9.9407806910823222</v>
      </c>
      <c r="AI68" s="13">
        <f t="shared" si="21"/>
        <v>0</v>
      </c>
    </row>
    <row r="69" spans="1:35" x14ac:dyDescent="0.25">
      <c r="B69" t="s">
        <v>433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Q69" s="2"/>
      <c r="T69" s="2"/>
      <c r="U69" s="110" t="str">
        <f t="shared" ref="U69:U100" si="22">B82</f>
        <v>wheat</v>
      </c>
      <c r="X69" s="13">
        <f t="shared" ref="X69:AI69" si="23">(D73+D82)/D$116*100</f>
        <v>0</v>
      </c>
      <c r="Y69" s="13">
        <f t="shared" si="23"/>
        <v>5.3749925447045763</v>
      </c>
      <c r="Z69" s="13">
        <f t="shared" si="23"/>
        <v>0</v>
      </c>
      <c r="AA69" s="13">
        <f t="shared" si="23"/>
        <v>0</v>
      </c>
      <c r="AB69" s="13">
        <f t="shared" si="23"/>
        <v>8.7950802360888023</v>
      </c>
      <c r="AC69" s="13">
        <f t="shared" si="23"/>
        <v>6.338193642704308</v>
      </c>
      <c r="AD69" s="13">
        <f t="shared" si="23"/>
        <v>6.1497391870569844</v>
      </c>
      <c r="AE69" s="13">
        <f t="shared" si="23"/>
        <v>3.3926452557375897</v>
      </c>
      <c r="AF69" s="13">
        <f t="shared" si="23"/>
        <v>1.3702995315856561</v>
      </c>
      <c r="AG69" s="13">
        <f t="shared" si="23"/>
        <v>7.597272449205918</v>
      </c>
      <c r="AH69" s="13">
        <f t="shared" si="23"/>
        <v>5.0974881237730667</v>
      </c>
      <c r="AI69" s="13">
        <f t="shared" si="23"/>
        <v>6.3615760162052783</v>
      </c>
    </row>
    <row r="70" spans="1:35" x14ac:dyDescent="0.25">
      <c r="B70" t="s">
        <v>428</v>
      </c>
      <c r="D70" s="12">
        <f>SUMPRODUCT(D11:F11,D23:F23)/SUM(D23:F23)*C11</f>
        <v>804.26595957734855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Q70" s="2"/>
      <c r="T70" s="2"/>
      <c r="U70" s="110" t="str">
        <f t="shared" si="22"/>
        <v>barley</v>
      </c>
      <c r="X70" s="13">
        <f t="shared" ref="X70:AI71" si="24">(D75+D83)/D$116*100</f>
        <v>0</v>
      </c>
      <c r="Y70" s="13">
        <f t="shared" si="24"/>
        <v>9.8776139053089249</v>
      </c>
      <c r="Z70" s="13">
        <f t="shared" si="24"/>
        <v>0</v>
      </c>
      <c r="AA70" s="13">
        <f t="shared" si="24"/>
        <v>0</v>
      </c>
      <c r="AB70" s="13">
        <f t="shared" si="24"/>
        <v>16.456273052444185</v>
      </c>
      <c r="AC70" s="13">
        <f t="shared" si="24"/>
        <v>13.009738603465815</v>
      </c>
      <c r="AD70" s="13">
        <f t="shared" si="24"/>
        <v>11.290606059990822</v>
      </c>
      <c r="AE70" s="13">
        <f t="shared" si="24"/>
        <v>5.969609310362638</v>
      </c>
      <c r="AF70" s="13">
        <f t="shared" si="24"/>
        <v>2.1464108702309166</v>
      </c>
      <c r="AG70" s="13">
        <f t="shared" si="24"/>
        <v>13.591338970365666</v>
      </c>
      <c r="AH70" s="13">
        <f t="shared" si="24"/>
        <v>8.404170018075888</v>
      </c>
      <c r="AI70" s="13">
        <f t="shared" si="24"/>
        <v>12.896189928777954</v>
      </c>
    </row>
    <row r="71" spans="1:35" x14ac:dyDescent="0.25">
      <c r="B71" t="s">
        <v>425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2"/>
        <v>oats</v>
      </c>
      <c r="X71" s="13">
        <f t="shared" si="24"/>
        <v>0</v>
      </c>
      <c r="Y71" s="13">
        <f t="shared" si="24"/>
        <v>2.2123443310104149</v>
      </c>
      <c r="Z71" s="13">
        <f t="shared" si="24"/>
        <v>0</v>
      </c>
      <c r="AA71" s="13">
        <f t="shared" si="24"/>
        <v>0</v>
      </c>
      <c r="AB71" s="13">
        <f t="shared" si="24"/>
        <v>3.6372465594215786</v>
      </c>
      <c r="AC71" s="13">
        <f t="shared" si="24"/>
        <v>2.6885792015166539</v>
      </c>
      <c r="AD71" s="13">
        <f t="shared" si="24"/>
        <v>2.5305995086863016</v>
      </c>
      <c r="AE71" s="13">
        <f t="shared" si="24"/>
        <v>1.380886004165597</v>
      </c>
      <c r="AF71" s="13">
        <f t="shared" si="24"/>
        <v>0.54223737074929057</v>
      </c>
      <c r="AG71" s="13">
        <f t="shared" si="24"/>
        <v>3.1053519716836115</v>
      </c>
      <c r="AH71" s="13">
        <f t="shared" si="24"/>
        <v>2.0416884227683041</v>
      </c>
      <c r="AI71" s="13">
        <f t="shared" si="24"/>
        <v>2.68903535703005</v>
      </c>
    </row>
    <row r="72" spans="1:35" x14ac:dyDescent="0.25">
      <c r="A72" s="155"/>
      <c r="B72" s="6" t="s">
        <v>488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2"/>
        <v>triticale</v>
      </c>
      <c r="X72" s="13">
        <f t="shared" ref="X72:AI72" si="25">(D74+D85)/D$116*100</f>
        <v>0</v>
      </c>
      <c r="Y72" s="13">
        <f t="shared" si="25"/>
        <v>3.4759922520526634</v>
      </c>
      <c r="Z72" s="13">
        <f t="shared" si="25"/>
        <v>0</v>
      </c>
      <c r="AA72" s="13">
        <f t="shared" si="25"/>
        <v>0</v>
      </c>
      <c r="AB72" s="13">
        <f t="shared" si="25"/>
        <v>5.8891480485237606</v>
      </c>
      <c r="AC72" s="13">
        <f t="shared" si="25"/>
        <v>5.0332855432745562</v>
      </c>
      <c r="AD72" s="13">
        <f t="shared" si="25"/>
        <v>3.9696382637077976</v>
      </c>
      <c r="AE72" s="13">
        <f t="shared" si="25"/>
        <v>2.0121854590151322</v>
      </c>
      <c r="AF72" s="13">
        <f t="shared" si="25"/>
        <v>0.63111634374194048</v>
      </c>
      <c r="AG72" s="13">
        <f t="shared" si="25"/>
        <v>4.6592010515149394</v>
      </c>
      <c r="AH72" s="13">
        <f t="shared" si="25"/>
        <v>2.6355687688154275</v>
      </c>
      <c r="AI72" s="13">
        <f t="shared" si="25"/>
        <v>4.9410321920692617</v>
      </c>
    </row>
    <row r="73" spans="1:35" x14ac:dyDescent="0.25">
      <c r="B73" s="167" t="s">
        <v>395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6">H$72*$AF26</f>
        <v>147.69170057433243</v>
      </c>
      <c r="I73" s="12">
        <f t="shared" si="26"/>
        <v>131.69118459192447</v>
      </c>
      <c r="J73" s="12">
        <f>J$72*$AD26</f>
        <v>367.3342987302679</v>
      </c>
      <c r="K73" s="12">
        <f t="shared" ref="K73:M76" si="27">K$72*$AF26</f>
        <v>32.116365925864784</v>
      </c>
      <c r="L73" s="12">
        <f t="shared" si="27"/>
        <v>32.641929512143051</v>
      </c>
      <c r="M73" s="12">
        <f t="shared" si="27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2"/>
        <v>rye</v>
      </c>
      <c r="X73" s="13">
        <f t="shared" ref="X73:AI73" si="28">(D77+D86)/D$116*100</f>
        <v>0</v>
      </c>
      <c r="Y73" s="13">
        <f t="shared" si="28"/>
        <v>9.7729344009567475E-3</v>
      </c>
      <c r="Z73" s="13">
        <f t="shared" si="28"/>
        <v>0</v>
      </c>
      <c r="AA73" s="13">
        <f t="shared" si="28"/>
        <v>0</v>
      </c>
      <c r="AB73" s="13">
        <f t="shared" si="28"/>
        <v>1.3507533293838584E-2</v>
      </c>
      <c r="AC73" s="13">
        <f t="shared" si="28"/>
        <v>0</v>
      </c>
      <c r="AD73" s="13">
        <f t="shared" si="28"/>
        <v>1.1272622080408017E-2</v>
      </c>
      <c r="AE73" s="13">
        <f t="shared" si="28"/>
        <v>8.4111477233144716E-3</v>
      </c>
      <c r="AF73" s="13">
        <f t="shared" si="28"/>
        <v>5.6371722021104978E-3</v>
      </c>
      <c r="AG73" s="13">
        <f t="shared" si="28"/>
        <v>1.6945393347994473E-2</v>
      </c>
      <c r="AH73" s="13">
        <f t="shared" si="28"/>
        <v>1.7420276725880934E-2</v>
      </c>
      <c r="AI73" s="13">
        <f t="shared" si="28"/>
        <v>1.3668084713412143E-3</v>
      </c>
    </row>
    <row r="74" spans="1:35" x14ac:dyDescent="0.25">
      <c r="B74" s="167" t="s">
        <v>505</v>
      </c>
      <c r="C74" s="167"/>
      <c r="D74" s="12"/>
      <c r="E74" s="12">
        <f>E$72*$AF27</f>
        <v>49.520498380684465</v>
      </c>
      <c r="F74" s="12"/>
      <c r="G74" s="12"/>
      <c r="H74" s="12">
        <f t="shared" si="26"/>
        <v>117.28491479872922</v>
      </c>
      <c r="I74" s="12">
        <f t="shared" si="26"/>
        <v>104.57858704683275</v>
      </c>
      <c r="J74" s="12">
        <f>J$72*$AD27</f>
        <v>291.70746739114861</v>
      </c>
      <c r="K74" s="12">
        <f t="shared" si="27"/>
        <v>25.504244494524379</v>
      </c>
      <c r="L74" s="12">
        <f t="shared" si="27"/>
        <v>25.921604983964599</v>
      </c>
      <c r="M74" s="12">
        <f t="shared" si="27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2"/>
        <v>maize</v>
      </c>
      <c r="X74" s="13">
        <f t="shared" ref="X74:AI74" si="29">D87/D$116*100</f>
        <v>0</v>
      </c>
      <c r="Y74" s="13">
        <f t="shared" si="29"/>
        <v>4.2459669391401007E-2</v>
      </c>
      <c r="Z74" s="13">
        <f t="shared" si="29"/>
        <v>0</v>
      </c>
      <c r="AA74" s="13">
        <f t="shared" si="29"/>
        <v>0</v>
      </c>
      <c r="AB74" s="13">
        <f t="shared" si="29"/>
        <v>5.8685075988393134E-2</v>
      </c>
      <c r="AC74" s="13">
        <f t="shared" si="29"/>
        <v>0</v>
      </c>
      <c r="AD74" s="13">
        <f t="shared" si="29"/>
        <v>0.39798335104430993</v>
      </c>
      <c r="AE74" s="13">
        <f t="shared" si="29"/>
        <v>3.654322610609205E-2</v>
      </c>
      <c r="AF74" s="13">
        <f t="shared" si="29"/>
        <v>2.4491361364359067E-2</v>
      </c>
      <c r="AG74" s="13">
        <f t="shared" si="29"/>
        <v>7.3621265603978081E-2</v>
      </c>
      <c r="AH74" s="13">
        <f t="shared" si="29"/>
        <v>0.6150281680723525</v>
      </c>
      <c r="AI74" s="13">
        <f t="shared" si="29"/>
        <v>4.8255588786707375E-2</v>
      </c>
    </row>
    <row r="75" spans="1:35" x14ac:dyDescent="0.25">
      <c r="B75" s="167" t="s">
        <v>429</v>
      </c>
      <c r="C75" s="167"/>
      <c r="D75" s="12"/>
      <c r="E75" s="12">
        <f>E$72*$AF28</f>
        <v>127.99765360161179</v>
      </c>
      <c r="F75" s="12"/>
      <c r="G75" s="12"/>
      <c r="H75" s="12">
        <f t="shared" si="26"/>
        <v>303.15110687492233</v>
      </c>
      <c r="I75" s="12">
        <f t="shared" si="26"/>
        <v>270.30854285965057</v>
      </c>
      <c r="J75" s="12">
        <f>J$72*$AD28</f>
        <v>753.98819852546956</v>
      </c>
      <c r="K75" s="12">
        <f t="shared" si="27"/>
        <v>65.921861833568741</v>
      </c>
      <c r="L75" s="12">
        <f t="shared" si="27"/>
        <v>67.000630527366965</v>
      </c>
      <c r="M75" s="12">
        <f t="shared" si="27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2"/>
        <v>peas</v>
      </c>
      <c r="X75" s="13">
        <f>(D79+D88)/D$116*100</f>
        <v>0</v>
      </c>
      <c r="Y75" s="13">
        <f t="shared" ref="Y75:AI75" si="30">(E79+E88)/E$116*100</f>
        <v>0.18818835539063533</v>
      </c>
      <c r="Z75" s="13">
        <f t="shared" si="30"/>
        <v>0</v>
      </c>
      <c r="AA75" s="13">
        <f t="shared" si="30"/>
        <v>0</v>
      </c>
      <c r="AB75" s="13">
        <f t="shared" si="30"/>
        <v>1.230521308754674</v>
      </c>
      <c r="AC75" s="13">
        <f t="shared" si="30"/>
        <v>1.6370482011197791</v>
      </c>
      <c r="AD75" s="13">
        <f t="shared" si="30"/>
        <v>6.2198540886316538E-2</v>
      </c>
      <c r="AE75" s="13">
        <f t="shared" si="30"/>
        <v>0.83995755602664501</v>
      </c>
      <c r="AF75" s="13">
        <f t="shared" si="30"/>
        <v>3.3129545230803178E-2</v>
      </c>
      <c r="AG75" s="13">
        <f t="shared" si="30"/>
        <v>1.3794797059070938</v>
      </c>
      <c r="AH75" s="13">
        <f t="shared" si="30"/>
        <v>9.6119233524986178E-2</v>
      </c>
      <c r="AI75" s="13">
        <f t="shared" si="30"/>
        <v>0.43086866195785822</v>
      </c>
    </row>
    <row r="76" spans="1:35" x14ac:dyDescent="0.25">
      <c r="B76" s="167" t="s">
        <v>462</v>
      </c>
      <c r="C76" s="167"/>
      <c r="D76" s="12"/>
      <c r="E76" s="12">
        <f>E$72*$AF29</f>
        <v>26.451863469766366</v>
      </c>
      <c r="F76" s="12"/>
      <c r="G76" s="12"/>
      <c r="H76" s="12">
        <f t="shared" si="26"/>
        <v>62.648896008067297</v>
      </c>
      <c r="I76" s="12">
        <f t="shared" si="26"/>
        <v>55.86168550159212</v>
      </c>
      <c r="J76" s="12">
        <f>J$72*$AD29</f>
        <v>155.81842576026466</v>
      </c>
      <c r="K76" s="12">
        <f t="shared" si="27"/>
        <v>13.623344177243609</v>
      </c>
      <c r="L76" s="12">
        <f t="shared" si="27"/>
        <v>13.846281406176139</v>
      </c>
      <c r="M76" s="12">
        <f t="shared" si="27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2"/>
        <v>broad beans</v>
      </c>
      <c r="X76" s="13">
        <f>(D80+D89)/D$116*100</f>
        <v>0</v>
      </c>
      <c r="Y76" s="13">
        <f t="shared" ref="Y76:AI76" si="31">(E80+E89)/E$116*100</f>
        <v>0.19513584282773944</v>
      </c>
      <c r="Z76" s="13">
        <f t="shared" si="31"/>
        <v>0</v>
      </c>
      <c r="AA76" s="13">
        <f t="shared" si="31"/>
        <v>0</v>
      </c>
      <c r="AB76" s="13">
        <f t="shared" si="31"/>
        <v>1.1908458068725807</v>
      </c>
      <c r="AC76" s="13">
        <f t="shared" si="31"/>
        <v>1.5539189073731028</v>
      </c>
      <c r="AD76" s="13">
        <f t="shared" si="31"/>
        <v>0.21373263842786655</v>
      </c>
      <c r="AE76" s="13">
        <f t="shared" si="31"/>
        <v>0.81150854085068547</v>
      </c>
      <c r="AF76" s="13">
        <f t="shared" si="31"/>
        <v>4.0966798466627027E-2</v>
      </c>
      <c r="AG76" s="13">
        <f t="shared" si="31"/>
        <v>1.338045660068792</v>
      </c>
      <c r="AH76" s="13">
        <f t="shared" si="31"/>
        <v>0.33029420131428044</v>
      </c>
      <c r="AI76" s="13">
        <f t="shared" si="31"/>
        <v>0.42774566708132739</v>
      </c>
    </row>
    <row r="77" spans="1:35" x14ac:dyDescent="0.25">
      <c r="B77" s="110" t="s">
        <v>490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2"/>
        <v>rapeseed</v>
      </c>
      <c r="X77" s="13">
        <f t="shared" ref="X77:X100" si="32">D90/D$116*100</f>
        <v>0</v>
      </c>
      <c r="Y77" s="13">
        <f t="shared" ref="Y77:Y100" si="33">E90/E$116*100</f>
        <v>0.36097378167357463</v>
      </c>
      <c r="Z77" s="13">
        <f t="shared" ref="Z77:Z100" si="34">F90/F$116*100</f>
        <v>0</v>
      </c>
      <c r="AA77" s="13">
        <f t="shared" ref="AA77:AA100" si="35">G90/G$116*100</f>
        <v>0</v>
      </c>
      <c r="AB77" s="13">
        <f t="shared" ref="AB77:AB100" si="36">H90/H$116*100</f>
        <v>0.49891518495011011</v>
      </c>
      <c r="AC77" s="13">
        <f t="shared" ref="AC77:AC100" si="37">I90/I$116*100</f>
        <v>0</v>
      </c>
      <c r="AD77" s="13">
        <f t="shared" ref="AD77:AD100" si="38">J90/J$116*100</f>
        <v>3.3834826631664936</v>
      </c>
      <c r="AE77" s="13">
        <f t="shared" ref="AE77:AE100" si="39">K90/K$116*100</f>
        <v>0.3106747346633848</v>
      </c>
      <c r="AF77" s="13">
        <f t="shared" ref="AF77:AF100" si="40">L90/L$116*100</f>
        <v>0.20821498275295594</v>
      </c>
      <c r="AG77" s="13">
        <f t="shared" ref="AG77:AG100" si="41">M90/M$116*100</f>
        <v>0.62589622193442496</v>
      </c>
      <c r="AH77" s="13">
        <f t="shared" ref="AH77:AH100" si="42">N90/N$116*100</f>
        <v>5.2287040112895822</v>
      </c>
      <c r="AI77" s="13">
        <f t="shared" ref="AI77:AI100" si="43">O90/O$116*100</f>
        <v>0.41024818659446338</v>
      </c>
    </row>
    <row r="78" spans="1:35" x14ac:dyDescent="0.25">
      <c r="B78" s="6" t="s">
        <v>489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2"/>
        <v>linseed</v>
      </c>
      <c r="X78" s="13">
        <f t="shared" si="32"/>
        <v>0</v>
      </c>
      <c r="Y78" s="13">
        <f t="shared" si="33"/>
        <v>2.6627548268207211E-4</v>
      </c>
      <c r="Z78" s="13">
        <f t="shared" si="34"/>
        <v>0</v>
      </c>
      <c r="AA78" s="13">
        <f t="shared" si="35"/>
        <v>0</v>
      </c>
      <c r="AB78" s="13">
        <f t="shared" si="36"/>
        <v>3.6802917118822752E-4</v>
      </c>
      <c r="AC78" s="13">
        <f t="shared" si="37"/>
        <v>0</v>
      </c>
      <c r="AD78" s="13">
        <f t="shared" si="38"/>
        <v>2.4958557242137649E-3</v>
      </c>
      <c r="AE78" s="13">
        <f t="shared" si="39"/>
        <v>2.2917194857222345E-4</v>
      </c>
      <c r="AF78" s="13">
        <f t="shared" si="40"/>
        <v>1.5359161204765519E-4</v>
      </c>
      <c r="AG78" s="13">
        <f t="shared" si="41"/>
        <v>4.6169784916729557E-4</v>
      </c>
      <c r="AH78" s="13">
        <f t="shared" si="42"/>
        <v>3.8569994694707295E-3</v>
      </c>
      <c r="AI78" s="13">
        <f t="shared" si="43"/>
        <v>3.0262318054907772E-4</v>
      </c>
    </row>
    <row r="79" spans="1:35" x14ac:dyDescent="0.25">
      <c r="B79" s="167" t="s">
        <v>461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4">K$78*$AD32</f>
        <v>11.340412699217753</v>
      </c>
      <c r="L79" s="12">
        <f t="shared" si="44"/>
        <v>1.4066444873394082</v>
      </c>
      <c r="M79" s="12">
        <f t="shared" si="44"/>
        <v>44.591343213583066</v>
      </c>
      <c r="N79" s="12"/>
      <c r="O79" s="12">
        <f>O$78*$AD32</f>
        <v>13.954299607772761</v>
      </c>
      <c r="Q79" s="2"/>
      <c r="U79" s="110" t="str">
        <f t="shared" si="22"/>
        <v>vegetable oils</v>
      </c>
      <c r="X79" s="13">
        <f t="shared" si="32"/>
        <v>0</v>
      </c>
      <c r="Y79" s="13">
        <f t="shared" si="33"/>
        <v>6.874417863468929E-3</v>
      </c>
      <c r="Z79" s="13">
        <f t="shared" si="34"/>
        <v>0</v>
      </c>
      <c r="AA79" s="13">
        <f t="shared" si="35"/>
        <v>0</v>
      </c>
      <c r="AB79" s="13">
        <f t="shared" si="36"/>
        <v>9.5013866211436822E-3</v>
      </c>
      <c r="AC79" s="13">
        <f t="shared" si="37"/>
        <v>0</v>
      </c>
      <c r="AD79" s="13">
        <f t="shared" si="38"/>
        <v>6.4435354702415792E-2</v>
      </c>
      <c r="AE79" s="13">
        <f t="shared" si="39"/>
        <v>5.9165181908688962E-3</v>
      </c>
      <c r="AF79" s="13">
        <f t="shared" si="40"/>
        <v>3.9652652617667341E-3</v>
      </c>
      <c r="AG79" s="13">
        <f t="shared" si="41"/>
        <v>1.1919625156141098E-2</v>
      </c>
      <c r="AH79" s="13">
        <f t="shared" si="42"/>
        <v>9.957591958992984E-2</v>
      </c>
      <c r="AI79" s="13">
        <f t="shared" si="43"/>
        <v>7.8128041579790201E-3</v>
      </c>
    </row>
    <row r="80" spans="1:35" x14ac:dyDescent="0.25">
      <c r="B80" s="167" t="s">
        <v>494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4"/>
        <v>10.764546638684546</v>
      </c>
      <c r="L80" s="12">
        <f t="shared" si="44"/>
        <v>1.3352150922212949</v>
      </c>
      <c r="M80" s="12">
        <f t="shared" si="44"/>
        <v>42.326995183986099</v>
      </c>
      <c r="N80" s="12"/>
      <c r="O80" s="12">
        <f>O$78*$AD33</f>
        <v>13.24570039222724</v>
      </c>
      <c r="Q80" s="2"/>
      <c r="U80" s="110" t="str">
        <f t="shared" si="22"/>
        <v>soybeans</v>
      </c>
      <c r="X80" s="13">
        <f t="shared" si="32"/>
        <v>0</v>
      </c>
      <c r="Y80" s="13">
        <f t="shared" si="33"/>
        <v>6.7178905586753141E-3</v>
      </c>
      <c r="Z80" s="13">
        <f t="shared" si="34"/>
        <v>0</v>
      </c>
      <c r="AA80" s="13">
        <f t="shared" si="35"/>
        <v>0</v>
      </c>
      <c r="AB80" s="13">
        <f t="shared" si="36"/>
        <v>9.2850444567383218E-3</v>
      </c>
      <c r="AC80" s="13">
        <f t="shared" si="37"/>
        <v>0</v>
      </c>
      <c r="AD80" s="13">
        <f t="shared" si="38"/>
        <v>6.2968191575980506E-2</v>
      </c>
      <c r="AE80" s="13">
        <f t="shared" si="39"/>
        <v>5.7818018171232116E-3</v>
      </c>
      <c r="AF80" s="13">
        <f t="shared" si="40"/>
        <v>3.8749780117707201E-3</v>
      </c>
      <c r="AG80" s="13">
        <f t="shared" si="41"/>
        <v>1.1648220822436621E-2</v>
      </c>
      <c r="AH80" s="13">
        <f t="shared" si="42"/>
        <v>9.7308622107391843E-2</v>
      </c>
      <c r="AI80" s="13">
        <f t="shared" si="43"/>
        <v>7.6349102327017302E-3</v>
      </c>
    </row>
    <row r="81" spans="2:35" x14ac:dyDescent="0.25">
      <c r="B81" s="6" t="s">
        <v>487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2"/>
        <v>soybean meal</v>
      </c>
      <c r="X81" s="13">
        <f t="shared" si="32"/>
        <v>0</v>
      </c>
      <c r="Y81" s="13">
        <f t="shared" si="33"/>
        <v>6.1365437669271355E-2</v>
      </c>
      <c r="Z81" s="13">
        <f t="shared" si="34"/>
        <v>0</v>
      </c>
      <c r="AA81" s="13">
        <f t="shared" si="35"/>
        <v>0</v>
      </c>
      <c r="AB81" s="13">
        <f t="shared" si="36"/>
        <v>8.4815436019657742E-2</v>
      </c>
      <c r="AC81" s="13">
        <f t="shared" si="37"/>
        <v>0</v>
      </c>
      <c r="AD81" s="13">
        <f t="shared" si="38"/>
        <v>0.57519106653391427</v>
      </c>
      <c r="AE81" s="13">
        <f t="shared" si="39"/>
        <v>5.2814614338509994E-2</v>
      </c>
      <c r="AF81" s="13">
        <f t="shared" si="40"/>
        <v>3.5396486378307765E-2</v>
      </c>
      <c r="AG81" s="13">
        <f t="shared" si="41"/>
        <v>0.10640217529505162</v>
      </c>
      <c r="AH81" s="13">
        <f t="shared" si="42"/>
        <v>0.88887815787688529</v>
      </c>
      <c r="AI81" s="13">
        <f t="shared" si="43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2"/>
        <v>soybean protein concentrate</v>
      </c>
      <c r="X82" s="13">
        <f t="shared" si="32"/>
        <v>0</v>
      </c>
      <c r="Y82" s="13">
        <f t="shared" si="33"/>
        <v>0</v>
      </c>
      <c r="Z82" s="13">
        <f t="shared" si="34"/>
        <v>0</v>
      </c>
      <c r="AA82" s="13">
        <f t="shared" si="35"/>
        <v>0</v>
      </c>
      <c r="AB82" s="13">
        <f t="shared" si="36"/>
        <v>0</v>
      </c>
      <c r="AC82" s="13">
        <f t="shared" si="37"/>
        <v>0</v>
      </c>
      <c r="AD82" s="13">
        <f t="shared" si="38"/>
        <v>0</v>
      </c>
      <c r="AE82" s="13">
        <f t="shared" si="39"/>
        <v>0</v>
      </c>
      <c r="AF82" s="13">
        <f t="shared" si="40"/>
        <v>0</v>
      </c>
      <c r="AG82" s="13">
        <f t="shared" si="41"/>
        <v>0</v>
      </c>
      <c r="AH82" s="13">
        <f t="shared" si="42"/>
        <v>0</v>
      </c>
      <c r="AI82" s="13">
        <f t="shared" si="43"/>
        <v>0</v>
      </c>
    </row>
    <row r="83" spans="2:35" x14ac:dyDescent="0.25">
      <c r="B83" t="str">
        <f t="shared" ref="B83:B113" si="45">L26</f>
        <v>barley</v>
      </c>
      <c r="C83" s="167"/>
      <c r="E83" s="13">
        <f t="shared" ref="E83:E112" si="46">E$81*$W26</f>
        <v>19.424482794374299</v>
      </c>
      <c r="H83" s="13">
        <f t="shared" ref="H83:H112" si="47">H$81*$W26</f>
        <v>37.204098459874182</v>
      </c>
      <c r="I83" s="13"/>
      <c r="J83" s="13">
        <f t="shared" ref="J83:J112" si="48">J$81*$U26</f>
        <v>115.62373971542154</v>
      </c>
      <c r="K83" s="13">
        <f t="shared" ref="K83:M83" si="49">K$81*$W26</f>
        <v>15.226622907567917</v>
      </c>
      <c r="L83" s="13">
        <f t="shared" si="49"/>
        <v>36.038212570020605</v>
      </c>
      <c r="M83" s="13">
        <f t="shared" si="49"/>
        <v>73.559409916171163</v>
      </c>
      <c r="N83" s="13">
        <f t="shared" ref="N83:O83" si="50">N$81*$U26</f>
        <v>182.73012241199254</v>
      </c>
      <c r="O83" s="13">
        <f t="shared" si="50"/>
        <v>6.0000309213896665</v>
      </c>
      <c r="Q83" s="2"/>
      <c r="U83" s="110" t="str">
        <f t="shared" si="22"/>
        <v>rapeseed meal</v>
      </c>
      <c r="X83" s="13">
        <f t="shared" si="32"/>
        <v>0</v>
      </c>
      <c r="Y83" s="13">
        <f t="shared" si="33"/>
        <v>0.47396410229169195</v>
      </c>
      <c r="Z83" s="13">
        <f t="shared" si="34"/>
        <v>0</v>
      </c>
      <c r="AA83" s="13">
        <f t="shared" si="35"/>
        <v>0</v>
      </c>
      <c r="AB83" s="13">
        <f t="shared" si="36"/>
        <v>0.65508327684698231</v>
      </c>
      <c r="AC83" s="13">
        <f t="shared" si="37"/>
        <v>0</v>
      </c>
      <c r="AD83" s="13">
        <f t="shared" si="38"/>
        <v>4.4425645420347344</v>
      </c>
      <c r="AE83" s="13">
        <f t="shared" si="39"/>
        <v>0.40792068342679916</v>
      </c>
      <c r="AF83" s="13">
        <f t="shared" si="40"/>
        <v>0.27338946038309825</v>
      </c>
      <c r="AG83" s="13">
        <f t="shared" si="41"/>
        <v>0.82181132264384626</v>
      </c>
      <c r="AH83" s="13">
        <f t="shared" si="42"/>
        <v>6.8653684247374684</v>
      </c>
      <c r="AI83" s="13">
        <f t="shared" si="43"/>
        <v>0.53866215040479692</v>
      </c>
    </row>
    <row r="84" spans="2:35" x14ac:dyDescent="0.25">
      <c r="B84" t="str">
        <f t="shared" si="45"/>
        <v>oats</v>
      </c>
      <c r="C84" s="167"/>
      <c r="E84" s="13">
        <f t="shared" si="46"/>
        <v>6.5670954455855322</v>
      </c>
      <c r="H84" s="13">
        <f t="shared" si="47"/>
        <v>12.57808859774202</v>
      </c>
      <c r="I84" s="13"/>
      <c r="J84" s="13">
        <f t="shared" si="48"/>
        <v>39.090468586716916</v>
      </c>
      <c r="K84" s="13">
        <f t="shared" ref="K84:M84" si="51">K$81*$W27</f>
        <v>5.1478686463094894</v>
      </c>
      <c r="L84" s="13">
        <f t="shared" si="51"/>
        <v>12.183921916529417</v>
      </c>
      <c r="M84" s="13">
        <f t="shared" si="51"/>
        <v>24.869216388111688</v>
      </c>
      <c r="N84" s="13">
        <f t="shared" ref="N84:O84" si="52">N$81*$U27</f>
        <v>61.778023506017249</v>
      </c>
      <c r="O84" s="13">
        <f t="shared" si="52"/>
        <v>2.0285109340796574</v>
      </c>
      <c r="Q84" s="2"/>
      <c r="U84" s="110" t="str">
        <f t="shared" si="22"/>
        <v>sunflower seed meal</v>
      </c>
      <c r="X84" s="13">
        <f t="shared" si="32"/>
        <v>0</v>
      </c>
      <c r="Y84" s="13">
        <f t="shared" si="33"/>
        <v>6.5473553082180435E-3</v>
      </c>
      <c r="Z84" s="13">
        <f t="shared" si="34"/>
        <v>0</v>
      </c>
      <c r="AA84" s="13">
        <f t="shared" si="35"/>
        <v>0</v>
      </c>
      <c r="AB84" s="13">
        <f t="shared" si="36"/>
        <v>9.0493413936850002E-3</v>
      </c>
      <c r="AC84" s="13">
        <f t="shared" si="37"/>
        <v>0</v>
      </c>
      <c r="AD84" s="13">
        <f t="shared" si="38"/>
        <v>6.136972904857535E-2</v>
      </c>
      <c r="AE84" s="13">
        <f t="shared" si="39"/>
        <v>5.6350294021269417E-3</v>
      </c>
      <c r="AF84" s="13">
        <f t="shared" si="40"/>
        <v>3.7766107728313516E-3</v>
      </c>
      <c r="AG84" s="13">
        <f t="shared" si="41"/>
        <v>1.1352527964985915E-2</v>
      </c>
      <c r="AH84" s="13">
        <f t="shared" si="42"/>
        <v>9.4838419579113625E-2</v>
      </c>
      <c r="AI84" s="13">
        <f t="shared" si="43"/>
        <v>7.441096219600373E-3</v>
      </c>
    </row>
    <row r="85" spans="2:35" x14ac:dyDescent="0.25">
      <c r="B85" t="str">
        <f t="shared" si="45"/>
        <v>triticale</v>
      </c>
      <c r="C85" s="167"/>
      <c r="E85" s="13">
        <f t="shared" si="46"/>
        <v>2.3582456971821797</v>
      </c>
      <c r="H85" s="13">
        <f t="shared" si="47"/>
        <v>4.5167949149179192</v>
      </c>
      <c r="I85" s="13"/>
      <c r="J85" s="13">
        <f t="shared" si="48"/>
        <v>14.037397523653777</v>
      </c>
      <c r="K85" s="13">
        <f t="shared" ref="K85:M85" si="53">K$81*$W28</f>
        <v>1.8486009812723212</v>
      </c>
      <c r="L85" s="13">
        <f t="shared" si="53"/>
        <v>4.3752495562971534</v>
      </c>
      <c r="M85" s="13">
        <f t="shared" si="53"/>
        <v>8.9305421286332205</v>
      </c>
      <c r="N85" s="13">
        <f t="shared" ref="N85:O85" si="54">N$81*$U28</f>
        <v>22.184504446546079</v>
      </c>
      <c r="O85" s="13">
        <f t="shared" si="54"/>
        <v>0.72843880854450294</v>
      </c>
      <c r="Q85" s="2"/>
      <c r="U85" s="110" t="str">
        <f t="shared" si="22"/>
        <v>palm kernel expeller</v>
      </c>
      <c r="X85" s="13">
        <f t="shared" si="32"/>
        <v>0</v>
      </c>
      <c r="Y85" s="13">
        <f t="shared" si="33"/>
        <v>4.2544185479227364E-2</v>
      </c>
      <c r="Z85" s="13">
        <f t="shared" si="34"/>
        <v>0</v>
      </c>
      <c r="AA85" s="13">
        <f t="shared" si="35"/>
        <v>0</v>
      </c>
      <c r="AB85" s="13">
        <f t="shared" si="36"/>
        <v>5.880188879234155E-2</v>
      </c>
      <c r="AC85" s="13">
        <f t="shared" si="37"/>
        <v>0</v>
      </c>
      <c r="AD85" s="13">
        <f t="shared" si="38"/>
        <v>0.39877553799094467</v>
      </c>
      <c r="AE85" s="13">
        <f t="shared" si="39"/>
        <v>3.6615965497408809E-2</v>
      </c>
      <c r="AF85" s="13">
        <f t="shared" si="40"/>
        <v>2.454011148600925E-2</v>
      </c>
      <c r="AG85" s="13">
        <f t="shared" si="41"/>
        <v>7.3767808934127849E-2</v>
      </c>
      <c r="AH85" s="13">
        <f t="shared" si="42"/>
        <v>0.61625238331975196</v>
      </c>
      <c r="AI85" s="13">
        <f t="shared" si="43"/>
        <v>4.8351641667911303E-2</v>
      </c>
    </row>
    <row r="86" spans="2:35" x14ac:dyDescent="0.25">
      <c r="B86" t="str">
        <f t="shared" si="45"/>
        <v>rye</v>
      </c>
      <c r="C86" s="167"/>
      <c r="E86" s="13">
        <f t="shared" si="46"/>
        <v>0.14585980805268278</v>
      </c>
      <c r="H86" s="13">
        <f t="shared" si="47"/>
        <v>0.27936819309814526</v>
      </c>
      <c r="I86" s="13"/>
      <c r="J86" s="13">
        <f t="shared" si="48"/>
        <v>0.86822679706607797</v>
      </c>
      <c r="K86" s="13">
        <f t="shared" ref="K86:M86" si="55">K$81*$W29</f>
        <v>0.11433778279191398</v>
      </c>
      <c r="L86" s="13">
        <f t="shared" si="55"/>
        <v>0.27061347391691565</v>
      </c>
      <c r="M86" s="13">
        <f t="shared" si="55"/>
        <v>0.55236278486389168</v>
      </c>
      <c r="N86" s="13">
        <f t="shared" ref="N86:O86" si="56">N$81*$U29</f>
        <v>1.3721333464886729</v>
      </c>
      <c r="O86" s="13">
        <f t="shared" si="56"/>
        <v>4.5054654364208975E-2</v>
      </c>
      <c r="Q86" s="2"/>
      <c r="U86" s="110" t="str">
        <f t="shared" si="22"/>
        <v>luzern meal</v>
      </c>
      <c r="X86" s="13">
        <f t="shared" si="32"/>
        <v>0</v>
      </c>
      <c r="Y86" s="13">
        <f t="shared" si="33"/>
        <v>1.2941474067131715E-2</v>
      </c>
      <c r="Z86" s="13">
        <f t="shared" si="34"/>
        <v>0</v>
      </c>
      <c r="AA86" s="13">
        <f t="shared" si="35"/>
        <v>0</v>
      </c>
      <c r="AB86" s="13">
        <f t="shared" si="36"/>
        <v>1.7886888897567656E-2</v>
      </c>
      <c r="AC86" s="13">
        <f t="shared" si="37"/>
        <v>0</v>
      </c>
      <c r="AD86" s="13">
        <f t="shared" si="38"/>
        <v>0.12130313990935594</v>
      </c>
      <c r="AE86" s="13">
        <f t="shared" si="39"/>
        <v>1.1138174643373414E-2</v>
      </c>
      <c r="AF86" s="13">
        <f t="shared" si="40"/>
        <v>7.4648324517994124E-3</v>
      </c>
      <c r="AG86" s="13">
        <f t="shared" si="41"/>
        <v>2.2439357471687103E-2</v>
      </c>
      <c r="AH86" s="13">
        <f t="shared" si="42"/>
        <v>0.18745720825786316</v>
      </c>
      <c r="AI86" s="13">
        <f t="shared" si="43"/>
        <v>1.4708038471063079E-2</v>
      </c>
    </row>
    <row r="87" spans="2:35" x14ac:dyDescent="0.25">
      <c r="B87" t="str">
        <f t="shared" si="45"/>
        <v>maize</v>
      </c>
      <c r="C87" s="167"/>
      <c r="E87" s="13">
        <f t="shared" si="46"/>
        <v>0.63370518754365379</v>
      </c>
      <c r="H87" s="13">
        <f t="shared" si="47"/>
        <v>1.2137481569771995</v>
      </c>
      <c r="I87" s="13"/>
      <c r="J87" s="13">
        <f t="shared" si="48"/>
        <v>30.653011136014133</v>
      </c>
      <c r="K87" s="13">
        <f t="shared" ref="K87:M87" si="57">K$81*$W30</f>
        <v>0.49675402055448348</v>
      </c>
      <c r="L87" s="13">
        <f t="shared" si="57"/>
        <v>1.1757122440365402</v>
      </c>
      <c r="M87" s="13">
        <f t="shared" si="57"/>
        <v>2.3998054491329026</v>
      </c>
      <c r="N87" s="13">
        <f t="shared" ref="N87:O87" si="58">N$81*$U30</f>
        <v>48.443585123314932</v>
      </c>
      <c r="O87" s="13">
        <f t="shared" si="58"/>
        <v>1.5906682754117496</v>
      </c>
      <c r="Q87" s="2"/>
      <c r="U87" s="110" t="str">
        <f t="shared" si="22"/>
        <v>wheat bran</v>
      </c>
      <c r="X87" s="13">
        <f t="shared" si="32"/>
        <v>0</v>
      </c>
      <c r="Y87" s="13">
        <f t="shared" si="33"/>
        <v>0.14099909828075238</v>
      </c>
      <c r="Z87" s="13">
        <f t="shared" si="34"/>
        <v>0</v>
      </c>
      <c r="AA87" s="13">
        <f t="shared" si="35"/>
        <v>0</v>
      </c>
      <c r="AB87" s="13">
        <f t="shared" si="36"/>
        <v>0.19488005713432707</v>
      </c>
      <c r="AC87" s="13">
        <f t="shared" si="37"/>
        <v>0</v>
      </c>
      <c r="AD87" s="13">
        <f t="shared" si="38"/>
        <v>1.321614002942858</v>
      </c>
      <c r="AE87" s="13">
        <f t="shared" si="39"/>
        <v>0.12135190883686281</v>
      </c>
      <c r="AF87" s="13">
        <f t="shared" si="40"/>
        <v>8.1330352250506319E-2</v>
      </c>
      <c r="AG87" s="13">
        <f t="shared" si="41"/>
        <v>0.24447981374416825</v>
      </c>
      <c r="AH87" s="13">
        <f t="shared" si="42"/>
        <v>2.0423714635193808</v>
      </c>
      <c r="AI87" s="13">
        <f t="shared" si="43"/>
        <v>0.16024605474932127</v>
      </c>
    </row>
    <row r="88" spans="2:35" x14ac:dyDescent="0.25">
      <c r="B88" t="str">
        <f t="shared" si="45"/>
        <v>peas</v>
      </c>
      <c r="C88" s="167"/>
      <c r="E88" s="13">
        <f t="shared" si="46"/>
        <v>9.9038158038215168E-2</v>
      </c>
      <c r="H88" s="13">
        <f t="shared" si="47"/>
        <v>0.18968975503458319</v>
      </c>
      <c r="I88" s="13"/>
      <c r="J88" s="13">
        <f t="shared" si="48"/>
        <v>4.7905837302722256</v>
      </c>
      <c r="K88" s="13">
        <f t="shared" ref="K88:M88" si="59">K$81*$W31</f>
        <v>7.7634843710987708E-2</v>
      </c>
      <c r="L88" s="13">
        <f t="shared" si="59"/>
        <v>0.18374533982228808</v>
      </c>
      <c r="M88" s="13">
        <f t="shared" si="59"/>
        <v>0.37505186323856926</v>
      </c>
      <c r="N88" s="13">
        <f t="shared" ref="N88:O88" si="60">N$81*$U31</f>
        <v>7.570970750574916</v>
      </c>
      <c r="O88" s="13">
        <f t="shared" si="60"/>
        <v>0.2485964438088995</v>
      </c>
      <c r="Q88" s="2"/>
      <c r="U88" s="110" t="str">
        <f t="shared" si="22"/>
        <v>wheat bran, fine</v>
      </c>
      <c r="X88" s="13">
        <f t="shared" si="32"/>
        <v>0</v>
      </c>
      <c r="Y88" s="13">
        <f t="shared" si="33"/>
        <v>3.6962002826714343E-4</v>
      </c>
      <c r="Z88" s="13">
        <f t="shared" si="34"/>
        <v>0</v>
      </c>
      <c r="AA88" s="13">
        <f t="shared" si="35"/>
        <v>0</v>
      </c>
      <c r="AB88" s="13">
        <f t="shared" si="36"/>
        <v>5.108654814463125E-4</v>
      </c>
      <c r="AC88" s="13">
        <f t="shared" si="37"/>
        <v>0</v>
      </c>
      <c r="AD88" s="13">
        <f t="shared" si="38"/>
        <v>3.4645257386917328E-3</v>
      </c>
      <c r="AE88" s="13">
        <f t="shared" si="39"/>
        <v>3.1811619025563673E-4</v>
      </c>
      <c r="AF88" s="13">
        <f t="shared" si="40"/>
        <v>2.1320226486804789E-4</v>
      </c>
      <c r="AG88" s="13">
        <f t="shared" si="41"/>
        <v>6.4088803948898038E-4</v>
      </c>
      <c r="AH88" s="13">
        <f t="shared" si="42"/>
        <v>5.3539448640650723E-3</v>
      </c>
      <c r="AI88" s="13">
        <f t="shared" si="43"/>
        <v>4.2007468138700703E-4</v>
      </c>
    </row>
    <row r="89" spans="2:35" x14ac:dyDescent="0.25">
      <c r="B89" t="str">
        <f t="shared" si="45"/>
        <v>broad beans</v>
      </c>
      <c r="E89" s="13">
        <f t="shared" si="46"/>
        <v>0.34032449187566977</v>
      </c>
      <c r="H89" s="13">
        <f t="shared" si="47"/>
        <v>0.65183027203772292</v>
      </c>
      <c r="I89" s="13"/>
      <c r="J89" s="13">
        <f t="shared" si="48"/>
        <v>16.461866881284816</v>
      </c>
      <c r="K89" s="13">
        <f t="shared" ref="K89:M89" si="61">K$81*$W32</f>
        <v>0.26677635429764379</v>
      </c>
      <c r="L89" s="13">
        <f t="shared" si="61"/>
        <v>0.63140349788627192</v>
      </c>
      <c r="M89" s="13">
        <f t="shared" si="61"/>
        <v>1.2887894657172236</v>
      </c>
      <c r="N89" s="13">
        <f t="shared" ref="N89:O89" si="62">N$81*$U32</f>
        <v>26.016101518171983</v>
      </c>
      <c r="O89" s="13">
        <f t="shared" si="62"/>
        <v>0.8542511300413812</v>
      </c>
      <c r="Q89" s="2"/>
      <c r="U89" s="110" t="str">
        <f t="shared" si="22"/>
        <v>oat hulls</v>
      </c>
      <c r="X89" s="13">
        <f t="shared" si="32"/>
        <v>0</v>
      </c>
      <c r="Y89" s="13">
        <f t="shared" si="33"/>
        <v>1.698197038402606E-2</v>
      </c>
      <c r="Z89" s="13">
        <f t="shared" si="34"/>
        <v>0</v>
      </c>
      <c r="AA89" s="13">
        <f t="shared" si="35"/>
        <v>0</v>
      </c>
      <c r="AB89" s="13">
        <f t="shared" si="36"/>
        <v>2.3471407966757316E-2</v>
      </c>
      <c r="AC89" s="13">
        <f t="shared" si="37"/>
        <v>0</v>
      </c>
      <c r="AD89" s="13">
        <f t="shared" si="38"/>
        <v>0.15917555594859789</v>
      </c>
      <c r="AE89" s="13">
        <f t="shared" si="39"/>
        <v>1.4615657454838853E-2</v>
      </c>
      <c r="AF89" s="13">
        <f t="shared" si="40"/>
        <v>9.7954501133788105E-3</v>
      </c>
      <c r="AG89" s="13">
        <f t="shared" si="41"/>
        <v>2.9445216367475335E-2</v>
      </c>
      <c r="AH89" s="13">
        <f t="shared" si="42"/>
        <v>0.24598378379417407</v>
      </c>
      <c r="AI89" s="13">
        <f t="shared" si="43"/>
        <v>1.9300079142998843E-2</v>
      </c>
    </row>
    <row r="90" spans="2:35" x14ac:dyDescent="0.25">
      <c r="B90" t="str">
        <f t="shared" si="45"/>
        <v>rapeseed</v>
      </c>
      <c r="E90" s="13">
        <f t="shared" si="46"/>
        <v>5.3874879689977409</v>
      </c>
      <c r="H90" s="13">
        <f t="shared" si="47"/>
        <v>10.318762922636468</v>
      </c>
      <c r="I90" s="13"/>
      <c r="J90" s="13">
        <f t="shared" si="48"/>
        <v>260.59866946797524</v>
      </c>
      <c r="K90" s="13">
        <f t="shared" ref="K90:M90" si="63">K$81*$W33</f>
        <v>4.2231882615039797</v>
      </c>
      <c r="L90" s="13">
        <f t="shared" si="63"/>
        <v>9.9953980088159842</v>
      </c>
      <c r="M90" s="13">
        <f t="shared" si="63"/>
        <v>20.402110065176174</v>
      </c>
      <c r="N90" s="13">
        <f t="shared" ref="N90:O90" si="64">N$81*$U33</f>
        <v>411.84645030067469</v>
      </c>
      <c r="O90" s="13">
        <f t="shared" si="64"/>
        <v>13.523175073987931</v>
      </c>
      <c r="Q90" s="2"/>
      <c r="U90" s="110" t="str">
        <f t="shared" si="22"/>
        <v>oat bran</v>
      </c>
      <c r="X90" s="13">
        <f t="shared" si="32"/>
        <v>0</v>
      </c>
      <c r="Y90" s="13">
        <f t="shared" si="33"/>
        <v>1.9166071484036143E-3</v>
      </c>
      <c r="Z90" s="13">
        <f t="shared" si="34"/>
        <v>0</v>
      </c>
      <c r="AA90" s="13">
        <f t="shared" si="35"/>
        <v>0</v>
      </c>
      <c r="AB90" s="13">
        <f t="shared" si="36"/>
        <v>2.6490134698680073E-3</v>
      </c>
      <c r="AC90" s="13">
        <f t="shared" si="37"/>
        <v>0</v>
      </c>
      <c r="AD90" s="13">
        <f t="shared" si="38"/>
        <v>1.7964759181842063E-2</v>
      </c>
      <c r="AE90" s="13">
        <f t="shared" si="39"/>
        <v>1.6495420097371271E-3</v>
      </c>
      <c r="AF90" s="13">
        <f t="shared" si="40"/>
        <v>1.1055271729123049E-3</v>
      </c>
      <c r="AG90" s="13">
        <f t="shared" si="41"/>
        <v>3.3232252147418258E-3</v>
      </c>
      <c r="AH90" s="13">
        <f t="shared" si="42"/>
        <v>2.77620480868788E-2</v>
      </c>
      <c r="AI90" s="13">
        <f t="shared" si="43"/>
        <v>2.178231902054312E-3</v>
      </c>
    </row>
    <row r="91" spans="2:35" x14ac:dyDescent="0.25">
      <c r="B91" t="str">
        <f t="shared" si="45"/>
        <v>linseed</v>
      </c>
      <c r="C91" s="93"/>
      <c r="E91" s="13">
        <f t="shared" si="46"/>
        <v>3.9741278514404295E-3</v>
      </c>
      <c r="H91" s="13">
        <f t="shared" si="47"/>
        <v>7.6117261624046575E-3</v>
      </c>
      <c r="I91" s="13"/>
      <c r="J91" s="13">
        <f t="shared" si="48"/>
        <v>0.19223289895785448</v>
      </c>
      <c r="K91" s="13">
        <f t="shared" ref="K91:M91" si="65">K$81*$W34</f>
        <v>3.1152719390743367E-3</v>
      </c>
      <c r="L91" s="13">
        <f t="shared" si="65"/>
        <v>7.3731931916420895E-3</v>
      </c>
      <c r="M91" s="13">
        <f t="shared" si="65"/>
        <v>1.5049795805530782E-2</v>
      </c>
      <c r="N91" s="13">
        <f t="shared" ref="N91:O91" si="66">N$81*$U34</f>
        <v>0.30380215381924586</v>
      </c>
      <c r="O91" s="13">
        <f t="shared" si="66"/>
        <v>9.9754889497114668E-3</v>
      </c>
      <c r="Q91" s="2"/>
      <c r="T91" s="6"/>
      <c r="U91" s="110" t="str">
        <f t="shared" si="22"/>
        <v>rye bran</v>
      </c>
      <c r="X91" s="13">
        <f t="shared" si="32"/>
        <v>0</v>
      </c>
      <c r="Y91" s="13">
        <f t="shared" si="33"/>
        <v>5.9108372219059966E-3</v>
      </c>
      <c r="Z91" s="13">
        <f t="shared" si="34"/>
        <v>0</v>
      </c>
      <c r="AA91" s="13">
        <f t="shared" si="35"/>
        <v>0</v>
      </c>
      <c r="AB91" s="13">
        <f t="shared" si="36"/>
        <v>8.1695862566661028E-3</v>
      </c>
      <c r="AC91" s="13">
        <f t="shared" si="37"/>
        <v>0</v>
      </c>
      <c r="AD91" s="13">
        <f t="shared" si="38"/>
        <v>5.5403512056737859E-2</v>
      </c>
      <c r="AE91" s="13">
        <f t="shared" si="39"/>
        <v>5.0872054392434975E-3</v>
      </c>
      <c r="AF91" s="13">
        <f t="shared" si="40"/>
        <v>3.4094577852959427E-3</v>
      </c>
      <c r="AG91" s="13">
        <f t="shared" si="41"/>
        <v>1.0248862586385358E-2</v>
      </c>
      <c r="AH91" s="13">
        <f t="shared" si="42"/>
        <v>8.5618457243544915E-2</v>
      </c>
      <c r="AI91" s="13">
        <f t="shared" si="43"/>
        <v>6.7176907982054394E-3</v>
      </c>
    </row>
    <row r="92" spans="2:35" x14ac:dyDescent="0.25">
      <c r="B92" t="str">
        <f t="shared" si="45"/>
        <v>vegetable oils</v>
      </c>
      <c r="E92" s="13">
        <f t="shared" si="46"/>
        <v>0.10259981586915692</v>
      </c>
      <c r="H92" s="13">
        <f t="shared" si="47"/>
        <v>0.19651146915822082</v>
      </c>
      <c r="I92" s="13"/>
      <c r="J92" s="13">
        <f t="shared" si="48"/>
        <v>4.962865004436499</v>
      </c>
      <c r="K92" s="13">
        <f t="shared" ref="K92:M92" si="67">K$81*$W35</f>
        <v>8.0426785266993678E-2</v>
      </c>
      <c r="L92" s="13">
        <f t="shared" si="67"/>
        <v>0.19035327802954535</v>
      </c>
      <c r="M92" s="13">
        <f t="shared" si="67"/>
        <v>0.38853965857092504</v>
      </c>
      <c r="N92" s="13">
        <f t="shared" ref="N92:O92" si="68">N$81*$U35</f>
        <v>7.8432416388441766</v>
      </c>
      <c r="O92" s="13">
        <f t="shared" si="68"/>
        <v>0.25753658858112555</v>
      </c>
      <c r="Q92" s="2"/>
      <c r="U92" s="110" t="str">
        <f t="shared" si="22"/>
        <v>wheat distillers grain, dry</v>
      </c>
      <c r="X92" s="13">
        <f t="shared" si="32"/>
        <v>0</v>
      </c>
      <c r="Y92" s="13">
        <f t="shared" si="33"/>
        <v>0.15156063572052919</v>
      </c>
      <c r="Z92" s="13">
        <f t="shared" si="34"/>
        <v>0</v>
      </c>
      <c r="AA92" s="13">
        <f t="shared" si="35"/>
        <v>0</v>
      </c>
      <c r="AB92" s="13">
        <f t="shared" si="36"/>
        <v>0.20947754779055638</v>
      </c>
      <c r="AC92" s="13">
        <f t="shared" si="37"/>
        <v>0</v>
      </c>
      <c r="AD92" s="13">
        <f t="shared" si="38"/>
        <v>1.4206094996744831</v>
      </c>
      <c r="AE92" s="13">
        <f t="shared" si="39"/>
        <v>0.13044177355370595</v>
      </c>
      <c r="AF92" s="13">
        <f t="shared" si="40"/>
        <v>8.7422402276057576E-2</v>
      </c>
      <c r="AG92" s="13">
        <f t="shared" si="41"/>
        <v>0.2627925741632976</v>
      </c>
      <c r="AH92" s="13">
        <f t="shared" si="42"/>
        <v>2.1953552977488813</v>
      </c>
      <c r="AI92" s="13">
        <f t="shared" si="43"/>
        <v>0.17224928546106344</v>
      </c>
    </row>
    <row r="93" spans="2:35" x14ac:dyDescent="0.25">
      <c r="B93" t="str">
        <f t="shared" si="45"/>
        <v>soybeans</v>
      </c>
      <c r="C93" s="110"/>
      <c r="E93" s="13">
        <f t="shared" si="46"/>
        <v>0.10026366567152895</v>
      </c>
      <c r="H93" s="13">
        <f t="shared" si="47"/>
        <v>0.19203699419331838</v>
      </c>
      <c r="I93" s="13"/>
      <c r="J93" s="13">
        <f t="shared" si="48"/>
        <v>4.8498628712192149</v>
      </c>
      <c r="K93" s="13">
        <f t="shared" ref="K93:M93" si="69">K$81*$W36</f>
        <v>7.8595504687156384E-2</v>
      </c>
      <c r="L93" s="13">
        <f t="shared" si="69"/>
        <v>0.18601902221903824</v>
      </c>
      <c r="M93" s="13">
        <f t="shared" si="69"/>
        <v>0.37969279084053531</v>
      </c>
      <c r="N93" s="13">
        <f t="shared" ref="N93:O93" si="70">N$81*$U36</f>
        <v>7.6646546662515878</v>
      </c>
      <c r="O93" s="13">
        <f t="shared" si="70"/>
        <v>0.25167259996464014</v>
      </c>
      <c r="Q93" s="2"/>
      <c r="U93" s="110" t="str">
        <f t="shared" si="22"/>
        <v>barley brewers grain</v>
      </c>
      <c r="X93" s="13">
        <f t="shared" si="32"/>
        <v>0</v>
      </c>
      <c r="Y93" s="13">
        <f t="shared" si="33"/>
        <v>0</v>
      </c>
      <c r="Z93" s="13">
        <f t="shared" si="34"/>
        <v>0</v>
      </c>
      <c r="AA93" s="13">
        <f t="shared" si="35"/>
        <v>0</v>
      </c>
      <c r="AB93" s="13">
        <f t="shared" si="36"/>
        <v>0</v>
      </c>
      <c r="AC93" s="13">
        <f t="shared" si="37"/>
        <v>0</v>
      </c>
      <c r="AD93" s="13">
        <f t="shared" si="38"/>
        <v>0</v>
      </c>
      <c r="AE93" s="13">
        <f t="shared" si="39"/>
        <v>0</v>
      </c>
      <c r="AF93" s="13">
        <f t="shared" si="40"/>
        <v>0</v>
      </c>
      <c r="AG93" s="13">
        <f t="shared" si="41"/>
        <v>0</v>
      </c>
      <c r="AH93" s="13">
        <f t="shared" si="42"/>
        <v>0</v>
      </c>
      <c r="AI93" s="13">
        <f t="shared" si="43"/>
        <v>0</v>
      </c>
    </row>
    <row r="94" spans="2:35" x14ac:dyDescent="0.25">
      <c r="B94" t="str">
        <f t="shared" si="45"/>
        <v>soybean meal</v>
      </c>
      <c r="E94" s="13">
        <f t="shared" si="46"/>
        <v>0.91587138440554061</v>
      </c>
      <c r="H94" s="13">
        <f t="shared" si="47"/>
        <v>1.7541866891752473</v>
      </c>
      <c r="I94" s="13"/>
      <c r="J94" s="13">
        <f t="shared" si="48"/>
        <v>44.301697851267441</v>
      </c>
      <c r="K94" s="13">
        <f t="shared" ref="K94:M94" si="71">K$81*$W37</f>
        <v>0.71794077349715923</v>
      </c>
      <c r="L94" s="13">
        <f t="shared" si="71"/>
        <v>1.6992147480789144</v>
      </c>
      <c r="M94" s="13">
        <f t="shared" si="71"/>
        <v>3.4683527643521224</v>
      </c>
      <c r="N94" s="13">
        <f t="shared" ref="N94:O94" si="72">N$81*$U37</f>
        <v>70.013776507710432</v>
      </c>
      <c r="O94" s="13">
        <f t="shared" si="72"/>
        <v>2.2989358208953838</v>
      </c>
      <c r="Q94" s="2"/>
      <c r="U94" s="110" t="str">
        <f t="shared" si="22"/>
        <v>maize gluten meal</v>
      </c>
      <c r="X94" s="13">
        <f t="shared" si="32"/>
        <v>0</v>
      </c>
      <c r="Y94" s="13">
        <f t="shared" si="33"/>
        <v>4.5796866038063828E-3</v>
      </c>
      <c r="Z94" s="13">
        <f t="shared" si="34"/>
        <v>0</v>
      </c>
      <c r="AA94" s="13">
        <f t="shared" si="35"/>
        <v>0</v>
      </c>
      <c r="AB94" s="13">
        <f t="shared" si="36"/>
        <v>6.3297538628935548E-3</v>
      </c>
      <c r="AC94" s="13">
        <f t="shared" si="37"/>
        <v>0</v>
      </c>
      <c r="AD94" s="13">
        <f t="shared" si="38"/>
        <v>4.2926359235494246E-2</v>
      </c>
      <c r="AE94" s="13">
        <f t="shared" si="39"/>
        <v>3.9415408894312009E-3</v>
      </c>
      <c r="AF94" s="13">
        <f t="shared" si="40"/>
        <v>2.6416305439262745E-3</v>
      </c>
      <c r="AG94" s="13">
        <f t="shared" si="41"/>
        <v>7.940766583314298E-3</v>
      </c>
      <c r="AH94" s="13">
        <f t="shared" si="42"/>
        <v>6.6336745025503241E-2</v>
      </c>
      <c r="AI94" s="13">
        <f t="shared" si="43"/>
        <v>5.2048326492629164E-3</v>
      </c>
    </row>
    <row r="95" spans="2:35" x14ac:dyDescent="0.25">
      <c r="B95" t="str">
        <f t="shared" si="45"/>
        <v>soybean protein concentrate</v>
      </c>
      <c r="E95" s="13">
        <f t="shared" si="46"/>
        <v>0</v>
      </c>
      <c r="H95" s="13">
        <f t="shared" si="47"/>
        <v>0</v>
      </c>
      <c r="I95" s="13"/>
      <c r="J95" s="13">
        <f t="shared" si="48"/>
        <v>0</v>
      </c>
      <c r="K95" s="13">
        <f t="shared" ref="K95:M95" si="73">K$81*$W38</f>
        <v>0</v>
      </c>
      <c r="L95" s="13">
        <f t="shared" si="73"/>
        <v>0</v>
      </c>
      <c r="M95" s="13">
        <f t="shared" si="73"/>
        <v>0</v>
      </c>
      <c r="N95" s="13">
        <f t="shared" ref="N95:O95" si="74">N$81*$U38</f>
        <v>0</v>
      </c>
      <c r="O95" s="13">
        <f t="shared" si="74"/>
        <v>0</v>
      </c>
      <c r="Q95" s="2"/>
      <c r="U95" s="110" t="str">
        <f t="shared" si="22"/>
        <v>sugar beet molasses</v>
      </c>
      <c r="X95" s="13">
        <f t="shared" si="32"/>
        <v>0</v>
      </c>
      <c r="Y95" s="13">
        <f t="shared" si="33"/>
        <v>5.078594708304953E-2</v>
      </c>
      <c r="Z95" s="13">
        <f t="shared" si="34"/>
        <v>0</v>
      </c>
      <c r="AA95" s="13">
        <f t="shared" si="35"/>
        <v>0</v>
      </c>
      <c r="AB95" s="13">
        <f t="shared" si="36"/>
        <v>7.0193131657187727E-2</v>
      </c>
      <c r="AC95" s="13">
        <f t="shared" si="37"/>
        <v>0</v>
      </c>
      <c r="AD95" s="13">
        <f t="shared" si="38"/>
        <v>0.47602729121024218</v>
      </c>
      <c r="AE95" s="13">
        <f t="shared" si="39"/>
        <v>4.3709298114406915E-2</v>
      </c>
      <c r="AF95" s="13">
        <f t="shared" si="40"/>
        <v>2.929408071401712E-2</v>
      </c>
      <c r="AG95" s="13">
        <f t="shared" si="41"/>
        <v>8.8058285727207697E-2</v>
      </c>
      <c r="AH95" s="13">
        <f t="shared" si="42"/>
        <v>0.73563427238161927</v>
      </c>
      <c r="AI95" s="13">
        <f t="shared" si="43"/>
        <v>5.7718437607039867E-2</v>
      </c>
    </row>
    <row r="96" spans="2:35" x14ac:dyDescent="0.25">
      <c r="B96" t="str">
        <f t="shared" si="45"/>
        <v>rapeseed meal</v>
      </c>
      <c r="E96" s="13">
        <f t="shared" si="46"/>
        <v>7.0738541923867215</v>
      </c>
      <c r="H96" s="13">
        <f t="shared" si="47"/>
        <v>13.548693710422512</v>
      </c>
      <c r="I96" s="13"/>
      <c r="J96" s="13">
        <f t="shared" si="48"/>
        <v>342.17004309883987</v>
      </c>
      <c r="K96" s="13">
        <f t="shared" ref="K96:M96" si="75">K$81*$W39</f>
        <v>5.5451108495813406</v>
      </c>
      <c r="L96" s="13">
        <f t="shared" si="75"/>
        <v>13.124110627460128</v>
      </c>
      <c r="M96" s="13">
        <f t="shared" si="75"/>
        <v>26.788282897071714</v>
      </c>
      <c r="N96" s="13">
        <f t="shared" ref="N96:O96" si="76">N$81*$U39</f>
        <v>540.76069512244305</v>
      </c>
      <c r="O96" s="13">
        <f t="shared" si="76"/>
        <v>17.756135928653478</v>
      </c>
      <c r="Q96" s="2"/>
      <c r="U96" s="110" t="str">
        <f t="shared" si="22"/>
        <v>sugar beet pulp</v>
      </c>
      <c r="X96" s="13">
        <f t="shared" si="32"/>
        <v>0</v>
      </c>
      <c r="Y96" s="13">
        <f t="shared" si="33"/>
        <v>9.7995501841553825E-2</v>
      </c>
      <c r="Z96" s="13">
        <f t="shared" si="34"/>
        <v>0</v>
      </c>
      <c r="AA96" s="13">
        <f t="shared" si="35"/>
        <v>0</v>
      </c>
      <c r="AB96" s="13">
        <f t="shared" si="36"/>
        <v>0.13544319950020575</v>
      </c>
      <c r="AC96" s="13">
        <f t="shared" si="37"/>
        <v>0</v>
      </c>
      <c r="AD96" s="13">
        <f t="shared" si="38"/>
        <v>0.91853231005300495</v>
      </c>
      <c r="AE96" s="13">
        <f t="shared" si="39"/>
        <v>8.4340547924782114E-2</v>
      </c>
      <c r="AF96" s="13">
        <f t="shared" si="40"/>
        <v>5.6525245770502136E-2</v>
      </c>
      <c r="AG96" s="13">
        <f t="shared" si="41"/>
        <v>0.16991542733333806</v>
      </c>
      <c r="AH96" s="13">
        <f t="shared" si="42"/>
        <v>1.4194645139923689</v>
      </c>
      <c r="AI96" s="13">
        <f t="shared" si="43"/>
        <v>0.11137229063707067</v>
      </c>
    </row>
    <row r="97" spans="2:35" x14ac:dyDescent="0.25">
      <c r="B97" t="str">
        <f t="shared" si="45"/>
        <v>sunflower seed meal</v>
      </c>
      <c r="C97" s="110"/>
      <c r="E97" s="13">
        <f t="shared" si="46"/>
        <v>9.7718448659177101E-2</v>
      </c>
      <c r="H97" s="13">
        <f t="shared" si="47"/>
        <v>0.18716208939756701</v>
      </c>
      <c r="I97" s="13"/>
      <c r="J97" s="13">
        <f t="shared" si="48"/>
        <v>4.7267479481339114</v>
      </c>
      <c r="K97" s="13">
        <f t="shared" ref="K97:M97" si="77">K$81*$W40</f>
        <v>7.6600339097664727E-2</v>
      </c>
      <c r="L97" s="13">
        <f t="shared" si="77"/>
        <v>0.18129688507392289</v>
      </c>
      <c r="M97" s="13">
        <f t="shared" si="77"/>
        <v>0.37005419899131364</v>
      </c>
      <c r="N97" s="13">
        <f t="shared" ref="N97:O97" si="78">N$81*$U40</f>
        <v>7.4700855836264219</v>
      </c>
      <c r="O97" s="13">
        <f t="shared" si="78"/>
        <v>0.24528383112517485</v>
      </c>
      <c r="Q97" s="2"/>
      <c r="U97" s="110" t="str">
        <f t="shared" si="22"/>
        <v>whey powder</v>
      </c>
      <c r="X97" s="13">
        <f t="shared" si="32"/>
        <v>0</v>
      </c>
      <c r="Y97" s="13">
        <f t="shared" si="33"/>
        <v>0</v>
      </c>
      <c r="Z97" s="13">
        <f t="shared" si="34"/>
        <v>0</v>
      </c>
      <c r="AA97" s="13">
        <f t="shared" si="35"/>
        <v>0</v>
      </c>
      <c r="AB97" s="13">
        <f t="shared" si="36"/>
        <v>0</v>
      </c>
      <c r="AC97" s="13">
        <f t="shared" si="37"/>
        <v>0</v>
      </c>
      <c r="AD97" s="13">
        <f t="shared" si="38"/>
        <v>0</v>
      </c>
      <c r="AE97" s="13">
        <f t="shared" si="39"/>
        <v>0</v>
      </c>
      <c r="AF97" s="13">
        <f t="shared" si="40"/>
        <v>0</v>
      </c>
      <c r="AG97" s="13">
        <f t="shared" si="41"/>
        <v>0</v>
      </c>
      <c r="AH97" s="13">
        <f t="shared" si="42"/>
        <v>0</v>
      </c>
      <c r="AI97" s="13">
        <f t="shared" si="43"/>
        <v>0</v>
      </c>
    </row>
    <row r="98" spans="2:35" x14ac:dyDescent="0.25">
      <c r="B98" t="str">
        <f t="shared" si="45"/>
        <v>palm kernel expeller</v>
      </c>
      <c r="E98" s="13">
        <f t="shared" si="46"/>
        <v>0.63496657944929369</v>
      </c>
      <c r="H98" s="13">
        <f t="shared" si="47"/>
        <v>1.2161641259968488</v>
      </c>
      <c r="I98" s="13"/>
      <c r="J98" s="13">
        <f t="shared" si="48"/>
        <v>30.714026038354344</v>
      </c>
      <c r="K98" s="13">
        <f t="shared" ref="K98:M98" si="79">K$81*$W41</f>
        <v>0.49774281078839389</v>
      </c>
      <c r="L98" s="13">
        <f t="shared" si="79"/>
        <v>1.1780525024676538</v>
      </c>
      <c r="M98" s="13">
        <f t="shared" si="79"/>
        <v>2.4045822684301856</v>
      </c>
      <c r="N98" s="13">
        <f t="shared" ref="N98:O98" si="80">N$81*$U41</f>
        <v>48.540012211740056</v>
      </c>
      <c r="O98" s="13">
        <f t="shared" si="80"/>
        <v>1.5938345049560272</v>
      </c>
      <c r="Q98" s="2"/>
      <c r="U98" s="110" t="str">
        <f t="shared" si="22"/>
        <v>potatoe protein</v>
      </c>
      <c r="X98" s="13">
        <f t="shared" si="32"/>
        <v>0</v>
      </c>
      <c r="Y98" s="13">
        <f t="shared" si="33"/>
        <v>4.4864855896685517E-4</v>
      </c>
      <c r="Z98" s="13">
        <f t="shared" si="34"/>
        <v>0</v>
      </c>
      <c r="AA98" s="13">
        <f t="shared" si="35"/>
        <v>0</v>
      </c>
      <c r="AB98" s="13">
        <f t="shared" si="36"/>
        <v>6.2009373017834091E-4</v>
      </c>
      <c r="AC98" s="13">
        <f t="shared" si="37"/>
        <v>0</v>
      </c>
      <c r="AD98" s="13">
        <f t="shared" si="38"/>
        <v>4.2052766660258274E-3</v>
      </c>
      <c r="AE98" s="13">
        <f t="shared" si="39"/>
        <v>3.8613267525390842E-4</v>
      </c>
      <c r="AF98" s="13">
        <f t="shared" si="40"/>
        <v>2.5878708291312121E-4</v>
      </c>
      <c r="AG98" s="13">
        <f t="shared" si="41"/>
        <v>7.7791643684418715E-4</v>
      </c>
      <c r="AH98" s="13">
        <f t="shared" si="42"/>
        <v>6.4986728649744927E-3</v>
      </c>
      <c r="AI98" s="13">
        <f t="shared" si="43"/>
        <v>5.0989093136080688E-4</v>
      </c>
    </row>
    <row r="99" spans="2:35" x14ac:dyDescent="0.25">
      <c r="B99" t="str">
        <f t="shared" si="45"/>
        <v>luzern meal</v>
      </c>
      <c r="C99" s="93"/>
      <c r="E99" s="13">
        <f t="shared" si="46"/>
        <v>0.193149861229582</v>
      </c>
      <c r="H99" s="13">
        <f t="shared" si="47"/>
        <v>0.36994377306033582</v>
      </c>
      <c r="I99" s="13"/>
      <c r="J99" s="13">
        <f t="shared" si="48"/>
        <v>9.3428694660671532</v>
      </c>
      <c r="K99" s="13">
        <f t="shared" ref="K99:M99" si="81">K$81*$W42</f>
        <v>0.15140789758601414</v>
      </c>
      <c r="L99" s="13">
        <f t="shared" si="81"/>
        <v>0.35835063566673864</v>
      </c>
      <c r="M99" s="13">
        <f t="shared" si="81"/>
        <v>0.73144752258491552</v>
      </c>
      <c r="N99" s="13">
        <f t="shared" ref="N99:O99" si="82">N$81*$U42</f>
        <v>14.76533872209648</v>
      </c>
      <c r="O99" s="13">
        <f t="shared" si="82"/>
        <v>0.48482695533704057</v>
      </c>
      <c r="Q99" s="2"/>
      <c r="U99" s="110" t="str">
        <f t="shared" si="22"/>
        <v>fish meal</v>
      </c>
      <c r="X99" s="13">
        <f t="shared" si="32"/>
        <v>0</v>
      </c>
      <c r="Y99" s="13">
        <f t="shared" si="33"/>
        <v>0</v>
      </c>
      <c r="Z99" s="13">
        <f t="shared" si="34"/>
        <v>0</v>
      </c>
      <c r="AA99" s="13">
        <f t="shared" si="35"/>
        <v>0</v>
      </c>
      <c r="AB99" s="13">
        <f t="shared" si="36"/>
        <v>0</v>
      </c>
      <c r="AC99" s="13">
        <f t="shared" si="37"/>
        <v>0</v>
      </c>
      <c r="AD99" s="13">
        <f t="shared" si="38"/>
        <v>0</v>
      </c>
      <c r="AE99" s="13">
        <f t="shared" si="39"/>
        <v>0</v>
      </c>
      <c r="AF99" s="13">
        <f t="shared" si="40"/>
        <v>0</v>
      </c>
      <c r="AG99" s="13">
        <f t="shared" si="41"/>
        <v>0</v>
      </c>
      <c r="AH99" s="13">
        <f t="shared" si="42"/>
        <v>0</v>
      </c>
      <c r="AI99" s="13">
        <f t="shared" si="43"/>
        <v>0</v>
      </c>
    </row>
    <row r="100" spans="2:35" x14ac:dyDescent="0.25">
      <c r="B100" t="str">
        <f t="shared" si="45"/>
        <v>wheat bran</v>
      </c>
      <c r="C100" s="161"/>
      <c r="E100" s="13">
        <f t="shared" si="46"/>
        <v>2.1043936822924469</v>
      </c>
      <c r="H100" s="13">
        <f t="shared" si="47"/>
        <v>4.0305870989275583</v>
      </c>
      <c r="I100" s="13"/>
      <c r="J100" s="13">
        <f t="shared" si="48"/>
        <v>101.7918177818681</v>
      </c>
      <c r="K100" s="13">
        <f t="shared" ref="K100:M100" si="83">K$81*$W43</f>
        <v>1.6496093815489172</v>
      </c>
      <c r="L100" s="13">
        <f t="shared" si="83"/>
        <v>3.9042783098156884</v>
      </c>
      <c r="M100" s="13">
        <f t="shared" si="83"/>
        <v>7.9692190077556866</v>
      </c>
      <c r="N100" s="13">
        <f t="shared" ref="N100:O100" si="84">N$81*$U43</f>
        <v>160.8703486809909</v>
      </c>
      <c r="O100" s="13">
        <f t="shared" si="84"/>
        <v>5.2822548011237753</v>
      </c>
      <c r="Q100" s="2"/>
      <c r="U100" s="110" t="str">
        <f t="shared" si="22"/>
        <v>minerals</v>
      </c>
      <c r="X100" s="13">
        <f t="shared" si="32"/>
        <v>0.72076306579348492</v>
      </c>
      <c r="Y100" s="13">
        <f t="shared" si="33"/>
        <v>0.6316938527980368</v>
      </c>
      <c r="Z100" s="13">
        <f t="shared" si="34"/>
        <v>0.71937677297698155</v>
      </c>
      <c r="AA100" s="13">
        <f t="shared" si="35"/>
        <v>0.70094215439405494</v>
      </c>
      <c r="AB100" s="13">
        <f t="shared" si="36"/>
        <v>0.59452761799360676</v>
      </c>
      <c r="AC100" s="13">
        <f t="shared" si="37"/>
        <v>0.57755060787201484</v>
      </c>
      <c r="AD100" s="13">
        <f t="shared" si="38"/>
        <v>0.66022570674046432</v>
      </c>
      <c r="AE100" s="13">
        <f t="shared" si="39"/>
        <v>0.69363540132779178</v>
      </c>
      <c r="AF100" s="13">
        <f t="shared" si="40"/>
        <v>0.72908796527420217</v>
      </c>
      <c r="AG100" s="13">
        <f t="shared" si="41"/>
        <v>0.66953698870828937</v>
      </c>
      <c r="AH100" s="13">
        <f t="shared" si="42"/>
        <v>0.83716818155279793</v>
      </c>
      <c r="AI100" s="13">
        <f t="shared" si="43"/>
        <v>0.66740688157168271</v>
      </c>
    </row>
    <row r="101" spans="2:35" x14ac:dyDescent="0.25">
      <c r="B101" t="str">
        <f t="shared" si="45"/>
        <v>wheat bran, fine</v>
      </c>
      <c r="E101" s="13">
        <f t="shared" si="46"/>
        <v>5.5165321042362466E-3</v>
      </c>
      <c r="H101" s="13">
        <f t="shared" si="47"/>
        <v>1.056592372294736E-2</v>
      </c>
      <c r="I101" s="13"/>
      <c r="J101" s="13">
        <f t="shared" si="48"/>
        <v>0.26684067504447334</v>
      </c>
      <c r="K101" s="13">
        <f t="shared" ref="K101:M101" si="85">K$81*$W44</f>
        <v>4.3243444367550904E-3</v>
      </c>
      <c r="L101" s="13">
        <f t="shared" si="85"/>
        <v>1.0234813391241849E-2</v>
      </c>
      <c r="M101" s="13">
        <f t="shared" si="85"/>
        <v>2.0890792854920067E-2</v>
      </c>
      <c r="N101" s="13">
        <f t="shared" ref="N101:O101" si="86">N$81*$U44</f>
        <v>0.42171122760243929</v>
      </c>
      <c r="O101" s="13">
        <f t="shared" si="86"/>
        <v>1.3847089752432463E-2</v>
      </c>
      <c r="Q101" s="2"/>
    </row>
    <row r="102" spans="2:35" x14ac:dyDescent="0.25">
      <c r="B102" t="str">
        <f t="shared" si="45"/>
        <v>oat hulls</v>
      </c>
      <c r="E102" s="13">
        <f t="shared" si="46"/>
        <v>0.25345375697271577</v>
      </c>
      <c r="H102" s="13">
        <f t="shared" si="47"/>
        <v>0.48544502467622502</v>
      </c>
      <c r="I102" s="13"/>
      <c r="J102" s="13">
        <f t="shared" si="48"/>
        <v>12.25983467969337</v>
      </c>
      <c r="K102" s="13">
        <f t="shared" ref="K102:M102" si="87">K$81*$W45</f>
        <v>0.19867941004059148</v>
      </c>
      <c r="L102" s="13">
        <f t="shared" si="87"/>
        <v>0.47023235919045736</v>
      </c>
      <c r="M102" s="13">
        <f t="shared" si="87"/>
        <v>0.95981494083071583</v>
      </c>
      <c r="N102" s="13">
        <f t="shared" ref="N102:O102" si="88">N$81*$U45</f>
        <v>19.375269276750132</v>
      </c>
      <c r="O102" s="13">
        <f t="shared" si="88"/>
        <v>0.63619622882232796</v>
      </c>
      <c r="Q102" s="2"/>
      <c r="X102" s="2">
        <f>SUM(X63:X100)</f>
        <v>100</v>
      </c>
      <c r="Y102" s="2">
        <f t="shared" ref="Y102:AI102" si="89">SUM(Y63:Y100)</f>
        <v>100</v>
      </c>
      <c r="Z102" s="2">
        <f t="shared" si="89"/>
        <v>100</v>
      </c>
      <c r="AA102" s="2">
        <f t="shared" si="89"/>
        <v>100</v>
      </c>
      <c r="AB102" s="2">
        <f t="shared" si="89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89"/>
        <v>100.00000000000001</v>
      </c>
      <c r="AF102" s="2">
        <f t="shared" si="89"/>
        <v>100.00000000000001</v>
      </c>
      <c r="AG102" s="2">
        <f t="shared" si="89"/>
        <v>99.999999999999972</v>
      </c>
      <c r="AH102" s="2">
        <f t="shared" si="89"/>
        <v>100.00000000000003</v>
      </c>
      <c r="AI102" s="2">
        <f t="shared" si="89"/>
        <v>99.999999999999986</v>
      </c>
    </row>
    <row r="103" spans="2:35" x14ac:dyDescent="0.25">
      <c r="B103" t="str">
        <f t="shared" si="45"/>
        <v>oat bran</v>
      </c>
      <c r="D103" s="166"/>
      <c r="E103" s="13">
        <f t="shared" si="46"/>
        <v>2.8605118924279593E-2</v>
      </c>
      <c r="H103" s="13">
        <f t="shared" si="47"/>
        <v>5.4787953541987171E-2</v>
      </c>
      <c r="I103" s="13"/>
      <c r="J103" s="13">
        <f t="shared" si="48"/>
        <v>1.3836608034276965</v>
      </c>
      <c r="K103" s="13">
        <f t="shared" ref="K103:M103" si="90">K$81*$W46</f>
        <v>2.2423215263795156E-2</v>
      </c>
      <c r="L103" s="13">
        <f t="shared" si="90"/>
        <v>5.307103243348487E-2</v>
      </c>
      <c r="M103" s="13">
        <f t="shared" si="90"/>
        <v>0.10832595600750396</v>
      </c>
      <c r="N103" s="13">
        <f t="shared" ref="N103:O103" si="91">N$81*$U46</f>
        <v>2.1867179578286584</v>
      </c>
      <c r="O103" s="13">
        <f t="shared" si="91"/>
        <v>7.1801929480177093E-2</v>
      </c>
      <c r="Q103" s="2"/>
    </row>
    <row r="104" spans="2:35" x14ac:dyDescent="0.25">
      <c r="B104" t="str">
        <f t="shared" si="45"/>
        <v>rye bran</v>
      </c>
      <c r="E104" s="13">
        <f t="shared" si="46"/>
        <v>8.8218496845068217E-2</v>
      </c>
      <c r="H104" s="13">
        <f t="shared" si="47"/>
        <v>0.16896664263084388</v>
      </c>
      <c r="I104" s="13"/>
      <c r="J104" s="13">
        <f t="shared" si="48"/>
        <v>4.2672249168041159</v>
      </c>
      <c r="K104" s="13">
        <f t="shared" ref="K104:M104" si="92">K$81*$W47</f>
        <v>6.9153438943628409E-2</v>
      </c>
      <c r="L104" s="13">
        <f t="shared" si="92"/>
        <v>0.16367163932061185</v>
      </c>
      <c r="M104" s="13">
        <f t="shared" si="92"/>
        <v>0.3340784225922479</v>
      </c>
      <c r="N104" s="13">
        <f t="shared" ref="N104:O104" si="93">N$81*$U47</f>
        <v>6.7438618862032884</v>
      </c>
      <c r="O104" s="13">
        <f t="shared" si="93"/>
        <v>0.22143792885756514</v>
      </c>
      <c r="Q104" s="2"/>
      <c r="U104" s="6"/>
      <c r="V104" s="6"/>
      <c r="W104" s="185" t="s">
        <v>535</v>
      </c>
      <c r="X104" s="72">
        <f t="shared" ref="X104:AI104" si="94">SUM(X63:X68)</f>
        <v>99.279236934206509</v>
      </c>
      <c r="Y104" s="72">
        <f t="shared" si="94"/>
        <v>76.548062838849447</v>
      </c>
      <c r="Z104" s="72">
        <f t="shared" si="94"/>
        <v>99.280623227023014</v>
      </c>
      <c r="AA104" s="72">
        <f t="shared" si="94"/>
        <v>99.299057845605944</v>
      </c>
      <c r="AB104" s="72">
        <f t="shared" si="94"/>
        <v>60.138713626619086</v>
      </c>
      <c r="AC104" s="72">
        <f t="shared" si="94"/>
        <v>69.161685292673766</v>
      </c>
      <c r="AD104" s="72">
        <f t="shared" si="94"/>
        <v>61.18149494798412</v>
      </c>
      <c r="AE104" s="72">
        <f t="shared" si="94"/>
        <v>83.612049681667827</v>
      </c>
      <c r="AF104" s="72">
        <f t="shared" si="94"/>
        <v>93.643850586069149</v>
      </c>
      <c r="AG104" s="72">
        <f t="shared" si="94"/>
        <v>65.065884609325579</v>
      </c>
      <c r="AH104" s="72">
        <f t="shared" si="94"/>
        <v>59.012435259628177</v>
      </c>
      <c r="AI104" s="72">
        <f t="shared" si="94"/>
        <v>69.895702506416228</v>
      </c>
    </row>
    <row r="105" spans="2:35" x14ac:dyDescent="0.25">
      <c r="B105" t="str">
        <f t="shared" si="45"/>
        <v>wheat distillers grain, dry</v>
      </c>
      <c r="E105" s="13">
        <f t="shared" si="46"/>
        <v>2.2620232908116913</v>
      </c>
      <c r="H105" s="13">
        <f t="shared" si="47"/>
        <v>4.3324982250883979</v>
      </c>
      <c r="I105" s="13"/>
      <c r="J105" s="13">
        <f t="shared" si="48"/>
        <v>109.41653388058727</v>
      </c>
      <c r="K105" s="13">
        <f t="shared" ref="K105:M105" si="95">K$81*$W48</f>
        <v>1.773173372075616</v>
      </c>
      <c r="L105" s="13">
        <f t="shared" si="95"/>
        <v>4.1967282761432809</v>
      </c>
      <c r="M105" s="13">
        <f t="shared" si="95"/>
        <v>8.5661533565740164</v>
      </c>
      <c r="N105" s="13">
        <f t="shared" ref="N105:O105" si="96">N$81*$U48</f>
        <v>172.92034212960976</v>
      </c>
      <c r="O105" s="13">
        <f t="shared" si="96"/>
        <v>5.677922096367217</v>
      </c>
      <c r="Q105" s="2"/>
    </row>
    <row r="106" spans="2:35" x14ac:dyDescent="0.25">
      <c r="B106" t="str">
        <f t="shared" si="45"/>
        <v>barley brewers grain</v>
      </c>
      <c r="E106" s="13">
        <f t="shared" si="46"/>
        <v>0</v>
      </c>
      <c r="H106" s="13">
        <f t="shared" si="47"/>
        <v>0</v>
      </c>
      <c r="I106" s="13"/>
      <c r="J106" s="13">
        <f t="shared" si="48"/>
        <v>0</v>
      </c>
      <c r="K106" s="13">
        <f t="shared" ref="K106:M106" si="97">K$81*$W49</f>
        <v>0</v>
      </c>
      <c r="L106" s="13">
        <f t="shared" si="97"/>
        <v>0</v>
      </c>
      <c r="M106" s="13">
        <f t="shared" si="97"/>
        <v>0</v>
      </c>
      <c r="N106" s="13">
        <f t="shared" ref="N106:O106" si="98">N$81*$U49</f>
        <v>0</v>
      </c>
      <c r="O106" s="13">
        <f t="shared" si="98"/>
        <v>0</v>
      </c>
      <c r="Q106" s="2"/>
    </row>
    <row r="107" spans="2:35" x14ac:dyDescent="0.25">
      <c r="B107" t="str">
        <f t="shared" si="45"/>
        <v>maize gluten meal</v>
      </c>
      <c r="E107" s="13">
        <f t="shared" si="46"/>
        <v>6.8351242479152099E-2</v>
      </c>
      <c r="H107" s="13">
        <f t="shared" si="47"/>
        <v>0.13091449496846297</v>
      </c>
      <c r="I107" s="13"/>
      <c r="J107" s="13">
        <f t="shared" si="48"/>
        <v>3.3062241528984204</v>
      </c>
      <c r="K107" s="13">
        <f t="shared" ref="K107:M107" si="99">K$81*$W50</f>
        <v>5.3579732624603534E-2</v>
      </c>
      <c r="L107" s="13">
        <f t="shared" si="99"/>
        <v>0.12681195334591416</v>
      </c>
      <c r="M107" s="13">
        <f t="shared" si="99"/>
        <v>0.25884226195508947</v>
      </c>
      <c r="N107" s="13">
        <f t="shared" ref="N107:O107" si="100">N$81*$U50</f>
        <v>5.2251098750790144</v>
      </c>
      <c r="O107" s="13">
        <f t="shared" si="100"/>
        <v>0.17156898055071318</v>
      </c>
      <c r="Q107" s="2"/>
    </row>
    <row r="108" spans="2:35" x14ac:dyDescent="0.25">
      <c r="B108" t="str">
        <f t="shared" si="45"/>
        <v>sugar beet molasses</v>
      </c>
      <c r="E108" s="13">
        <f t="shared" si="46"/>
        <v>0.7579738274496266</v>
      </c>
      <c r="H108" s="13">
        <f t="shared" si="47"/>
        <v>1.4517623560412518</v>
      </c>
      <c r="I108" s="13"/>
      <c r="J108" s="13">
        <f t="shared" si="48"/>
        <v>36.664020794401559</v>
      </c>
      <c r="K108" s="13">
        <f t="shared" ref="K108:M108" si="101">K$81*$W51</f>
        <v>0.59416674135200243</v>
      </c>
      <c r="L108" s="13">
        <f t="shared" si="101"/>
        <v>1.4062676574355435</v>
      </c>
      <c r="M108" s="13">
        <f t="shared" si="101"/>
        <v>2.8704037100665714</v>
      </c>
      <c r="N108" s="13">
        <f t="shared" ref="N108:O108" si="102">N$81*$U51</f>
        <v>57.943299744206961</v>
      </c>
      <c r="O108" s="13">
        <f t="shared" si="102"/>
        <v>1.9025959462158974</v>
      </c>
      <c r="Q108" s="2"/>
    </row>
    <row r="109" spans="2:35" x14ac:dyDescent="0.25">
      <c r="B109" t="str">
        <f t="shared" si="45"/>
        <v>sugar beet pulp</v>
      </c>
      <c r="E109" s="13">
        <f t="shared" si="46"/>
        <v>1.4625704524565366</v>
      </c>
      <c r="H109" s="13">
        <f t="shared" si="47"/>
        <v>2.8012902939920203</v>
      </c>
      <c r="I109" s="13"/>
      <c r="J109" s="13">
        <f t="shared" si="48"/>
        <v>70.746128085415293</v>
      </c>
      <c r="K109" s="13">
        <f t="shared" ref="K109:M109" si="103">K$81*$W52</f>
        <v>1.1464917234118837</v>
      </c>
      <c r="L109" s="13">
        <f t="shared" si="103"/>
        <v>2.7135046746019542</v>
      </c>
      <c r="M109" s="13">
        <f t="shared" si="103"/>
        <v>5.5386709948688679</v>
      </c>
      <c r="N109" s="13">
        <f t="shared" ref="N109:O109" si="104">N$81*$U52</f>
        <v>111.80617991633959</v>
      </c>
      <c r="O109" s="13">
        <f t="shared" si="104"/>
        <v>3.6712093651860145</v>
      </c>
      <c r="Q109" s="2"/>
    </row>
    <row r="110" spans="2:35" x14ac:dyDescent="0.25">
      <c r="B110" t="str">
        <f t="shared" si="45"/>
        <v>whey powder</v>
      </c>
      <c r="E110" s="13">
        <f t="shared" si="46"/>
        <v>0</v>
      </c>
      <c r="H110" s="13">
        <f t="shared" si="47"/>
        <v>0</v>
      </c>
      <c r="I110" s="13"/>
      <c r="J110" s="13">
        <f t="shared" si="48"/>
        <v>0</v>
      </c>
      <c r="K110" s="13">
        <f t="shared" ref="K110:M110" si="105">K$81*$W53</f>
        <v>0</v>
      </c>
      <c r="L110" s="13">
        <f t="shared" si="105"/>
        <v>0</v>
      </c>
      <c r="M110" s="13">
        <f t="shared" si="105"/>
        <v>0</v>
      </c>
      <c r="N110" s="13">
        <f t="shared" ref="N110:O110" si="106">N$81*$U53</f>
        <v>0</v>
      </c>
      <c r="O110" s="13">
        <f t="shared" si="106"/>
        <v>0</v>
      </c>
      <c r="Q110" s="2"/>
    </row>
    <row r="111" spans="2:35" x14ac:dyDescent="0.25">
      <c r="B111" t="str">
        <f t="shared" si="45"/>
        <v>potatoe protein</v>
      </c>
      <c r="E111" s="13">
        <f t="shared" si="46"/>
        <v>6.6960229148383338E-3</v>
      </c>
      <c r="H111" s="13">
        <f t="shared" si="47"/>
        <v>1.282502594536874E-2</v>
      </c>
      <c r="I111" s="13"/>
      <c r="J111" s="13">
        <f t="shared" si="48"/>
        <v>0.32389393208400408</v>
      </c>
      <c r="K111" s="13">
        <f t="shared" ref="K111:M111" si="107">K$81*$W54</f>
        <v>5.2489333684707425E-3</v>
      </c>
      <c r="L111" s="13">
        <f t="shared" si="107"/>
        <v>1.2423120848734343E-2</v>
      </c>
      <c r="M111" s="13">
        <f t="shared" si="107"/>
        <v>2.5357457370413061E-2</v>
      </c>
      <c r="N111" s="13">
        <f t="shared" ref="N111:O111" si="108">N$81*$U54</f>
        <v>0.51187738784336978</v>
      </c>
      <c r="O111" s="13">
        <f t="shared" si="108"/>
        <v>1.6807738726818816E-2</v>
      </c>
      <c r="Q111" s="2"/>
    </row>
    <row r="112" spans="2:35" x14ac:dyDescent="0.25">
      <c r="B112" t="str">
        <f t="shared" si="45"/>
        <v>fish meal</v>
      </c>
      <c r="E112" s="13">
        <f t="shared" si="46"/>
        <v>0</v>
      </c>
      <c r="H112" s="13">
        <f t="shared" si="47"/>
        <v>0</v>
      </c>
      <c r="I112" s="13"/>
      <c r="J112" s="13">
        <f t="shared" si="48"/>
        <v>0</v>
      </c>
      <c r="K112" s="13">
        <f t="shared" ref="K112:M112" si="109">K$81*$W55</f>
        <v>0</v>
      </c>
      <c r="L112" s="13">
        <f t="shared" si="109"/>
        <v>0</v>
      </c>
      <c r="M112" s="13">
        <f t="shared" si="109"/>
        <v>0</v>
      </c>
      <c r="N112" s="13">
        <f t="shared" ref="N112:O112" si="110">N$81*$U55</f>
        <v>0</v>
      </c>
      <c r="O112" s="13">
        <f t="shared" si="110"/>
        <v>0</v>
      </c>
      <c r="Q112" s="2"/>
    </row>
    <row r="113" spans="2:17" x14ac:dyDescent="0.25">
      <c r="B113" s="6" t="str">
        <f t="shared" si="45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316</v>
      </c>
      <c r="C116" s="6"/>
      <c r="D116" s="12">
        <f>SUM(D66:D71,D73:D77,D79:D80,D82:D113)</f>
        <v>4717.2228452868276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1">SUM(G66:G71,G73:G77,G79:G80,G82:G113)</f>
        <v>3674.463258325256</v>
      </c>
      <c r="H116" s="12">
        <f t="shared" si="111"/>
        <v>2068.2399000680466</v>
      </c>
      <c r="I116" s="12">
        <f>SUM(I66:I71,I73:I77,I79:I80,I82:I113)</f>
        <v>2077.7399999999998</v>
      </c>
      <c r="J116" s="12">
        <f t="shared" si="111"/>
        <v>7702.0837820427678</v>
      </c>
      <c r="K116" s="12">
        <f t="shared" si="111"/>
        <v>1359.3600606369851</v>
      </c>
      <c r="L116" s="12">
        <f t="shared" si="111"/>
        <v>4800.5181359476801</v>
      </c>
      <c r="M116" s="12">
        <f t="shared" si="111"/>
        <v>3259.6633994882459</v>
      </c>
      <c r="N116" s="12">
        <f t="shared" si="111"/>
        <v>7876.6449470353336</v>
      </c>
      <c r="O116" s="12">
        <f t="shared" si="111"/>
        <v>3296.3399999999992</v>
      </c>
    </row>
  </sheetData>
  <mergeCells count="20"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  <mergeCell ref="V23:W23"/>
    <mergeCell ref="T23:U23"/>
    <mergeCell ref="Q23:Q24"/>
    <mergeCell ref="R23:R24"/>
    <mergeCell ref="S23:S24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AF62 J73:J76 N73:N76 V25:V38 F28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  <c r="J1" t="s">
        <v>209</v>
      </c>
      <c r="L1" t="s">
        <v>202</v>
      </c>
      <c r="M1" t="s">
        <v>210</v>
      </c>
    </row>
    <row r="2" spans="1:15" x14ac:dyDescent="0.25">
      <c r="A2" t="s">
        <v>211</v>
      </c>
      <c r="B2" t="s">
        <v>212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211</v>
      </c>
      <c r="B3" t="s">
        <v>212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213</v>
      </c>
      <c r="M3" t="s">
        <v>214</v>
      </c>
      <c r="N3" t="s">
        <v>215</v>
      </c>
      <c r="O3" t="s">
        <v>216</v>
      </c>
    </row>
    <row r="4" spans="1:15" x14ac:dyDescent="0.25">
      <c r="A4" t="s">
        <v>211</v>
      </c>
      <c r="B4" t="s">
        <v>212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217</v>
      </c>
      <c r="M4" s="12"/>
      <c r="N4" s="12"/>
      <c r="O4" s="12"/>
    </row>
    <row r="5" spans="1:15" x14ac:dyDescent="0.25">
      <c r="A5" t="s">
        <v>211</v>
      </c>
      <c r="B5" t="s">
        <v>212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211</v>
      </c>
      <c r="B6" t="s">
        <v>212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211</v>
      </c>
      <c r="B7" t="s">
        <v>212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219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211</v>
      </c>
      <c r="B8" t="s">
        <v>220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211</v>
      </c>
      <c r="B9" t="s">
        <v>220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211</v>
      </c>
      <c r="B10" t="s">
        <v>220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211</v>
      </c>
      <c r="B11" t="s">
        <v>220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211</v>
      </c>
      <c r="B12" t="s">
        <v>220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211</v>
      </c>
      <c r="B13" t="s">
        <v>220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211</v>
      </c>
      <c r="B14" t="s">
        <v>225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211</v>
      </c>
      <c r="B15" t="s">
        <v>225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211</v>
      </c>
      <c r="B16" t="s">
        <v>225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211</v>
      </c>
      <c r="B17" t="s">
        <v>225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227</v>
      </c>
      <c r="M17" s="12"/>
      <c r="N17" s="12"/>
      <c r="O17" s="12"/>
    </row>
    <row r="18" spans="1:24" x14ac:dyDescent="0.25">
      <c r="A18" t="s">
        <v>211</v>
      </c>
      <c r="B18" t="s">
        <v>225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211</v>
      </c>
      <c r="B19" t="s">
        <v>225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211</v>
      </c>
      <c r="B20" t="s">
        <v>228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219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211</v>
      </c>
      <c r="B21" t="s">
        <v>228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211</v>
      </c>
      <c r="B22" t="s">
        <v>228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211</v>
      </c>
      <c r="B23" t="s">
        <v>228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211</v>
      </c>
      <c r="B24" t="s">
        <v>228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211</v>
      </c>
      <c r="B25" t="s">
        <v>228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211</v>
      </c>
      <c r="B26" t="s">
        <v>229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211</v>
      </c>
      <c r="B27" t="s">
        <v>229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211</v>
      </c>
      <c r="B28" t="s">
        <v>229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211</v>
      </c>
      <c r="B29" t="s">
        <v>229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211</v>
      </c>
      <c r="B30" t="s">
        <v>229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211</v>
      </c>
      <c r="B31" t="s">
        <v>229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211</v>
      </c>
      <c r="B32" t="s">
        <v>231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211</v>
      </c>
      <c r="B33" t="s">
        <v>231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219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211</v>
      </c>
      <c r="B34" t="s">
        <v>231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211</v>
      </c>
      <c r="B35" t="s">
        <v>231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211</v>
      </c>
      <c r="B36" t="s">
        <v>231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211</v>
      </c>
      <c r="B37" t="s">
        <v>231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211</v>
      </c>
      <c r="B38" t="s">
        <v>232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211</v>
      </c>
      <c r="B39" t="s">
        <v>232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211</v>
      </c>
      <c r="B40" t="s">
        <v>232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211</v>
      </c>
      <c r="B41" t="s">
        <v>232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211</v>
      </c>
      <c r="B42" t="s">
        <v>232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211</v>
      </c>
      <c r="B43" t="s">
        <v>232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211</v>
      </c>
      <c r="B44" t="s">
        <v>234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211</v>
      </c>
      <c r="B45" t="s">
        <v>234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211</v>
      </c>
      <c r="B46" t="s">
        <v>234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211</v>
      </c>
      <c r="B47" t="s">
        <v>234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211</v>
      </c>
      <c r="B48" t="s">
        <v>234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211</v>
      </c>
      <c r="B49" t="s">
        <v>234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211</v>
      </c>
      <c r="B50" t="s">
        <v>235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211</v>
      </c>
      <c r="B51" t="s">
        <v>235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211</v>
      </c>
      <c r="B52" t="s">
        <v>235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211</v>
      </c>
      <c r="B53" t="s">
        <v>235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211</v>
      </c>
      <c r="B54" t="s">
        <v>235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211</v>
      </c>
      <c r="B55" t="s">
        <v>235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211</v>
      </c>
      <c r="B56" t="s">
        <v>236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211</v>
      </c>
      <c r="B57" t="s">
        <v>236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211</v>
      </c>
      <c r="B58" t="s">
        <v>236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211</v>
      </c>
      <c r="B59" t="s">
        <v>236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211</v>
      </c>
      <c r="B60" t="s">
        <v>236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211</v>
      </c>
      <c r="B61" t="s">
        <v>236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219</v>
      </c>
      <c r="B62" t="s">
        <v>212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219</v>
      </c>
      <c r="B63" t="s">
        <v>212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219</v>
      </c>
      <c r="B64" t="s">
        <v>212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219</v>
      </c>
      <c r="B65" t="s">
        <v>212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219</v>
      </c>
      <c r="B66" t="s">
        <v>212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219</v>
      </c>
      <c r="B67" t="s">
        <v>212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219</v>
      </c>
      <c r="B68" t="s">
        <v>220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219</v>
      </c>
      <c r="B69" t="s">
        <v>220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219</v>
      </c>
      <c r="B70" t="s">
        <v>220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219</v>
      </c>
      <c r="B71" t="s">
        <v>220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219</v>
      </c>
      <c r="B72" t="s">
        <v>220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219</v>
      </c>
      <c r="B73" t="s">
        <v>220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219</v>
      </c>
      <c r="B74" t="s">
        <v>225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219</v>
      </c>
      <c r="B75" t="s">
        <v>225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219</v>
      </c>
      <c r="B76" t="s">
        <v>225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219</v>
      </c>
      <c r="B77" t="s">
        <v>225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219</v>
      </c>
      <c r="B78" t="s">
        <v>225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219</v>
      </c>
      <c r="B79" t="s">
        <v>225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219</v>
      </c>
      <c r="B80" t="s">
        <v>228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219</v>
      </c>
      <c r="B81" t="s">
        <v>228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219</v>
      </c>
      <c r="B82" t="s">
        <v>228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219</v>
      </c>
      <c r="B83" t="s">
        <v>228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219</v>
      </c>
      <c r="B84" t="s">
        <v>228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219</v>
      </c>
      <c r="B85" t="s">
        <v>228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219</v>
      </c>
      <c r="B86" t="s">
        <v>229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219</v>
      </c>
      <c r="B87" t="s">
        <v>229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219</v>
      </c>
      <c r="B88" t="s">
        <v>229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219</v>
      </c>
      <c r="B89" t="s">
        <v>229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219</v>
      </c>
      <c r="B90" t="s">
        <v>229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219</v>
      </c>
      <c r="B91" t="s">
        <v>229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219</v>
      </c>
      <c r="B92" t="s">
        <v>231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219</v>
      </c>
      <c r="B93" t="s">
        <v>231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219</v>
      </c>
      <c r="B94" t="s">
        <v>231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219</v>
      </c>
      <c r="B95" t="s">
        <v>231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219</v>
      </c>
      <c r="B96" t="s">
        <v>231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219</v>
      </c>
      <c r="B97" t="s">
        <v>231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219</v>
      </c>
      <c r="B98" t="s">
        <v>232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219</v>
      </c>
      <c r="B99" t="s">
        <v>232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219</v>
      </c>
      <c r="B100" t="s">
        <v>232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219</v>
      </c>
      <c r="B101" t="s">
        <v>232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219</v>
      </c>
      <c r="B102" t="s">
        <v>232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219</v>
      </c>
      <c r="B103" t="s">
        <v>232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219</v>
      </c>
      <c r="B104" t="s">
        <v>234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219</v>
      </c>
      <c r="B105" t="s">
        <v>234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219</v>
      </c>
      <c r="B106" t="s">
        <v>234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219</v>
      </c>
      <c r="B107" t="s">
        <v>234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219</v>
      </c>
      <c r="B108" t="s">
        <v>234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219</v>
      </c>
      <c r="B109" t="s">
        <v>234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219</v>
      </c>
      <c r="B110" t="s">
        <v>235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219</v>
      </c>
      <c r="B111" t="s">
        <v>235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219</v>
      </c>
      <c r="B112" t="s">
        <v>235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219</v>
      </c>
      <c r="B113" t="s">
        <v>235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219</v>
      </c>
      <c r="B114" t="s">
        <v>235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219</v>
      </c>
      <c r="B115" t="s">
        <v>235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219</v>
      </c>
      <c r="B116" t="s">
        <v>236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219</v>
      </c>
      <c r="B117" t="s">
        <v>236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219</v>
      </c>
      <c r="B118" t="s">
        <v>236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219</v>
      </c>
      <c r="B119" t="s">
        <v>236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219</v>
      </c>
      <c r="B120" t="s">
        <v>236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219</v>
      </c>
      <c r="B121" t="s">
        <v>236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221</v>
      </c>
      <c r="B122" t="s">
        <v>212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221</v>
      </c>
      <c r="B123" t="s">
        <v>212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221</v>
      </c>
      <c r="B124" t="s">
        <v>212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221</v>
      </c>
      <c r="B125" t="s">
        <v>212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221</v>
      </c>
      <c r="B126" t="s">
        <v>212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221</v>
      </c>
      <c r="B127" t="s">
        <v>212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221</v>
      </c>
      <c r="B128" t="s">
        <v>220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221</v>
      </c>
      <c r="B129" t="s">
        <v>220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221</v>
      </c>
      <c r="B130" t="s">
        <v>220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221</v>
      </c>
      <c r="B131" t="s">
        <v>220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221</v>
      </c>
      <c r="B132" t="s">
        <v>220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221</v>
      </c>
      <c r="B133" t="s">
        <v>220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221</v>
      </c>
      <c r="B134" t="s">
        <v>225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221</v>
      </c>
      <c r="B135" t="s">
        <v>225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221</v>
      </c>
      <c r="B136" t="s">
        <v>225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221</v>
      </c>
      <c r="B137" t="s">
        <v>225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221</v>
      </c>
      <c r="B138" t="s">
        <v>225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221</v>
      </c>
      <c r="B139" t="s">
        <v>225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221</v>
      </c>
      <c r="B140" t="s">
        <v>228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221</v>
      </c>
      <c r="B141" t="s">
        <v>228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221</v>
      </c>
      <c r="B142" t="s">
        <v>228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221</v>
      </c>
      <c r="B143" t="s">
        <v>228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221</v>
      </c>
      <c r="B144" t="s">
        <v>228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221</v>
      </c>
      <c r="B145" t="s">
        <v>228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221</v>
      </c>
      <c r="B146" t="s">
        <v>229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221</v>
      </c>
      <c r="B147" t="s">
        <v>229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221</v>
      </c>
      <c r="B148" t="s">
        <v>229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221</v>
      </c>
      <c r="B149" t="s">
        <v>229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221</v>
      </c>
      <c r="B150" t="s">
        <v>229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221</v>
      </c>
      <c r="B151" t="s">
        <v>229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221</v>
      </c>
      <c r="B152" t="s">
        <v>231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221</v>
      </c>
      <c r="B153" t="s">
        <v>231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221</v>
      </c>
      <c r="B154" t="s">
        <v>231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221</v>
      </c>
      <c r="B155" t="s">
        <v>231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221</v>
      </c>
      <c r="B156" t="s">
        <v>231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221</v>
      </c>
      <c r="B157" t="s">
        <v>231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221</v>
      </c>
      <c r="B158" t="s">
        <v>232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221</v>
      </c>
      <c r="B159" t="s">
        <v>232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221</v>
      </c>
      <c r="B160" t="s">
        <v>232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221</v>
      </c>
      <c r="B161" t="s">
        <v>232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221</v>
      </c>
      <c r="B162" t="s">
        <v>232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221</v>
      </c>
      <c r="B163" t="s">
        <v>232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221</v>
      </c>
      <c r="B164" t="s">
        <v>234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221</v>
      </c>
      <c r="B165" t="s">
        <v>234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221</v>
      </c>
      <c r="B166" t="s">
        <v>234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221</v>
      </c>
      <c r="B167" t="s">
        <v>234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221</v>
      </c>
      <c r="B168" t="s">
        <v>234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221</v>
      </c>
      <c r="B169" t="s">
        <v>234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221</v>
      </c>
      <c r="B170" t="s">
        <v>235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221</v>
      </c>
      <c r="B171" t="s">
        <v>235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221</v>
      </c>
      <c r="B172" t="s">
        <v>235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221</v>
      </c>
      <c r="B173" t="s">
        <v>235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221</v>
      </c>
      <c r="B174" t="s">
        <v>235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221</v>
      </c>
      <c r="B175" t="s">
        <v>235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221</v>
      </c>
      <c r="B176" t="s">
        <v>236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221</v>
      </c>
      <c r="B177" t="s">
        <v>236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221</v>
      </c>
      <c r="B178" t="s">
        <v>236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221</v>
      </c>
      <c r="B179" t="s">
        <v>236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221</v>
      </c>
      <c r="B180" t="s">
        <v>236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221</v>
      </c>
      <c r="B181" t="s">
        <v>236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222</v>
      </c>
      <c r="B182" t="s">
        <v>212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222</v>
      </c>
      <c r="B183" t="s">
        <v>212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222</v>
      </c>
      <c r="B184" t="s">
        <v>212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222</v>
      </c>
      <c r="B185" t="s">
        <v>212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222</v>
      </c>
      <c r="B186" t="s">
        <v>212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222</v>
      </c>
      <c r="B187" t="s">
        <v>212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222</v>
      </c>
      <c r="B188" t="s">
        <v>220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222</v>
      </c>
      <c r="B189" t="s">
        <v>220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222</v>
      </c>
      <c r="B190" t="s">
        <v>220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222</v>
      </c>
      <c r="B191" t="s">
        <v>220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222</v>
      </c>
      <c r="B192" t="s">
        <v>220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222</v>
      </c>
      <c r="B193" t="s">
        <v>220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222</v>
      </c>
      <c r="B194" t="s">
        <v>225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222</v>
      </c>
      <c r="B195" t="s">
        <v>225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222</v>
      </c>
      <c r="B196" t="s">
        <v>225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222</v>
      </c>
      <c r="B197" t="s">
        <v>225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222</v>
      </c>
      <c r="B198" t="s">
        <v>225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222</v>
      </c>
      <c r="B199" t="s">
        <v>225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222</v>
      </c>
      <c r="B200" t="s">
        <v>228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222</v>
      </c>
      <c r="B201" t="s">
        <v>228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222</v>
      </c>
      <c r="B202" t="s">
        <v>228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222</v>
      </c>
      <c r="B203" t="s">
        <v>228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222</v>
      </c>
      <c r="B204" t="s">
        <v>228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222</v>
      </c>
      <c r="B205" t="s">
        <v>228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222</v>
      </c>
      <c r="B206" t="s">
        <v>229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222</v>
      </c>
      <c r="B207" t="s">
        <v>229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222</v>
      </c>
      <c r="B208" t="s">
        <v>229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222</v>
      </c>
      <c r="B209" t="s">
        <v>229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222</v>
      </c>
      <c r="B210" t="s">
        <v>229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222</v>
      </c>
      <c r="B211" t="s">
        <v>229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222</v>
      </c>
      <c r="B212" t="s">
        <v>231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222</v>
      </c>
      <c r="B213" t="s">
        <v>231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222</v>
      </c>
      <c r="B214" t="s">
        <v>231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222</v>
      </c>
      <c r="B215" t="s">
        <v>231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222</v>
      </c>
      <c r="B216" t="s">
        <v>231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222</v>
      </c>
      <c r="B217" t="s">
        <v>231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222</v>
      </c>
      <c r="B218" t="s">
        <v>232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222</v>
      </c>
      <c r="B219" t="s">
        <v>232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222</v>
      </c>
      <c r="B220" t="s">
        <v>232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222</v>
      </c>
      <c r="B221" t="s">
        <v>232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222</v>
      </c>
      <c r="B222" t="s">
        <v>232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222</v>
      </c>
      <c r="B223" t="s">
        <v>232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222</v>
      </c>
      <c r="B224" t="s">
        <v>234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222</v>
      </c>
      <c r="B225" t="s">
        <v>234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222</v>
      </c>
      <c r="B226" t="s">
        <v>234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222</v>
      </c>
      <c r="B227" t="s">
        <v>234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222</v>
      </c>
      <c r="B228" t="s">
        <v>234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222</v>
      </c>
      <c r="B229" t="s">
        <v>234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222</v>
      </c>
      <c r="B230" t="s">
        <v>235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222</v>
      </c>
      <c r="B231" t="s">
        <v>235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222</v>
      </c>
      <c r="B232" t="s">
        <v>235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222</v>
      </c>
      <c r="B233" t="s">
        <v>235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222</v>
      </c>
      <c r="B234" t="s">
        <v>235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222</v>
      </c>
      <c r="B235" t="s">
        <v>235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222</v>
      </c>
      <c r="B236" t="s">
        <v>236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222</v>
      </c>
      <c r="B237" t="s">
        <v>236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222</v>
      </c>
      <c r="B238" t="s">
        <v>236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222</v>
      </c>
      <c r="B239" t="s">
        <v>236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222</v>
      </c>
      <c r="B240" t="s">
        <v>236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222</v>
      </c>
      <c r="B241" t="s">
        <v>236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224</v>
      </c>
      <c r="B242" t="s">
        <v>212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224</v>
      </c>
      <c r="B243" t="s">
        <v>212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224</v>
      </c>
      <c r="B244" t="s">
        <v>212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224</v>
      </c>
      <c r="B245" t="s">
        <v>212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224</v>
      </c>
      <c r="B246" t="s">
        <v>212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224</v>
      </c>
      <c r="B247" t="s">
        <v>212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224</v>
      </c>
      <c r="B248" t="s">
        <v>220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224</v>
      </c>
      <c r="B249" t="s">
        <v>220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224</v>
      </c>
      <c r="B250" t="s">
        <v>220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224</v>
      </c>
      <c r="B251" t="s">
        <v>220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224</v>
      </c>
      <c r="B252" t="s">
        <v>220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224</v>
      </c>
      <c r="B253" t="s">
        <v>220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224</v>
      </c>
      <c r="B254" t="s">
        <v>225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224</v>
      </c>
      <c r="B255" t="s">
        <v>225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224</v>
      </c>
      <c r="B256" t="s">
        <v>225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224</v>
      </c>
      <c r="B257" t="s">
        <v>225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224</v>
      </c>
      <c r="B258" t="s">
        <v>225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224</v>
      </c>
      <c r="B259" t="s">
        <v>225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224</v>
      </c>
      <c r="B260" t="s">
        <v>228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224</v>
      </c>
      <c r="B261" t="s">
        <v>228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224</v>
      </c>
      <c r="B262" t="s">
        <v>228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224</v>
      </c>
      <c r="B263" t="s">
        <v>228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224</v>
      </c>
      <c r="B264" t="s">
        <v>228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224</v>
      </c>
      <c r="B265" t="s">
        <v>228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224</v>
      </c>
      <c r="B266" t="s">
        <v>229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224</v>
      </c>
      <c r="B267" t="s">
        <v>229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224</v>
      </c>
      <c r="B268" t="s">
        <v>229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224</v>
      </c>
      <c r="B269" t="s">
        <v>229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224</v>
      </c>
      <c r="B270" t="s">
        <v>229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224</v>
      </c>
      <c r="B271" t="s">
        <v>229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224</v>
      </c>
      <c r="B272" t="s">
        <v>231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224</v>
      </c>
      <c r="B273" t="s">
        <v>231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224</v>
      </c>
      <c r="B274" t="s">
        <v>231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224</v>
      </c>
      <c r="B275" t="s">
        <v>231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224</v>
      </c>
      <c r="B276" t="s">
        <v>231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224</v>
      </c>
      <c r="B277" t="s">
        <v>231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224</v>
      </c>
      <c r="B278" t="s">
        <v>232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224</v>
      </c>
      <c r="B279" t="s">
        <v>232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224</v>
      </c>
      <c r="B280" t="s">
        <v>232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224</v>
      </c>
      <c r="B281" t="s">
        <v>232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224</v>
      </c>
      <c r="B282" t="s">
        <v>232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224</v>
      </c>
      <c r="B283" t="s">
        <v>232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224</v>
      </c>
      <c r="B284" t="s">
        <v>234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224</v>
      </c>
      <c r="B285" t="s">
        <v>234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224</v>
      </c>
      <c r="B286" t="s">
        <v>234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224</v>
      </c>
      <c r="B287" t="s">
        <v>234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224</v>
      </c>
      <c r="B288" t="s">
        <v>234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224</v>
      </c>
      <c r="B289" t="s">
        <v>234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224</v>
      </c>
      <c r="B290" t="s">
        <v>235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224</v>
      </c>
      <c r="B291" t="s">
        <v>235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224</v>
      </c>
      <c r="B292" t="s">
        <v>235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224</v>
      </c>
      <c r="B293" t="s">
        <v>235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224</v>
      </c>
      <c r="B294" t="s">
        <v>235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224</v>
      </c>
      <c r="B295" t="s">
        <v>235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224</v>
      </c>
      <c r="B296" t="s">
        <v>236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224</v>
      </c>
      <c r="B297" t="s">
        <v>236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224</v>
      </c>
      <c r="B298" t="s">
        <v>236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224</v>
      </c>
      <c r="B299" t="s">
        <v>236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224</v>
      </c>
      <c r="B300" t="s">
        <v>236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224</v>
      </c>
      <c r="B301" t="s">
        <v>236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226</v>
      </c>
      <c r="B302" t="s">
        <v>212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226</v>
      </c>
      <c r="B303" t="s">
        <v>212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226</v>
      </c>
      <c r="B304" t="s">
        <v>212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226</v>
      </c>
      <c r="B305" t="s">
        <v>212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226</v>
      </c>
      <c r="B306" t="s">
        <v>212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226</v>
      </c>
      <c r="B307" t="s">
        <v>212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226</v>
      </c>
      <c r="B308" t="s">
        <v>220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226</v>
      </c>
      <c r="B309" t="s">
        <v>220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226</v>
      </c>
      <c r="B310" t="s">
        <v>220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226</v>
      </c>
      <c r="B311" t="s">
        <v>220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226</v>
      </c>
      <c r="B312" t="s">
        <v>220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226</v>
      </c>
      <c r="B313" t="s">
        <v>220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226</v>
      </c>
      <c r="B314" t="s">
        <v>225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226</v>
      </c>
      <c r="B315" t="s">
        <v>225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226</v>
      </c>
      <c r="B316" t="s">
        <v>225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226</v>
      </c>
      <c r="B317" t="s">
        <v>225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226</v>
      </c>
      <c r="B318" t="s">
        <v>225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226</v>
      </c>
      <c r="B319" t="s">
        <v>225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226</v>
      </c>
      <c r="B320" t="s">
        <v>228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226</v>
      </c>
      <c r="B321" t="s">
        <v>228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226</v>
      </c>
      <c r="B322" t="s">
        <v>228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226</v>
      </c>
      <c r="B323" t="s">
        <v>228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226</v>
      </c>
      <c r="B324" t="s">
        <v>228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226</v>
      </c>
      <c r="B325" t="s">
        <v>228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226</v>
      </c>
      <c r="B326" t="s">
        <v>229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226</v>
      </c>
      <c r="B327" t="s">
        <v>229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226</v>
      </c>
      <c r="B328" t="s">
        <v>229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226</v>
      </c>
      <c r="B329" t="s">
        <v>229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226</v>
      </c>
      <c r="B330" t="s">
        <v>229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226</v>
      </c>
      <c r="B331" t="s">
        <v>229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226</v>
      </c>
      <c r="B332" t="s">
        <v>231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226</v>
      </c>
      <c r="B333" t="s">
        <v>231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226</v>
      </c>
      <c r="B334" t="s">
        <v>231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226</v>
      </c>
      <c r="B335" t="s">
        <v>231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226</v>
      </c>
      <c r="B336" t="s">
        <v>231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226</v>
      </c>
      <c r="B337" t="s">
        <v>231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226</v>
      </c>
      <c r="B338" t="s">
        <v>232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226</v>
      </c>
      <c r="B339" t="s">
        <v>232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226</v>
      </c>
      <c r="B340" t="s">
        <v>232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226</v>
      </c>
      <c r="B341" t="s">
        <v>232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226</v>
      </c>
      <c r="B342" t="s">
        <v>232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226</v>
      </c>
      <c r="B343" t="s">
        <v>232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226</v>
      </c>
      <c r="B344" t="s">
        <v>234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226</v>
      </c>
      <c r="B345" t="s">
        <v>234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226</v>
      </c>
      <c r="B346" t="s">
        <v>234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226</v>
      </c>
      <c r="B347" t="s">
        <v>234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226</v>
      </c>
      <c r="B348" t="s">
        <v>234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226</v>
      </c>
      <c r="B349" t="s">
        <v>234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226</v>
      </c>
      <c r="B350" t="s">
        <v>235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226</v>
      </c>
      <c r="B351" t="s">
        <v>235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226</v>
      </c>
      <c r="B352" t="s">
        <v>235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226</v>
      </c>
      <c r="B353" t="s">
        <v>235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226</v>
      </c>
      <c r="B354" t="s">
        <v>235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226</v>
      </c>
      <c r="B355" t="s">
        <v>235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226</v>
      </c>
      <c r="B356" t="s">
        <v>236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226</v>
      </c>
      <c r="B357" t="s">
        <v>236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226</v>
      </c>
      <c r="B358" t="s">
        <v>236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226</v>
      </c>
      <c r="B359" t="s">
        <v>236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226</v>
      </c>
      <c r="B360" t="s">
        <v>236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226</v>
      </c>
      <c r="B361" t="s">
        <v>236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128</v>
      </c>
      <c r="B362" t="s">
        <v>212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128</v>
      </c>
      <c r="B363" t="s">
        <v>212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128</v>
      </c>
      <c r="B364" t="s">
        <v>212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128</v>
      </c>
      <c r="B365" t="s">
        <v>212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128</v>
      </c>
      <c r="B366" t="s">
        <v>212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128</v>
      </c>
      <c r="B367" t="s">
        <v>212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128</v>
      </c>
      <c r="B368" t="s">
        <v>220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128</v>
      </c>
      <c r="B369" t="s">
        <v>220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128</v>
      </c>
      <c r="B370" t="s">
        <v>220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128</v>
      </c>
      <c r="B371" t="s">
        <v>220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128</v>
      </c>
      <c r="B372" t="s">
        <v>220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128</v>
      </c>
      <c r="B373" t="s">
        <v>220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128</v>
      </c>
      <c r="B374" t="s">
        <v>225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128</v>
      </c>
      <c r="B375" t="s">
        <v>225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128</v>
      </c>
      <c r="B376" t="s">
        <v>225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128</v>
      </c>
      <c r="B377" t="s">
        <v>225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128</v>
      </c>
      <c r="B378" t="s">
        <v>225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128</v>
      </c>
      <c r="B379" t="s">
        <v>225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128</v>
      </c>
      <c r="B380" t="s">
        <v>228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128</v>
      </c>
      <c r="B381" t="s">
        <v>228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128</v>
      </c>
      <c r="B382" t="s">
        <v>228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128</v>
      </c>
      <c r="B383" t="s">
        <v>228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128</v>
      </c>
      <c r="B384" t="s">
        <v>228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128</v>
      </c>
      <c r="B385" t="s">
        <v>228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128</v>
      </c>
      <c r="B386" t="s">
        <v>229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128</v>
      </c>
      <c r="B387" t="s">
        <v>229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128</v>
      </c>
      <c r="B388" t="s">
        <v>229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128</v>
      </c>
      <c r="B389" t="s">
        <v>229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128</v>
      </c>
      <c r="B390" t="s">
        <v>229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128</v>
      </c>
      <c r="B391" t="s">
        <v>229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128</v>
      </c>
      <c r="B392" t="s">
        <v>231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128</v>
      </c>
      <c r="B393" t="s">
        <v>231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128</v>
      </c>
      <c r="B394" t="s">
        <v>231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128</v>
      </c>
      <c r="B395" t="s">
        <v>231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128</v>
      </c>
      <c r="B396" t="s">
        <v>231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128</v>
      </c>
      <c r="B397" t="s">
        <v>231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128</v>
      </c>
      <c r="B398" t="s">
        <v>232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128</v>
      </c>
      <c r="B399" t="s">
        <v>232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128</v>
      </c>
      <c r="B400" t="s">
        <v>232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128</v>
      </c>
      <c r="B401" t="s">
        <v>232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128</v>
      </c>
      <c r="B402" t="s">
        <v>232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128</v>
      </c>
      <c r="B403" t="s">
        <v>232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128</v>
      </c>
      <c r="B404" t="s">
        <v>234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128</v>
      </c>
      <c r="B405" t="s">
        <v>234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128</v>
      </c>
      <c r="B406" t="s">
        <v>234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128</v>
      </c>
      <c r="B407" t="s">
        <v>234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128</v>
      </c>
      <c r="B408" t="s">
        <v>234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128</v>
      </c>
      <c r="B409" t="s">
        <v>234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128</v>
      </c>
      <c r="B410" t="s">
        <v>235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128</v>
      </c>
      <c r="B411" t="s">
        <v>235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128</v>
      </c>
      <c r="B412" t="s">
        <v>235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128</v>
      </c>
      <c r="B413" t="s">
        <v>235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128</v>
      </c>
      <c r="B414" t="s">
        <v>235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128</v>
      </c>
      <c r="B415" t="s">
        <v>235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128</v>
      </c>
      <c r="B416" t="s">
        <v>236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128</v>
      </c>
      <c r="B417" t="s">
        <v>236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128</v>
      </c>
      <c r="B418" t="s">
        <v>236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128</v>
      </c>
      <c r="B419" t="s">
        <v>236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128</v>
      </c>
      <c r="B420" t="s">
        <v>236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128</v>
      </c>
      <c r="B421" t="s">
        <v>236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237</v>
      </c>
    </row>
    <row r="3" spans="1:24" x14ac:dyDescent="0.25">
      <c r="B3" s="6" t="s">
        <v>204</v>
      </c>
      <c r="H3" s="6" t="s">
        <v>238</v>
      </c>
      <c r="N3" s="6" t="s">
        <v>239</v>
      </c>
      <c r="T3" s="6" t="s">
        <v>240</v>
      </c>
    </row>
    <row r="4" spans="1:24" ht="30" customHeight="1" x14ac:dyDescent="0.25">
      <c r="B4" s="70" t="s">
        <v>217</v>
      </c>
      <c r="C4" s="70" t="s">
        <v>227</v>
      </c>
      <c r="D4" s="70" t="s">
        <v>230</v>
      </c>
      <c r="E4" s="70" t="s">
        <v>241</v>
      </c>
      <c r="F4" s="70" t="s">
        <v>242</v>
      </c>
      <c r="G4" s="70"/>
      <c r="H4" s="70" t="s">
        <v>217</v>
      </c>
      <c r="I4" s="70" t="s">
        <v>227</v>
      </c>
      <c r="J4" s="70" t="s">
        <v>230</v>
      </c>
      <c r="K4" s="70" t="s">
        <v>241</v>
      </c>
      <c r="L4" s="70" t="s">
        <v>242</v>
      </c>
      <c r="M4" s="71"/>
      <c r="N4" s="70" t="s">
        <v>217</v>
      </c>
      <c r="O4" s="70" t="s">
        <v>227</v>
      </c>
      <c r="P4" s="70" t="s">
        <v>230</v>
      </c>
      <c r="Q4" s="70" t="s">
        <v>241</v>
      </c>
      <c r="R4" s="70" t="s">
        <v>242</v>
      </c>
      <c r="S4" s="70"/>
      <c r="T4" s="70" t="s">
        <v>217</v>
      </c>
      <c r="U4" s="70" t="s">
        <v>227</v>
      </c>
      <c r="V4" s="70" t="s">
        <v>230</v>
      </c>
      <c r="W4" s="70" t="s">
        <v>241</v>
      </c>
      <c r="X4" s="70" t="s">
        <v>242</v>
      </c>
    </row>
    <row r="5" spans="1:24" x14ac:dyDescent="0.25">
      <c r="A5" s="6" t="s">
        <v>243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219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244</v>
      </c>
    </row>
    <row r="2" spans="1:19" x14ac:dyDescent="0.25">
      <c r="A2" s="27"/>
      <c r="B2" s="27"/>
    </row>
    <row r="4" spans="1:19" x14ac:dyDescent="0.25">
      <c r="C4" s="6" t="s">
        <v>203</v>
      </c>
      <c r="D4" s="6" t="s">
        <v>245</v>
      </c>
      <c r="E4" s="6" t="s">
        <v>204</v>
      </c>
      <c r="F4" s="6" t="s">
        <v>246</v>
      </c>
      <c r="G4" s="6" t="s">
        <v>247</v>
      </c>
      <c r="H4" s="6" t="s">
        <v>238</v>
      </c>
      <c r="I4" s="6" t="s">
        <v>248</v>
      </c>
      <c r="N4" t="s">
        <v>203</v>
      </c>
      <c r="P4" t="s">
        <v>204</v>
      </c>
      <c r="R4" t="s">
        <v>238</v>
      </c>
    </row>
    <row r="5" spans="1:19" x14ac:dyDescent="0.25">
      <c r="A5" s="77" t="s">
        <v>249</v>
      </c>
      <c r="B5" s="78" t="s">
        <v>250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251</v>
      </c>
      <c r="L5" s="13">
        <f>SUMPRODUCT(C5:C6,H5:H6)/SUM(C5:C6)/12</f>
        <v>5.0579254131664273</v>
      </c>
      <c r="M5" t="s">
        <v>252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255</v>
      </c>
      <c r="B11" s="81" t="s">
        <v>250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256</v>
      </c>
      <c r="B17" s="81" t="s">
        <v>250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257</v>
      </c>
      <c r="B23" s="81" t="s">
        <v>250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258</v>
      </c>
      <c r="B29" s="81" t="s">
        <v>250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259</v>
      </c>
      <c r="B35" s="81" t="s">
        <v>250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203</v>
      </c>
      <c r="P40" t="s">
        <v>204</v>
      </c>
      <c r="R40" t="s">
        <v>238</v>
      </c>
    </row>
    <row r="41" spans="1:19" x14ac:dyDescent="0.25">
      <c r="A41" s="83" t="s">
        <v>260</v>
      </c>
      <c r="B41" s="84" t="s">
        <v>250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251</v>
      </c>
      <c r="L41" s="13">
        <f>SUMPRODUCT(C41:C42,H41:H42)/SUM(C41:C42)/12</f>
        <v>6.4128831355158482</v>
      </c>
      <c r="M41" t="s">
        <v>252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261</v>
      </c>
      <c r="B47" s="87" t="s">
        <v>250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251</v>
      </c>
      <c r="L47" s="13">
        <f>SUMPRODUCT(C47:C48,H47:H48)/SUM(C47:C48)/12</f>
        <v>6.4392738490745138</v>
      </c>
      <c r="M47" t="s">
        <v>252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262</v>
      </c>
      <c r="B53" s="91" t="s">
        <v>250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263</v>
      </c>
      <c r="B59" s="91" t="s">
        <v>250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264</v>
      </c>
      <c r="B65" s="91" t="s">
        <v>250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265</v>
      </c>
      <c r="B71" s="91" t="s">
        <v>250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259</v>
      </c>
      <c r="B77" s="91" t="s">
        <v>250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203</v>
      </c>
      <c r="P82" t="s">
        <v>204</v>
      </c>
      <c r="R82" t="s">
        <v>238</v>
      </c>
    </row>
    <row r="83" spans="1:19" x14ac:dyDescent="0.25">
      <c r="A83" s="87" t="s">
        <v>266</v>
      </c>
      <c r="B83" s="87" t="s">
        <v>250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251</v>
      </c>
      <c r="L83" s="13">
        <f>SUMPRODUCT(C83:C84,H83:H84)/SUM(C83:C84)/12</f>
        <v>6.3976205997392439</v>
      </c>
      <c r="M83" t="s">
        <v>252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267</v>
      </c>
      <c r="B89" s="91" t="s">
        <v>250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268</v>
      </c>
      <c r="B95" s="91" t="s">
        <v>250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269</v>
      </c>
      <c r="B101" s="91" t="s">
        <v>250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270</v>
      </c>
      <c r="B107" s="91" t="s">
        <v>250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271</v>
      </c>
      <c r="B113" s="91" t="s">
        <v>250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272</v>
      </c>
      <c r="B119" s="91" t="s">
        <v>250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259</v>
      </c>
      <c r="B125" s="91" t="s">
        <v>250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273</v>
      </c>
      <c r="G1" t="s">
        <v>274</v>
      </c>
    </row>
    <row r="2" spans="2:15" x14ac:dyDescent="0.25">
      <c r="C2" t="s">
        <v>275</v>
      </c>
      <c r="D2" t="s">
        <v>293</v>
      </c>
      <c r="E2" t="s">
        <v>276</v>
      </c>
      <c r="G2" t="s">
        <v>277</v>
      </c>
      <c r="H2" t="s">
        <v>278</v>
      </c>
      <c r="I2" t="s">
        <v>279</v>
      </c>
      <c r="J2" t="s">
        <v>280</v>
      </c>
      <c r="K2" t="s">
        <v>277</v>
      </c>
      <c r="L2" t="s">
        <v>278</v>
      </c>
      <c r="M2" t="s">
        <v>279</v>
      </c>
      <c r="O2" t="s">
        <v>281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288</v>
      </c>
    </row>
    <row r="12" spans="2:15" x14ac:dyDescent="0.25">
      <c r="B12" s="6" t="s">
        <v>287</v>
      </c>
      <c r="L12" t="s">
        <v>289</v>
      </c>
      <c r="N12" t="s">
        <v>286</v>
      </c>
    </row>
    <row r="13" spans="2:15" x14ac:dyDescent="0.25">
      <c r="B13" t="s">
        <v>202</v>
      </c>
      <c r="C13" t="s">
        <v>282</v>
      </c>
      <c r="D13" t="s">
        <v>283</v>
      </c>
      <c r="E13" t="s">
        <v>284</v>
      </c>
      <c r="F13" t="s">
        <v>294</v>
      </c>
      <c r="G13" t="s">
        <v>184</v>
      </c>
      <c r="H13" t="s">
        <v>285</v>
      </c>
      <c r="I13" t="s">
        <v>286</v>
      </c>
      <c r="K13" t="s">
        <v>202</v>
      </c>
      <c r="L13" t="s">
        <v>70</v>
      </c>
      <c r="M13" t="s">
        <v>71</v>
      </c>
      <c r="N13" t="s">
        <v>70</v>
      </c>
      <c r="O13" t="s">
        <v>71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349</v>
      </c>
      <c r="R1" s="4" t="s">
        <v>350</v>
      </c>
    </row>
    <row r="2" spans="6:31" x14ac:dyDescent="0.25">
      <c r="G2" t="s">
        <v>346</v>
      </c>
    </row>
    <row r="3" spans="6:31" x14ac:dyDescent="0.25">
      <c r="F3" t="s">
        <v>347</v>
      </c>
      <c r="G3" t="s">
        <v>343</v>
      </c>
      <c r="H3" t="s">
        <v>344</v>
      </c>
      <c r="I3" t="s">
        <v>345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351</v>
      </c>
      <c r="S4" s="118"/>
      <c r="T4" s="118"/>
      <c r="U4" s="118"/>
      <c r="V4" s="118"/>
      <c r="W4" s="118"/>
      <c r="X4" s="112"/>
      <c r="Y4" s="112"/>
      <c r="AB4" t="s">
        <v>347</v>
      </c>
      <c r="AC4" t="s">
        <v>384</v>
      </c>
      <c r="AD4" t="s">
        <v>354</v>
      </c>
      <c r="AE4" t="s">
        <v>355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353</v>
      </c>
      <c r="S5" s="119" t="s">
        <v>352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388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385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347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354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392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353</v>
      </c>
      <c r="S15" s="119" t="s">
        <v>386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391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353</v>
      </c>
      <c r="S25" s="119" t="s">
        <v>386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0.99434308508956182</v>
      </c>
    </row>
    <row r="5" spans="1:9" x14ac:dyDescent="0.25">
      <c r="A5" s="136" t="s">
        <v>359</v>
      </c>
      <c r="B5" s="136">
        <v>0.98871817086542757</v>
      </c>
    </row>
    <row r="6" spans="1:9" x14ac:dyDescent="0.25">
      <c r="A6" s="136" t="s">
        <v>360</v>
      </c>
      <c r="B6" s="141">
        <v>0.9876437109478492</v>
      </c>
    </row>
    <row r="7" spans="1:9" x14ac:dyDescent="0.25">
      <c r="A7" s="136" t="s">
        <v>361</v>
      </c>
      <c r="B7" s="136">
        <v>0.64295634155271764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365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316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347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354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0.99923601209082613</v>
      </c>
    </row>
    <row r="5" spans="1:9" x14ac:dyDescent="0.25">
      <c r="A5" s="136" t="s">
        <v>359</v>
      </c>
      <c r="B5" s="136">
        <v>0.99847260785917769</v>
      </c>
    </row>
    <row r="6" spans="1:9" x14ac:dyDescent="0.25">
      <c r="A6" s="136" t="s">
        <v>360</v>
      </c>
      <c r="B6" s="141">
        <v>0.95294863548914033</v>
      </c>
    </row>
    <row r="7" spans="1:9" x14ac:dyDescent="0.25">
      <c r="A7" s="136" t="s">
        <v>361</v>
      </c>
      <c r="B7" s="136">
        <v>0.63937706804773409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365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316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347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354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scn_baseline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2023-10-24T09:00:53Z</dcterms:modified>
</cp:coreProperties>
</file>