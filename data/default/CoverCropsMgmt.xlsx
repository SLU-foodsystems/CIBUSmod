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9200" windowHeight="690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5" i="1" l="1"/>
  <c r="F34" i="1"/>
  <c r="F28" i="1"/>
  <c r="F27" i="1"/>
  <c r="F21" i="1"/>
  <c r="F20" i="1"/>
  <c r="F14" i="1"/>
  <c r="F13" i="1"/>
  <c r="F7" i="1"/>
  <c r="F6" i="1"/>
  <c r="F66" i="1"/>
  <c r="F67" i="1" s="1"/>
  <c r="F59" i="1"/>
  <c r="F60" i="1" s="1"/>
  <c r="F64" i="1"/>
  <c r="F65" i="1" s="1"/>
  <c r="F57" i="1"/>
  <c r="F58" i="1" s="1"/>
  <c r="F80" i="1"/>
  <c r="F81" i="1"/>
</calcChain>
</file>

<file path=xl/sharedStrings.xml><?xml version="1.0" encoding="utf-8"?>
<sst xmlns="http://schemas.openxmlformats.org/spreadsheetml/2006/main" count="264" uniqueCount="57">
  <si>
    <t>parameter</t>
  </si>
  <si>
    <t>value</t>
  </si>
  <si>
    <t>unit</t>
  </si>
  <si>
    <t>description</t>
  </si>
  <si>
    <t>source</t>
  </si>
  <si>
    <t>%</t>
  </si>
  <si>
    <t>Fallback</t>
  </si>
  <si>
    <t>f_crop</t>
  </si>
  <si>
    <t>f_cover_crop</t>
  </si>
  <si>
    <t>These shares specifies the share of crop area that is preceded by a cover crop in the rotation</t>
  </si>
  <si>
    <t>share_preceded_by_cover_crop</t>
  </si>
  <si>
    <t>ag_biomass</t>
  </si>
  <si>
    <t>bg_biomass</t>
  </si>
  <si>
    <t>ag_N</t>
  </si>
  <si>
    <t>bg_N</t>
  </si>
  <si>
    <t>ag_C</t>
  </si>
  <si>
    <t>bg_C</t>
  </si>
  <si>
    <t>kg DM/ha</t>
  </si>
  <si>
    <t>kg N/kg DM</t>
  </si>
  <si>
    <t>kg C/kg DM</t>
  </si>
  <si>
    <t>Above ground (ag) and below ground (bg) cover crop biomass yields</t>
  </si>
  <si>
    <t>Residual N from cover crops that covers N requirements for other crops in rotation</t>
  </si>
  <si>
    <t>resid_N</t>
  </si>
  <si>
    <t>kg N/ha</t>
  </si>
  <si>
    <t>Adjustment factor for leaching</t>
  </si>
  <si>
    <t>leach_adjust</t>
  </si>
  <si>
    <t>-</t>
  </si>
  <si>
    <t>f_po8:region</t>
  </si>
  <si>
    <t>1 Götalands södra slättbygder</t>
  </si>
  <si>
    <t>Perennial ryegrass</t>
  </si>
  <si>
    <t>f_crop_group:crop</t>
  </si>
  <si>
    <t>Cereals, spring</t>
  </si>
  <si>
    <t>Potatoes</t>
  </si>
  <si>
    <t>Grain legumes</t>
  </si>
  <si>
    <t>Rapeseed, spring</t>
  </si>
  <si>
    <t>Vegetables</t>
  </si>
  <si>
    <t>Oil radish</t>
  </si>
  <si>
    <t>Assume same as above ground</t>
  </si>
  <si>
    <t>Nitrogen in cover crop biomass</t>
  </si>
  <si>
    <t>Carbon in cover crop biomass</t>
  </si>
  <si>
    <t>These parameters are not used at the moment…</t>
  </si>
  <si>
    <t>8 Övre Norrland</t>
  </si>
  <si>
    <t>6 Mellersta Sveriges skogsbygder</t>
  </si>
  <si>
    <t>7 Nedre Norrland</t>
  </si>
  <si>
    <t>2 Götalands mellanbygder</t>
  </si>
  <si>
    <t>3 Götalands norra slättbygder</t>
  </si>
  <si>
    <t>5 Götalands skogsbygder</t>
  </si>
  <si>
    <t>4 Svealands slättbygder</t>
  </si>
  <si>
    <t>Share of crops preceded by cover crop</t>
  </si>
  <si>
    <t>Shares set to match cover crop areas</t>
  </si>
  <si>
    <t>Swedish Board of Agriculture (2023) Odlingsåtgärder i jordbruket 2022. Träda, slåttervall, förfrukter, jordbearbetning, fånggrödor samt spridning av kalk på åkermark. MI 30 SM 2303</t>
  </si>
  <si>
    <t>No cover crops assumed in these regions</t>
  </si>
  <si>
    <t>in national statistics for year 2022</t>
  </si>
  <si>
    <t>soil_loss_adjust</t>
  </si>
  <si>
    <t>The leaching/soil losses of the crop succeeding the cover crop is multiplied by the corresponding factor factor. A factor of 1 means no effect of cover crop</t>
  </si>
  <si>
    <t>and a factor lower than 1 means that leaching/soil losses are reduced.</t>
  </si>
  <si>
    <t>Note: This is not ideal as it is rather leaching/soil losses from the preceding crop that are reduced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</si>
</sst>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5" formatCode="0.0"/>
    <numFmt numFmtId="166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0" fillId="2" borderId="0" xfId="0" applyFill="1"/>
    <xf numFmtId="1" fontId="0" fillId="2" borderId="0" xfId="0" applyNumberFormat="1" applyFill="1"/>
    <xf numFmtId="0" fontId="1" fillId="2" borderId="0" xfId="0" applyFont="1" applyFill="1"/>
    <xf numFmtId="0" fontId="4" fillId="0" borderId="0" xfId="0" applyFont="1"/>
    <xf numFmtId="1" fontId="4" fillId="0" borderId="0" xfId="0" applyNumberFormat="1" applyFont="1"/>
    <xf numFmtId="165" fontId="0" fillId="0" borderId="0" xfId="0" applyNumberFormat="1"/>
    <xf numFmtId="2" fontId="0" fillId="0" borderId="0" xfId="0" applyNumberFormat="1"/>
    <xf numFmtId="2" fontId="4" fillId="0" borderId="0" xfId="0" applyNumberFormat="1" applyFont="1"/>
    <xf numFmtId="3" fontId="0" fillId="0" borderId="0" xfId="0" applyNumberFormat="1"/>
    <xf numFmtId="166" fontId="0" fillId="0" borderId="0" xfId="0" applyNumberFormat="1"/>
    <xf numFmtId="166" fontId="5" fillId="0" borderId="0" xfId="0" applyNumberFormat="1" applyFont="1"/>
    <xf numFmtId="0" fontId="6" fillId="0" borderId="0" xfId="0" applyFont="1"/>
    <xf numFmtId="0" fontId="0" fillId="0" borderId="0" xfId="0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6"/>
  <sheetViews>
    <sheetView tabSelected="1" workbookViewId="0">
      <pane ySplit="1" topLeftCell="A59" activePane="bottomLeft" state="frozen"/>
      <selection pane="bottomLeft" activeCell="E77" sqref="E77"/>
    </sheetView>
  </sheetViews>
  <sheetFormatPr defaultRowHeight="15" x14ac:dyDescent="0.25"/>
  <cols>
    <col min="1" max="1" width="25.5703125" bestFit="1" customWidth="1"/>
    <col min="2" max="3" width="25.5703125" customWidth="1"/>
    <col min="4" max="4" width="30.85546875" bestFit="1" customWidth="1"/>
    <col min="5" max="5" width="29.85546875" bestFit="1" customWidth="1"/>
    <col min="6" max="6" width="9.7109375" customWidth="1"/>
    <col min="7" max="7" width="11.140625" bestFit="1" customWidth="1"/>
    <col min="8" max="8" width="34.5703125" customWidth="1"/>
    <col min="9" max="9" width="31.7109375" customWidth="1"/>
  </cols>
  <sheetData>
    <row r="1" spans="1:9" x14ac:dyDescent="0.25">
      <c r="A1" s="1" t="s">
        <v>7</v>
      </c>
      <c r="B1" s="1" t="s">
        <v>30</v>
      </c>
      <c r="C1" s="1" t="s">
        <v>8</v>
      </c>
      <c r="D1" s="1" t="s">
        <v>27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</row>
    <row r="2" spans="1:9" x14ac:dyDescent="0.25">
      <c r="A2" s="8" t="s">
        <v>48</v>
      </c>
      <c r="B2" s="8"/>
      <c r="C2" s="6"/>
      <c r="D2" s="8"/>
      <c r="E2" s="6"/>
      <c r="F2" s="7"/>
      <c r="G2" s="6"/>
      <c r="H2" s="6"/>
      <c r="I2" s="6"/>
    </row>
    <row r="3" spans="1:9" x14ac:dyDescent="0.25">
      <c r="A3" s="3" t="s">
        <v>9</v>
      </c>
      <c r="B3" s="3"/>
      <c r="C3" s="3"/>
      <c r="D3" s="3"/>
      <c r="F3" s="2"/>
    </row>
    <row r="4" spans="1:9" x14ac:dyDescent="0.25">
      <c r="E4" s="4" t="s">
        <v>10</v>
      </c>
      <c r="F4" s="5">
        <v>0</v>
      </c>
      <c r="G4" s="4" t="s">
        <v>5</v>
      </c>
      <c r="H4" s="4" t="s">
        <v>6</v>
      </c>
    </row>
    <row r="5" spans="1:9" x14ac:dyDescent="0.25">
      <c r="E5" s="4"/>
      <c r="F5" s="5"/>
      <c r="G5" s="4"/>
      <c r="H5" s="4"/>
    </row>
    <row r="6" spans="1:9" x14ac:dyDescent="0.25">
      <c r="B6" t="s">
        <v>31</v>
      </c>
      <c r="C6" t="s">
        <v>29</v>
      </c>
      <c r="D6" s="18" t="s">
        <v>28</v>
      </c>
      <c r="E6" t="s">
        <v>10</v>
      </c>
      <c r="F6" s="2">
        <f>24/2</f>
        <v>12</v>
      </c>
      <c r="G6" t="s">
        <v>5</v>
      </c>
      <c r="H6" t="s">
        <v>49</v>
      </c>
      <c r="I6" t="s">
        <v>50</v>
      </c>
    </row>
    <row r="7" spans="1:9" x14ac:dyDescent="0.25">
      <c r="B7" t="s">
        <v>31</v>
      </c>
      <c r="C7" t="s">
        <v>36</v>
      </c>
      <c r="D7" s="18" t="s">
        <v>28</v>
      </c>
      <c r="E7" t="s">
        <v>10</v>
      </c>
      <c r="F7" s="2">
        <f>24/2</f>
        <v>12</v>
      </c>
      <c r="G7" t="s">
        <v>5</v>
      </c>
      <c r="H7" t="s">
        <v>52</v>
      </c>
    </row>
    <row r="8" spans="1:9" x14ac:dyDescent="0.25">
      <c r="B8" t="s">
        <v>32</v>
      </c>
      <c r="C8" t="s">
        <v>29</v>
      </c>
      <c r="D8" s="18" t="s">
        <v>28</v>
      </c>
      <c r="E8" t="s">
        <v>10</v>
      </c>
      <c r="F8" s="2">
        <v>24</v>
      </c>
      <c r="G8" t="s">
        <v>5</v>
      </c>
    </row>
    <row r="9" spans="1:9" x14ac:dyDescent="0.25">
      <c r="B9" t="s">
        <v>33</v>
      </c>
      <c r="C9" t="s">
        <v>29</v>
      </c>
      <c r="D9" s="18" t="s">
        <v>28</v>
      </c>
      <c r="E9" t="s">
        <v>10</v>
      </c>
      <c r="F9" s="2">
        <v>24</v>
      </c>
      <c r="G9" t="s">
        <v>5</v>
      </c>
    </row>
    <row r="10" spans="1:9" x14ac:dyDescent="0.25">
      <c r="B10" t="s">
        <v>35</v>
      </c>
      <c r="C10" t="s">
        <v>29</v>
      </c>
      <c r="D10" s="18" t="s">
        <v>28</v>
      </c>
      <c r="E10" t="s">
        <v>10</v>
      </c>
      <c r="F10" s="2">
        <v>24</v>
      </c>
      <c r="G10" t="s">
        <v>5</v>
      </c>
    </row>
    <row r="11" spans="1:9" x14ac:dyDescent="0.25">
      <c r="A11" t="s">
        <v>34</v>
      </c>
      <c r="C11" t="s">
        <v>29</v>
      </c>
      <c r="D11" s="18" t="s">
        <v>28</v>
      </c>
      <c r="E11" t="s">
        <v>10</v>
      </c>
      <c r="F11" s="2">
        <v>24</v>
      </c>
      <c r="G11" t="s">
        <v>5</v>
      </c>
    </row>
    <row r="12" spans="1:9" x14ac:dyDescent="0.25">
      <c r="F12" s="2"/>
    </row>
    <row r="13" spans="1:9" x14ac:dyDescent="0.25">
      <c r="B13" t="s">
        <v>31</v>
      </c>
      <c r="C13" t="s">
        <v>29</v>
      </c>
      <c r="D13" s="18" t="s">
        <v>44</v>
      </c>
      <c r="E13" t="s">
        <v>10</v>
      </c>
      <c r="F13" s="2">
        <f>20/2</f>
        <v>10</v>
      </c>
      <c r="G13" t="s">
        <v>5</v>
      </c>
      <c r="I13" t="s">
        <v>50</v>
      </c>
    </row>
    <row r="14" spans="1:9" x14ac:dyDescent="0.25">
      <c r="B14" t="s">
        <v>31</v>
      </c>
      <c r="C14" t="s">
        <v>36</v>
      </c>
      <c r="D14" s="18" t="s">
        <v>44</v>
      </c>
      <c r="E14" t="s">
        <v>10</v>
      </c>
      <c r="F14" s="2">
        <f>20/2</f>
        <v>10</v>
      </c>
      <c r="G14" t="s">
        <v>5</v>
      </c>
    </row>
    <row r="15" spans="1:9" x14ac:dyDescent="0.25">
      <c r="B15" t="s">
        <v>32</v>
      </c>
      <c r="C15" t="s">
        <v>29</v>
      </c>
      <c r="D15" s="18" t="s">
        <v>44</v>
      </c>
      <c r="E15" t="s">
        <v>10</v>
      </c>
      <c r="F15" s="2">
        <v>20</v>
      </c>
      <c r="G15" t="s">
        <v>5</v>
      </c>
    </row>
    <row r="16" spans="1:9" x14ac:dyDescent="0.25">
      <c r="B16" t="s">
        <v>33</v>
      </c>
      <c r="C16" t="s">
        <v>29</v>
      </c>
      <c r="D16" s="18" t="s">
        <v>44</v>
      </c>
      <c r="E16" t="s">
        <v>10</v>
      </c>
      <c r="F16" s="2">
        <v>20</v>
      </c>
      <c r="G16" t="s">
        <v>5</v>
      </c>
    </row>
    <row r="17" spans="1:9" x14ac:dyDescent="0.25">
      <c r="B17" t="s">
        <v>35</v>
      </c>
      <c r="C17" t="s">
        <v>29</v>
      </c>
      <c r="D17" s="18" t="s">
        <v>44</v>
      </c>
      <c r="E17" t="s">
        <v>10</v>
      </c>
      <c r="F17" s="2">
        <v>20</v>
      </c>
      <c r="G17" t="s">
        <v>5</v>
      </c>
    </row>
    <row r="18" spans="1:9" x14ac:dyDescent="0.25">
      <c r="A18" t="s">
        <v>34</v>
      </c>
      <c r="C18" t="s">
        <v>29</v>
      </c>
      <c r="D18" s="18" t="s">
        <v>44</v>
      </c>
      <c r="E18" t="s">
        <v>10</v>
      </c>
      <c r="F18" s="2">
        <v>20</v>
      </c>
      <c r="G18" t="s">
        <v>5</v>
      </c>
    </row>
    <row r="19" spans="1:9" x14ac:dyDescent="0.25">
      <c r="F19" s="2"/>
    </row>
    <row r="20" spans="1:9" x14ac:dyDescent="0.25">
      <c r="B20" t="s">
        <v>31</v>
      </c>
      <c r="C20" t="s">
        <v>29</v>
      </c>
      <c r="D20" s="18" t="s">
        <v>45</v>
      </c>
      <c r="E20" t="s">
        <v>10</v>
      </c>
      <c r="F20" s="11">
        <f>17/2</f>
        <v>8.5</v>
      </c>
      <c r="G20" t="s">
        <v>5</v>
      </c>
      <c r="I20" t="s">
        <v>50</v>
      </c>
    </row>
    <row r="21" spans="1:9" x14ac:dyDescent="0.25">
      <c r="B21" t="s">
        <v>31</v>
      </c>
      <c r="C21" t="s">
        <v>36</v>
      </c>
      <c r="D21" s="18" t="s">
        <v>45</v>
      </c>
      <c r="E21" t="s">
        <v>10</v>
      </c>
      <c r="F21" s="11">
        <f>17/2</f>
        <v>8.5</v>
      </c>
      <c r="G21" t="s">
        <v>5</v>
      </c>
    </row>
    <row r="22" spans="1:9" x14ac:dyDescent="0.25">
      <c r="B22" t="s">
        <v>32</v>
      </c>
      <c r="C22" t="s">
        <v>29</v>
      </c>
      <c r="D22" s="18" t="s">
        <v>45</v>
      </c>
      <c r="E22" t="s">
        <v>10</v>
      </c>
      <c r="F22" s="2">
        <v>17</v>
      </c>
      <c r="G22" t="s">
        <v>5</v>
      </c>
    </row>
    <row r="23" spans="1:9" x14ac:dyDescent="0.25">
      <c r="B23" t="s">
        <v>33</v>
      </c>
      <c r="C23" t="s">
        <v>29</v>
      </c>
      <c r="D23" s="18" t="s">
        <v>45</v>
      </c>
      <c r="E23" t="s">
        <v>10</v>
      </c>
      <c r="F23" s="2">
        <v>17</v>
      </c>
      <c r="G23" t="s">
        <v>5</v>
      </c>
    </row>
    <row r="24" spans="1:9" x14ac:dyDescent="0.25">
      <c r="B24" t="s">
        <v>35</v>
      </c>
      <c r="C24" t="s">
        <v>29</v>
      </c>
      <c r="D24" s="18" t="s">
        <v>45</v>
      </c>
      <c r="E24" t="s">
        <v>10</v>
      </c>
      <c r="F24" s="2">
        <v>17</v>
      </c>
      <c r="G24" t="s">
        <v>5</v>
      </c>
    </row>
    <row r="25" spans="1:9" x14ac:dyDescent="0.25">
      <c r="A25" t="s">
        <v>34</v>
      </c>
      <c r="C25" t="s">
        <v>29</v>
      </c>
      <c r="D25" s="18" t="s">
        <v>45</v>
      </c>
      <c r="E25" t="s">
        <v>10</v>
      </c>
      <c r="F25" s="2">
        <v>17</v>
      </c>
      <c r="G25" t="s">
        <v>5</v>
      </c>
    </row>
    <row r="26" spans="1:9" x14ac:dyDescent="0.25">
      <c r="F26" s="2"/>
    </row>
    <row r="27" spans="1:9" x14ac:dyDescent="0.25">
      <c r="B27" t="s">
        <v>31</v>
      </c>
      <c r="C27" t="s">
        <v>29</v>
      </c>
      <c r="D27" s="18" t="s">
        <v>47</v>
      </c>
      <c r="E27" t="s">
        <v>10</v>
      </c>
      <c r="F27" s="11">
        <f>7/2</f>
        <v>3.5</v>
      </c>
      <c r="G27" t="s">
        <v>5</v>
      </c>
      <c r="I27" t="s">
        <v>50</v>
      </c>
    </row>
    <row r="28" spans="1:9" x14ac:dyDescent="0.25">
      <c r="B28" t="s">
        <v>31</v>
      </c>
      <c r="C28" t="s">
        <v>36</v>
      </c>
      <c r="D28" s="18" t="s">
        <v>47</v>
      </c>
      <c r="E28" t="s">
        <v>10</v>
      </c>
      <c r="F28" s="11">
        <f>7/2</f>
        <v>3.5</v>
      </c>
      <c r="G28" t="s">
        <v>5</v>
      </c>
    </row>
    <row r="29" spans="1:9" x14ac:dyDescent="0.25">
      <c r="B29" t="s">
        <v>32</v>
      </c>
      <c r="C29" t="s">
        <v>29</v>
      </c>
      <c r="D29" s="18" t="s">
        <v>47</v>
      </c>
      <c r="E29" t="s">
        <v>10</v>
      </c>
      <c r="F29" s="2">
        <v>7</v>
      </c>
      <c r="G29" t="s">
        <v>5</v>
      </c>
    </row>
    <row r="30" spans="1:9" x14ac:dyDescent="0.25">
      <c r="B30" t="s">
        <v>33</v>
      </c>
      <c r="C30" t="s">
        <v>29</v>
      </c>
      <c r="D30" s="18" t="s">
        <v>47</v>
      </c>
      <c r="E30" t="s">
        <v>10</v>
      </c>
      <c r="F30" s="2">
        <v>7</v>
      </c>
      <c r="G30" t="s">
        <v>5</v>
      </c>
    </row>
    <row r="31" spans="1:9" x14ac:dyDescent="0.25">
      <c r="B31" t="s">
        <v>35</v>
      </c>
      <c r="C31" t="s">
        <v>29</v>
      </c>
      <c r="D31" s="18" t="s">
        <v>47</v>
      </c>
      <c r="E31" t="s">
        <v>10</v>
      </c>
      <c r="F31" s="2">
        <v>7</v>
      </c>
      <c r="G31" t="s">
        <v>5</v>
      </c>
    </row>
    <row r="32" spans="1:9" x14ac:dyDescent="0.25">
      <c r="A32" t="s">
        <v>34</v>
      </c>
      <c r="C32" t="s">
        <v>29</v>
      </c>
      <c r="D32" s="18" t="s">
        <v>47</v>
      </c>
      <c r="E32" t="s">
        <v>10</v>
      </c>
      <c r="F32" s="2">
        <v>7</v>
      </c>
      <c r="G32" t="s">
        <v>5</v>
      </c>
    </row>
    <row r="33" spans="1:9" x14ac:dyDescent="0.25">
      <c r="F33" s="2"/>
    </row>
    <row r="34" spans="1:9" x14ac:dyDescent="0.25">
      <c r="B34" t="s">
        <v>31</v>
      </c>
      <c r="C34" t="s">
        <v>29</v>
      </c>
      <c r="D34" s="18" t="s">
        <v>46</v>
      </c>
      <c r="E34" t="s">
        <v>10</v>
      </c>
      <c r="F34" s="2">
        <f>16/2</f>
        <v>8</v>
      </c>
      <c r="G34" t="s">
        <v>5</v>
      </c>
      <c r="I34" t="s">
        <v>50</v>
      </c>
    </row>
    <row r="35" spans="1:9" x14ac:dyDescent="0.25">
      <c r="B35" t="s">
        <v>31</v>
      </c>
      <c r="C35" t="s">
        <v>36</v>
      </c>
      <c r="D35" s="18" t="s">
        <v>46</v>
      </c>
      <c r="E35" t="s">
        <v>10</v>
      </c>
      <c r="F35" s="2">
        <f>16/2</f>
        <v>8</v>
      </c>
      <c r="G35" t="s">
        <v>5</v>
      </c>
    </row>
    <row r="36" spans="1:9" x14ac:dyDescent="0.25">
      <c r="B36" t="s">
        <v>32</v>
      </c>
      <c r="C36" t="s">
        <v>29</v>
      </c>
      <c r="D36" s="18" t="s">
        <v>46</v>
      </c>
      <c r="E36" t="s">
        <v>10</v>
      </c>
      <c r="F36" s="2">
        <v>16</v>
      </c>
      <c r="G36" t="s">
        <v>5</v>
      </c>
    </row>
    <row r="37" spans="1:9" x14ac:dyDescent="0.25">
      <c r="B37" t="s">
        <v>33</v>
      </c>
      <c r="C37" t="s">
        <v>29</v>
      </c>
      <c r="D37" s="18" t="s">
        <v>46</v>
      </c>
      <c r="E37" t="s">
        <v>10</v>
      </c>
      <c r="F37" s="2">
        <v>16</v>
      </c>
      <c r="G37" t="s">
        <v>5</v>
      </c>
    </row>
    <row r="38" spans="1:9" x14ac:dyDescent="0.25">
      <c r="B38" t="s">
        <v>35</v>
      </c>
      <c r="C38" t="s">
        <v>29</v>
      </c>
      <c r="D38" s="18" t="s">
        <v>46</v>
      </c>
      <c r="E38" t="s">
        <v>10</v>
      </c>
      <c r="F38" s="2">
        <v>16</v>
      </c>
      <c r="G38" t="s">
        <v>5</v>
      </c>
    </row>
    <row r="39" spans="1:9" x14ac:dyDescent="0.25">
      <c r="A39" t="s">
        <v>34</v>
      </c>
      <c r="C39" t="s">
        <v>29</v>
      </c>
      <c r="D39" s="18" t="s">
        <v>46</v>
      </c>
      <c r="E39" t="s">
        <v>10</v>
      </c>
      <c r="F39" s="2">
        <v>16</v>
      </c>
      <c r="G39" t="s">
        <v>5</v>
      </c>
    </row>
    <row r="40" spans="1:9" x14ac:dyDescent="0.25">
      <c r="F40" s="2"/>
    </row>
    <row r="41" spans="1:9" x14ac:dyDescent="0.25">
      <c r="D41" s="18" t="s">
        <v>42</v>
      </c>
      <c r="F41" s="2"/>
      <c r="H41" t="s">
        <v>51</v>
      </c>
    </row>
    <row r="42" spans="1:9" x14ac:dyDescent="0.25">
      <c r="D42" s="18" t="s">
        <v>43</v>
      </c>
      <c r="F42" s="2"/>
    </row>
    <row r="43" spans="1:9" x14ac:dyDescent="0.25">
      <c r="D43" s="18" t="s">
        <v>41</v>
      </c>
      <c r="F43" s="2"/>
    </row>
    <row r="44" spans="1:9" x14ac:dyDescent="0.25">
      <c r="F44" s="2"/>
    </row>
    <row r="45" spans="1:9" x14ac:dyDescent="0.25">
      <c r="A45" s="8" t="s">
        <v>20</v>
      </c>
      <c r="B45" s="8"/>
      <c r="C45" s="6"/>
      <c r="D45" s="8"/>
      <c r="E45" s="6"/>
      <c r="F45" s="7"/>
      <c r="G45" s="6"/>
      <c r="H45" s="6"/>
      <c r="I45" s="6"/>
    </row>
    <row r="46" spans="1:9" x14ac:dyDescent="0.25">
      <c r="C46" t="s">
        <v>29</v>
      </c>
      <c r="E46" t="s">
        <v>11</v>
      </c>
      <c r="F46" s="14">
        <v>850</v>
      </c>
      <c r="G46" t="s">
        <v>17</v>
      </c>
    </row>
    <row r="47" spans="1:9" x14ac:dyDescent="0.25">
      <c r="C47" t="s">
        <v>29</v>
      </c>
      <c r="E47" t="s">
        <v>12</v>
      </c>
      <c r="F47" s="14">
        <v>283</v>
      </c>
      <c r="G47" t="s">
        <v>17</v>
      </c>
    </row>
    <row r="48" spans="1:9" x14ac:dyDescent="0.25">
      <c r="C48" t="s">
        <v>29</v>
      </c>
      <c r="D48" t="s">
        <v>28</v>
      </c>
      <c r="E48" t="s">
        <v>11</v>
      </c>
      <c r="F48" s="14">
        <v>950</v>
      </c>
      <c r="G48" t="s">
        <v>17</v>
      </c>
    </row>
    <row r="49" spans="1:9" x14ac:dyDescent="0.25">
      <c r="C49" t="s">
        <v>29</v>
      </c>
      <c r="D49" t="s">
        <v>28</v>
      </c>
      <c r="E49" t="s">
        <v>12</v>
      </c>
      <c r="F49" s="14">
        <v>317</v>
      </c>
      <c r="G49" t="s">
        <v>17</v>
      </c>
    </row>
    <row r="50" spans="1:9" x14ac:dyDescent="0.25">
      <c r="F50" s="14"/>
    </row>
    <row r="51" spans="1:9" x14ac:dyDescent="0.25">
      <c r="C51" t="s">
        <v>36</v>
      </c>
      <c r="E51" t="s">
        <v>11</v>
      </c>
      <c r="F51" s="14">
        <v>825</v>
      </c>
      <c r="G51" t="s">
        <v>17</v>
      </c>
    </row>
    <row r="52" spans="1:9" x14ac:dyDescent="0.25">
      <c r="C52" t="s">
        <v>36</v>
      </c>
      <c r="E52" t="s">
        <v>12</v>
      </c>
      <c r="F52" s="14">
        <v>236</v>
      </c>
      <c r="G52" t="s">
        <v>17</v>
      </c>
    </row>
    <row r="53" spans="1:9" x14ac:dyDescent="0.25">
      <c r="C53" t="s">
        <v>36</v>
      </c>
      <c r="D53" t="s">
        <v>28</v>
      </c>
      <c r="E53" t="s">
        <v>11</v>
      </c>
      <c r="F53" s="14">
        <v>1500</v>
      </c>
      <c r="G53" t="s">
        <v>17</v>
      </c>
    </row>
    <row r="54" spans="1:9" x14ac:dyDescent="0.25">
      <c r="C54" t="s">
        <v>36</v>
      </c>
      <c r="D54" t="s">
        <v>28</v>
      </c>
      <c r="E54" t="s">
        <v>12</v>
      </c>
      <c r="F54" s="14">
        <v>428</v>
      </c>
      <c r="G54" t="s">
        <v>17</v>
      </c>
    </row>
    <row r="55" spans="1:9" x14ac:dyDescent="0.25">
      <c r="F55" s="2"/>
    </row>
    <row r="56" spans="1:9" x14ac:dyDescent="0.25">
      <c r="A56" s="8" t="s">
        <v>38</v>
      </c>
      <c r="B56" s="8"/>
      <c r="C56" s="6"/>
      <c r="D56" s="8"/>
      <c r="E56" s="6"/>
      <c r="F56" s="7"/>
      <c r="G56" s="6"/>
      <c r="H56" s="6"/>
      <c r="I56" s="6"/>
    </row>
    <row r="57" spans="1:9" x14ac:dyDescent="0.25">
      <c r="C57" t="s">
        <v>29</v>
      </c>
      <c r="E57" t="s">
        <v>13</v>
      </c>
      <c r="F57">
        <f>2.1/100</f>
        <v>2.1000000000000001E-2</v>
      </c>
      <c r="G57" t="s">
        <v>18</v>
      </c>
    </row>
    <row r="58" spans="1:9" x14ac:dyDescent="0.25">
      <c r="C58" t="s">
        <v>29</v>
      </c>
      <c r="E58" t="s">
        <v>14</v>
      </c>
      <c r="F58" s="16">
        <f>F57</f>
        <v>2.1000000000000001E-2</v>
      </c>
      <c r="G58" t="s">
        <v>18</v>
      </c>
      <c r="H58" t="s">
        <v>37</v>
      </c>
    </row>
    <row r="59" spans="1:9" x14ac:dyDescent="0.25">
      <c r="C59" t="s">
        <v>36</v>
      </c>
      <c r="E59" t="s">
        <v>13</v>
      </c>
      <c r="F59">
        <f>2.9/100</f>
        <v>2.8999999999999998E-2</v>
      </c>
      <c r="G59" t="s">
        <v>18</v>
      </c>
    </row>
    <row r="60" spans="1:9" x14ac:dyDescent="0.25">
      <c r="C60" t="s">
        <v>36</v>
      </c>
      <c r="E60" t="s">
        <v>14</v>
      </c>
      <c r="F60" s="16">
        <f>F59</f>
        <v>2.8999999999999998E-2</v>
      </c>
      <c r="G60" t="s">
        <v>18</v>
      </c>
      <c r="H60" t="s">
        <v>37</v>
      </c>
    </row>
    <row r="61" spans="1:9" x14ac:dyDescent="0.25">
      <c r="F61" s="16"/>
    </row>
    <row r="62" spans="1:9" x14ac:dyDescent="0.25">
      <c r="A62" s="8" t="s">
        <v>39</v>
      </c>
      <c r="B62" s="8"/>
      <c r="C62" s="6"/>
      <c r="D62" s="8"/>
      <c r="E62" s="6"/>
      <c r="F62" s="7"/>
      <c r="G62" s="6"/>
      <c r="H62" s="6"/>
      <c r="I62" s="6"/>
    </row>
    <row r="63" spans="1:9" x14ac:dyDescent="0.25">
      <c r="A63" s="17" t="s">
        <v>40</v>
      </c>
      <c r="F63" s="15"/>
    </row>
    <row r="64" spans="1:9" x14ac:dyDescent="0.25">
      <c r="C64" t="s">
        <v>29</v>
      </c>
      <c r="E64" t="s">
        <v>15</v>
      </c>
      <c r="F64" s="15">
        <f>43/100</f>
        <v>0.43</v>
      </c>
      <c r="G64" t="s">
        <v>19</v>
      </c>
    </row>
    <row r="65" spans="1:9" x14ac:dyDescent="0.25">
      <c r="C65" t="s">
        <v>29</v>
      </c>
      <c r="E65" t="s">
        <v>16</v>
      </c>
      <c r="F65" s="16">
        <f>F64</f>
        <v>0.43</v>
      </c>
      <c r="G65" t="s">
        <v>19</v>
      </c>
      <c r="H65" t="s">
        <v>37</v>
      </c>
    </row>
    <row r="66" spans="1:9" x14ac:dyDescent="0.25">
      <c r="C66" t="s">
        <v>36</v>
      </c>
      <c r="E66" t="s">
        <v>15</v>
      </c>
      <c r="F66" s="15">
        <f>41/100</f>
        <v>0.41</v>
      </c>
      <c r="G66" t="s">
        <v>19</v>
      </c>
    </row>
    <row r="67" spans="1:9" x14ac:dyDescent="0.25">
      <c r="C67" t="s">
        <v>36</v>
      </c>
      <c r="E67" t="s">
        <v>16</v>
      </c>
      <c r="F67" s="16">
        <f>F66</f>
        <v>0.41</v>
      </c>
      <c r="G67" t="s">
        <v>19</v>
      </c>
      <c r="H67" t="s">
        <v>37</v>
      </c>
    </row>
    <row r="68" spans="1:9" x14ac:dyDescent="0.25">
      <c r="F68" s="2"/>
    </row>
    <row r="69" spans="1:9" x14ac:dyDescent="0.25">
      <c r="A69" s="8" t="s">
        <v>21</v>
      </c>
      <c r="B69" s="8"/>
      <c r="C69" s="6"/>
      <c r="D69" s="8"/>
      <c r="E69" s="6"/>
      <c r="F69" s="7"/>
      <c r="G69" s="6"/>
      <c r="H69" s="6"/>
      <c r="I69" s="6"/>
    </row>
    <row r="70" spans="1:9" x14ac:dyDescent="0.25">
      <c r="C70" s="9" t="s">
        <v>29</v>
      </c>
      <c r="D70" s="9"/>
      <c r="E70" s="9" t="s">
        <v>22</v>
      </c>
      <c r="F70" s="10">
        <v>0</v>
      </c>
      <c r="G70" s="9" t="s">
        <v>23</v>
      </c>
      <c r="H70" s="4"/>
    </row>
    <row r="71" spans="1:9" x14ac:dyDescent="0.25">
      <c r="C71" s="9" t="s">
        <v>36</v>
      </c>
      <c r="D71" s="9"/>
      <c r="E71" s="9" t="s">
        <v>22</v>
      </c>
      <c r="F71" s="10">
        <v>10</v>
      </c>
      <c r="G71" s="9" t="s">
        <v>23</v>
      </c>
      <c r="H71" s="4"/>
    </row>
    <row r="72" spans="1:9" x14ac:dyDescent="0.25">
      <c r="F72" s="2"/>
    </row>
    <row r="73" spans="1:9" x14ac:dyDescent="0.25">
      <c r="A73" s="8" t="s">
        <v>24</v>
      </c>
      <c r="B73" s="8"/>
      <c r="C73" s="6"/>
      <c r="D73" s="8"/>
      <c r="E73" s="6"/>
      <c r="F73" s="7"/>
      <c r="G73" s="6"/>
      <c r="H73" s="6"/>
      <c r="I73" s="6"/>
    </row>
    <row r="74" spans="1:9" x14ac:dyDescent="0.25">
      <c r="A74" s="3" t="s">
        <v>54</v>
      </c>
      <c r="B74" s="3"/>
      <c r="D74" s="3"/>
      <c r="F74" s="2"/>
    </row>
    <row r="75" spans="1:9" x14ac:dyDescent="0.25">
      <c r="A75" s="3" t="s">
        <v>55</v>
      </c>
      <c r="B75" s="3"/>
      <c r="D75" s="3"/>
      <c r="F75" s="2"/>
    </row>
    <row r="76" spans="1:9" x14ac:dyDescent="0.25">
      <c r="A76" s="3" t="s">
        <v>56</v>
      </c>
      <c r="B76" s="3"/>
      <c r="D76" s="3"/>
      <c r="F76" s="2"/>
    </row>
    <row r="77" spans="1:9" x14ac:dyDescent="0.25">
      <c r="A77" s="3"/>
      <c r="B77" s="3"/>
      <c r="D77" s="3"/>
      <c r="E77" s="4" t="s">
        <v>25</v>
      </c>
      <c r="F77" s="5">
        <v>1</v>
      </c>
      <c r="G77" s="4" t="s">
        <v>26</v>
      </c>
      <c r="H77" s="4" t="s">
        <v>6</v>
      </c>
    </row>
    <row r="78" spans="1:9" x14ac:dyDescent="0.25">
      <c r="A78" s="3"/>
      <c r="B78" s="3"/>
      <c r="D78" s="3"/>
      <c r="E78" s="4" t="s">
        <v>53</v>
      </c>
      <c r="F78" s="5">
        <v>1</v>
      </c>
      <c r="G78" s="4" t="s">
        <v>26</v>
      </c>
      <c r="H78" s="4" t="s">
        <v>6</v>
      </c>
    </row>
    <row r="79" spans="1:9" x14ac:dyDescent="0.25">
      <c r="A79" s="3"/>
      <c r="B79" s="3"/>
      <c r="D79" s="3"/>
      <c r="E79" s="4"/>
      <c r="F79" s="5"/>
      <c r="G79" s="4"/>
      <c r="H79" s="4"/>
    </row>
    <row r="80" spans="1:9" x14ac:dyDescent="0.25">
      <c r="C80" t="s">
        <v>29</v>
      </c>
      <c r="E80" s="9" t="s">
        <v>25</v>
      </c>
      <c r="F80" s="13">
        <f>1-0.43</f>
        <v>0.57000000000000006</v>
      </c>
      <c r="G80" s="9" t="s">
        <v>26</v>
      </c>
      <c r="H80" s="4"/>
    </row>
    <row r="81" spans="3:7" x14ac:dyDescent="0.25">
      <c r="C81" t="s">
        <v>36</v>
      </c>
      <c r="E81" s="9" t="s">
        <v>25</v>
      </c>
      <c r="F81" s="13">
        <f>1-0.43</f>
        <v>0.57000000000000006</v>
      </c>
      <c r="G81" s="9" t="s">
        <v>26</v>
      </c>
    </row>
    <row r="82" spans="3:7" x14ac:dyDescent="0.25">
      <c r="F82" s="2"/>
    </row>
    <row r="83" spans="3:7" x14ac:dyDescent="0.25">
      <c r="C83" t="s">
        <v>29</v>
      </c>
      <c r="E83" t="s">
        <v>53</v>
      </c>
      <c r="F83" s="12">
        <v>0.5</v>
      </c>
      <c r="G83" t="s">
        <v>26</v>
      </c>
    </row>
    <row r="84" spans="3:7" x14ac:dyDescent="0.25">
      <c r="C84" t="s">
        <v>36</v>
      </c>
      <c r="E84" t="s">
        <v>53</v>
      </c>
      <c r="F84" s="12">
        <v>1</v>
      </c>
      <c r="G84" t="s">
        <v>26</v>
      </c>
    </row>
    <row r="85" spans="3:7" x14ac:dyDescent="0.25">
      <c r="F85" s="2"/>
    </row>
    <row r="86" spans="3:7" x14ac:dyDescent="0.25">
      <c r="F86" s="2"/>
    </row>
    <row r="87" spans="3:7" x14ac:dyDescent="0.25">
      <c r="F87" s="2"/>
    </row>
    <row r="88" spans="3:7" x14ac:dyDescent="0.25">
      <c r="F88" s="2"/>
    </row>
    <row r="89" spans="3:7" x14ac:dyDescent="0.25">
      <c r="F89" s="2"/>
    </row>
    <row r="90" spans="3:7" x14ac:dyDescent="0.25">
      <c r="F90" s="2"/>
    </row>
    <row r="91" spans="3:7" x14ac:dyDescent="0.25">
      <c r="F91" s="2"/>
    </row>
    <row r="92" spans="3:7" x14ac:dyDescent="0.25">
      <c r="F92" s="2"/>
    </row>
    <row r="93" spans="3:7" x14ac:dyDescent="0.25">
      <c r="F93" s="2"/>
    </row>
    <row r="94" spans="3:7" x14ac:dyDescent="0.25">
      <c r="F94" s="2"/>
    </row>
    <row r="95" spans="3:7" x14ac:dyDescent="0.25">
      <c r="F95" s="2"/>
    </row>
    <row r="96" spans="3:7" x14ac:dyDescent="0.25">
      <c r="F96" s="2"/>
    </row>
    <row r="97" spans="6:6" x14ac:dyDescent="0.25">
      <c r="F97" s="2"/>
    </row>
    <row r="98" spans="6:6" x14ac:dyDescent="0.25">
      <c r="F98" s="2"/>
    </row>
    <row r="99" spans="6:6" x14ac:dyDescent="0.25">
      <c r="F99" s="2"/>
    </row>
    <row r="100" spans="6:6" x14ac:dyDescent="0.25">
      <c r="F100" s="2"/>
    </row>
    <row r="101" spans="6:6" x14ac:dyDescent="0.25">
      <c r="F101" s="2"/>
    </row>
    <row r="102" spans="6:6" x14ac:dyDescent="0.25">
      <c r="F102" s="2"/>
    </row>
    <row r="103" spans="6:6" x14ac:dyDescent="0.25">
      <c r="F103" s="2"/>
    </row>
    <row r="104" spans="6:6" x14ac:dyDescent="0.25">
      <c r="F104" s="2"/>
    </row>
    <row r="105" spans="6:6" x14ac:dyDescent="0.25">
      <c r="F105" s="2"/>
    </row>
    <row r="106" spans="6:6" x14ac:dyDescent="0.25">
      <c r="F106" s="2"/>
    </row>
    <row r="107" spans="6:6" x14ac:dyDescent="0.25">
      <c r="F107" s="2"/>
    </row>
    <row r="108" spans="6:6" x14ac:dyDescent="0.25">
      <c r="F108" s="2"/>
    </row>
    <row r="109" spans="6:6" x14ac:dyDescent="0.25">
      <c r="F109" s="2"/>
    </row>
    <row r="110" spans="6:6" x14ac:dyDescent="0.25">
      <c r="F110" s="2"/>
    </row>
    <row r="111" spans="6:6" x14ac:dyDescent="0.25">
      <c r="F111" s="2"/>
    </row>
    <row r="112" spans="6:6" x14ac:dyDescent="0.25">
      <c r="F112" s="2"/>
    </row>
    <row r="113" spans="6:6" x14ac:dyDescent="0.25">
      <c r="F113" s="2"/>
    </row>
    <row r="114" spans="6:6" x14ac:dyDescent="0.25">
      <c r="F114" s="2"/>
    </row>
    <row r="115" spans="6:6" x14ac:dyDescent="0.25">
      <c r="F115" s="2"/>
    </row>
    <row r="116" spans="6:6" x14ac:dyDescent="0.25">
      <c r="F116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2025-01-21T13:57:59Z</dcterms:modified>
</cp:coreProperties>
</file>