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360" windowHeight="6615" activeTab="1"/>
  </bookViews>
  <sheets>
    <sheet name="Regions" sheetId="7" r:id="rId1"/>
    <sheet name="DemandAndConversions" sheetId="2" r:id="rId2"/>
    <sheet name="CropProduction" sheetId="6" r:id="rId3"/>
    <sheet name="CattleHerd" sheetId="3" r:id="rId4"/>
    <sheet name="ManureMgmt" sheetId="13" r:id="rId5"/>
    <sheet name="PigHerd" sheetId="4" r:id="rId6"/>
    <sheet name="FeedMgmt" sheetId="9" r:id="rId7"/>
    <sheet name="SheepHerd" sheetId="10" r:id="rId8"/>
    <sheet name="MachineryAndEnergyMgmt" sheetId="8" r:id="rId9"/>
    <sheet name="PlantNutrientMgmt" sheetId="12" r:id="rId10"/>
    <sheet name="motivations" sheetId="5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14" i="2" l="1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N164" i="2" l="1"/>
  <c r="N165" i="2"/>
  <c r="N166" i="2"/>
  <c r="N163" i="2"/>
  <c r="N154" i="2" l="1"/>
  <c r="N155" i="2"/>
  <c r="N156" i="2"/>
  <c r="N157" i="2"/>
  <c r="N158" i="2"/>
  <c r="N159" i="2"/>
  <c r="N160" i="2"/>
  <c r="N161" i="2"/>
  <c r="N153" i="2"/>
  <c r="N298" i="2" l="1"/>
  <c r="N299" i="2"/>
  <c r="N300" i="2"/>
  <c r="N302" i="2"/>
  <c r="N297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303" i="2"/>
  <c r="N304" i="2"/>
  <c r="N305" i="2"/>
  <c r="N306" i="2"/>
  <c r="N307" i="2"/>
  <c r="N308" i="2"/>
  <c r="N264" i="2"/>
  <c r="H301" i="2"/>
  <c r="N301" i="2" s="1"/>
  <c r="H277" i="2"/>
  <c r="N277" i="2" s="1"/>
  <c r="N260" i="2" l="1"/>
  <c r="N261" i="2"/>
  <c r="N259" i="2"/>
  <c r="N255" i="2"/>
  <c r="N256" i="2"/>
  <c r="N257" i="2"/>
  <c r="N254" i="2"/>
  <c r="N252" i="2"/>
  <c r="N251" i="2"/>
  <c r="N249" i="2"/>
  <c r="N247" i="2"/>
  <c r="N246" i="2"/>
  <c r="N244" i="2"/>
  <c r="N242" i="2"/>
  <c r="N241" i="2"/>
  <c r="N239" i="2"/>
  <c r="N238" i="2"/>
  <c r="N237" i="2"/>
  <c r="N236" i="2"/>
  <c r="N234" i="2"/>
  <c r="N230" i="2"/>
  <c r="N231" i="2"/>
  <c r="N232" i="2"/>
  <c r="N229" i="2"/>
  <c r="N222" i="2"/>
  <c r="N223" i="2"/>
  <c r="N224" i="2"/>
  <c r="N225" i="2"/>
  <c r="N226" i="2"/>
  <c r="N227" i="2"/>
  <c r="N221" i="2"/>
  <c r="N217" i="2"/>
  <c r="N218" i="2"/>
  <c r="N219" i="2"/>
  <c r="N216" i="2"/>
  <c r="N205" i="2"/>
  <c r="N206" i="2"/>
  <c r="N207" i="2"/>
  <c r="N208" i="2"/>
  <c r="N209" i="2"/>
  <c r="N210" i="2"/>
  <c r="N211" i="2"/>
  <c r="N212" i="2"/>
  <c r="N213" i="2"/>
  <c r="N214" i="2"/>
  <c r="N204" i="2"/>
  <c r="N63" i="2" l="1"/>
  <c r="N16" i="2"/>
  <c r="N15" i="2"/>
  <c r="N8" i="2"/>
  <c r="N7" i="2"/>
  <c r="E3" i="12" l="1"/>
  <c r="E2" i="12"/>
  <c r="N3" i="2" l="1"/>
  <c r="M3" i="2"/>
  <c r="L3" i="2"/>
  <c r="K3" i="2"/>
  <c r="J3" i="2"/>
  <c r="I3" i="2"/>
  <c r="N81" i="2" l="1"/>
  <c r="N87" i="2" l="1"/>
  <c r="N86" i="2"/>
  <c r="N85" i="2"/>
  <c r="N64" i="2"/>
  <c r="E2" i="8" l="1"/>
  <c r="E3" i="8" s="1"/>
  <c r="E17" i="5" l="1"/>
  <c r="H181" i="2" l="1"/>
  <c r="H125" i="2"/>
  <c r="H123" i="2"/>
  <c r="H121" i="2"/>
  <c r="H118" i="2"/>
  <c r="H115" i="2"/>
  <c r="N92" i="2" l="1"/>
  <c r="N91" i="2"/>
  <c r="N90" i="2"/>
  <c r="N89" i="2"/>
</calcChain>
</file>

<file path=xl/sharedStrings.xml><?xml version="1.0" encoding="utf-8"?>
<sst xmlns="http://schemas.openxmlformats.org/spreadsheetml/2006/main" count="1666" uniqueCount="267">
  <si>
    <t>f_food</t>
  </si>
  <si>
    <t>parameter</t>
  </si>
  <si>
    <t>val_is</t>
  </si>
  <si>
    <t>y_2020</t>
  </si>
  <si>
    <t>y_2025</t>
  </si>
  <si>
    <t>y_2030</t>
  </si>
  <si>
    <t>y_2035</t>
  </si>
  <si>
    <t>y_2040</t>
  </si>
  <si>
    <t>y_2045</t>
  </si>
  <si>
    <t>y_2050</t>
  </si>
  <si>
    <t>population</t>
  </si>
  <si>
    <t>rel</t>
  </si>
  <si>
    <t>consumption</t>
  </si>
  <si>
    <t>Pig meat and products</t>
  </si>
  <si>
    <t>DIET</t>
  </si>
  <si>
    <t>Cereals (excl. beer)</t>
  </si>
  <si>
    <t>Wheat and products, refined</t>
  </si>
  <si>
    <t>Wheat and products, whole grain</t>
  </si>
  <si>
    <t>Barley and products, refined</t>
  </si>
  <si>
    <t>Barley and products, whole grain</t>
  </si>
  <si>
    <t>Maize and products</t>
  </si>
  <si>
    <t>Rye and products, refined</t>
  </si>
  <si>
    <t>Rye and products, whole grain</t>
  </si>
  <si>
    <t>Oats and products, refined</t>
  </si>
  <si>
    <t>Oats and products, whole grain</t>
  </si>
  <si>
    <t>Other cereals and products, refined</t>
  </si>
  <si>
    <t>Other cereals and products, whole grain</t>
  </si>
  <si>
    <t>Tubers or starchy vegetables</t>
  </si>
  <si>
    <t>Potatoes, fresh</t>
  </si>
  <si>
    <t>Potatoes, frozen</t>
  </si>
  <si>
    <t>Potato flour</t>
  </si>
  <si>
    <t>Starch of potatoes</t>
  </si>
  <si>
    <t>Vegetables DONE!</t>
  </si>
  <si>
    <t>Carrots and turnips</t>
  </si>
  <si>
    <t>Onions, dry</t>
  </si>
  <si>
    <t>Cabbages (and cauliflower &amp; broccoli)</t>
  </si>
  <si>
    <t>Lettuce and spinach</t>
  </si>
  <si>
    <t>Pumpkins, squash and gourds</t>
  </si>
  <si>
    <t>Peas, green</t>
  </si>
  <si>
    <t>Tomatoes and products</t>
  </si>
  <si>
    <t>Cucumbers and gherkins</t>
  </si>
  <si>
    <t>Mushrooms and truffles</t>
  </si>
  <si>
    <t>Other vegetables</t>
  </si>
  <si>
    <t>Fruits and berries (excl. wine)</t>
  </si>
  <si>
    <t>Apples</t>
  </si>
  <si>
    <t>Apple juice</t>
  </si>
  <si>
    <t>Apple juice concentrate</t>
  </si>
  <si>
    <t>Pears</t>
  </si>
  <si>
    <t>Other fruit</t>
  </si>
  <si>
    <t>Strawberries</t>
  </si>
  <si>
    <t>Currants</t>
  </si>
  <si>
    <t>Other berries</t>
  </si>
  <si>
    <t>Dairy foods</t>
  </si>
  <si>
    <t>Milk and products less than 1% fat</t>
  </si>
  <si>
    <t>Milk and products 1-2% fat</t>
  </si>
  <si>
    <t>Milk and products more than 2% fat</t>
  </si>
  <si>
    <t>Cheese</t>
  </si>
  <si>
    <t>Icecream</t>
  </si>
  <si>
    <t>Sourcream</t>
  </si>
  <si>
    <t>Cream low fat</t>
  </si>
  <si>
    <t>Cream high fat</t>
  </si>
  <si>
    <t>Butter</t>
  </si>
  <si>
    <t>Meat, offals and animal fats</t>
  </si>
  <si>
    <t>Bovine meat and products</t>
  </si>
  <si>
    <t>Poultry meat and products</t>
  </si>
  <si>
    <t>Eggs</t>
  </si>
  <si>
    <t>Fish</t>
  </si>
  <si>
    <t>Pulses and oil seeds</t>
  </si>
  <si>
    <t>Peas, dry</t>
  </si>
  <si>
    <t>Broad beans and horse beans, dry</t>
  </si>
  <si>
    <t>Beans, dry</t>
  </si>
  <si>
    <t>Chick peas, dry</t>
  </si>
  <si>
    <t>Lentils, dry</t>
  </si>
  <si>
    <t>Treenuts</t>
  </si>
  <si>
    <t>Vegetable oils</t>
  </si>
  <si>
    <t>Rape and mustard oil and products</t>
  </si>
  <si>
    <t>Sunflowerseed oil and products</t>
  </si>
  <si>
    <t>Olive oil and products</t>
  </si>
  <si>
    <t>Sweeteners</t>
  </si>
  <si>
    <t>Sugar and products</t>
  </si>
  <si>
    <t>Other sweeteners</t>
  </si>
  <si>
    <t>Honey</t>
  </si>
  <si>
    <t>Alcoholic beverages</t>
  </si>
  <si>
    <t>Wine and products</t>
  </si>
  <si>
    <t>Barley beer</t>
  </si>
  <si>
    <t>Beverages, fermented and products</t>
  </si>
  <si>
    <t>Beverages, alcoholic</t>
  </si>
  <si>
    <t>Stimulants</t>
  </si>
  <si>
    <t>Spices</t>
  </si>
  <si>
    <t>Wild food</t>
  </si>
  <si>
    <t>Novel foods</t>
  </si>
  <si>
    <t>POPULATION</t>
  </si>
  <si>
    <t>IMPORT SHARES</t>
  </si>
  <si>
    <t>Fruits (excl. wine)</t>
  </si>
  <si>
    <t>Vegetables</t>
  </si>
  <si>
    <t>share_imported</t>
  </si>
  <si>
    <t>abs</t>
  </si>
  <si>
    <t>f_breed</t>
  </si>
  <si>
    <t>dairy</t>
  </si>
  <si>
    <t>milk_prod</t>
  </si>
  <si>
    <t>over 10 years</t>
  </si>
  <si>
    <t>growing pigs</t>
  </si>
  <si>
    <t>feed_energy_per_growth</t>
  </si>
  <si>
    <t>finishing pigs</t>
  </si>
  <si>
    <t>f_animal</t>
  </si>
  <si>
    <t>MJ NE/kg w.g.</t>
  </si>
  <si>
    <t>PIGS</t>
  </si>
  <si>
    <t>Mortality</t>
  </si>
  <si>
    <t>Growing/finishing pigs energy per kg weight gain</t>
  </si>
  <si>
    <t>growing/finishing</t>
  </si>
  <si>
    <t>yield</t>
  </si>
  <si>
    <t>cropland</t>
  </si>
  <si>
    <t>max_land_use_factor</t>
  </si>
  <si>
    <t>f_land_use</t>
  </si>
  <si>
    <t>field machinery</t>
  </si>
  <si>
    <t>energy_source_share</t>
  </si>
  <si>
    <t>f_activity</t>
  </si>
  <si>
    <t>f_energy_source</t>
  </si>
  <si>
    <t>greenhouse</t>
  </si>
  <si>
    <t>semi-natural grasslands</t>
  </si>
  <si>
    <t>enteric_adj</t>
  </si>
  <si>
    <t>f_species</t>
  </si>
  <si>
    <t>bulls</t>
  </si>
  <si>
    <t>beef</t>
  </si>
  <si>
    <t>slaughter_share_male_as_steers</t>
  </si>
  <si>
    <t>f_prod_system</t>
  </si>
  <si>
    <t>f_crop</t>
  </si>
  <si>
    <t>Diesel</t>
  </si>
  <si>
    <t>Biodiesel</t>
  </si>
  <si>
    <t>Hydrogen</t>
  </si>
  <si>
    <t>Electricity</t>
  </si>
  <si>
    <t>cattle</t>
  </si>
  <si>
    <t>cows</t>
  </si>
  <si>
    <t>Pea protein product</t>
  </si>
  <si>
    <t>Wheat protein product</t>
  </si>
  <si>
    <t>Quinoa</t>
  </si>
  <si>
    <t>Eggs novel foods</t>
  </si>
  <si>
    <t>Sweet lupin</t>
  </si>
  <si>
    <t>Grey pea</t>
  </si>
  <si>
    <t>Hazelnuts</t>
  </si>
  <si>
    <t>Walnuts</t>
  </si>
  <si>
    <t>Seeds</t>
  </si>
  <si>
    <t>Sunflower seeds</t>
  </si>
  <si>
    <t>Rapeseed oil novel foods</t>
  </si>
  <si>
    <t>Soy protein product</t>
  </si>
  <si>
    <t>Oat drink</t>
  </si>
  <si>
    <t>Cellbased meat</t>
  </si>
  <si>
    <t>Cellbased dairy</t>
  </si>
  <si>
    <t>Quorn</t>
  </si>
  <si>
    <t>Tempeh faba bean</t>
  </si>
  <si>
    <t>Tofu faba beans</t>
  </si>
  <si>
    <t>Cellbased fish</t>
  </si>
  <si>
    <t>Microbial fats (yeast)</t>
  </si>
  <si>
    <t>Microbial fats (algae)</t>
  </si>
  <si>
    <t>Microbial eggs</t>
  </si>
  <si>
    <t>Beetroot</t>
  </si>
  <si>
    <t>obs ändra ej här</t>
  </si>
  <si>
    <t>Mutton/goat meat</t>
  </si>
  <si>
    <t>blueberries and raspberries</t>
  </si>
  <si>
    <t>gooseberries and currants</t>
  </si>
  <si>
    <t>f_feed</t>
  </si>
  <si>
    <t>f_sub_system</t>
  </si>
  <si>
    <t>autumn lamb</t>
  </si>
  <si>
    <t>spring lamb</t>
  </si>
  <si>
    <t>winter lamb</t>
  </si>
  <si>
    <t>other sheep</t>
  </si>
  <si>
    <t>max_share_sub_system</t>
  </si>
  <si>
    <t>conventional</t>
  </si>
  <si>
    <t>organic</t>
  </si>
  <si>
    <t>f_origin</t>
  </si>
  <si>
    <t>f_compound</t>
  </si>
  <si>
    <t>N2O-N</t>
  </si>
  <si>
    <t>soil_losses_mineral</t>
  </si>
  <si>
    <t>soil_losses_manure</t>
  </si>
  <si>
    <t>slaughter_weight</t>
  </si>
  <si>
    <t>ändrat hit</t>
  </si>
  <si>
    <t>BIOENERGY AND OTHER NON-FOOD DEMAND</t>
  </si>
  <si>
    <t>Biofuel, ethanol</t>
  </si>
  <si>
    <t>non_food_demand</t>
  </si>
  <si>
    <t>Biofuel, ethanol straw</t>
  </si>
  <si>
    <t>Rice and products, whole grain</t>
  </si>
  <si>
    <t>domestic</t>
  </si>
  <si>
    <t>share_in_prod_system</t>
  </si>
  <si>
    <t>detta verkar inte kunna vara noll (100%)</t>
  </si>
  <si>
    <t>f_food_group</t>
  </si>
  <si>
    <t>f_waste_level</t>
  </si>
  <si>
    <t>waste</t>
  </si>
  <si>
    <t>cereals</t>
  </si>
  <si>
    <t>household</t>
  </si>
  <si>
    <t>waste_share</t>
  </si>
  <si>
    <t>retail</t>
  </si>
  <si>
    <t>processing</t>
  </si>
  <si>
    <t>tubers</t>
  </si>
  <si>
    <t>vegetables</t>
  </si>
  <si>
    <t>fruits</t>
  </si>
  <si>
    <t>meat</t>
  </si>
  <si>
    <t>eggs</t>
  </si>
  <si>
    <t>pulses</t>
  </si>
  <si>
    <t>vegetable oils</t>
  </si>
  <si>
    <t>sweeteners</t>
  </si>
  <si>
    <t>alcoholic beverages</t>
  </si>
  <si>
    <t>alternatives meat</t>
  </si>
  <si>
    <t>alternatives dairy</t>
  </si>
  <si>
    <t>treenuts</t>
  </si>
  <si>
    <t>seeds</t>
  </si>
  <si>
    <t>f_animal_prod</t>
  </si>
  <si>
    <t>f_MMS</t>
  </si>
  <si>
    <t>f_element</t>
  </si>
  <si>
    <t>liquid</t>
  </si>
  <si>
    <t>solid</t>
  </si>
  <si>
    <t>deep litter</t>
  </si>
  <si>
    <t>anaerobic digestion</t>
  </si>
  <si>
    <t>composting</t>
  </si>
  <si>
    <t>horses</t>
  </si>
  <si>
    <t>sheep</t>
  </si>
  <si>
    <t>pigs</t>
  </si>
  <si>
    <t>poultry</t>
  </si>
  <si>
    <t>heifers</t>
  </si>
  <si>
    <t>steers</t>
  </si>
  <si>
    <t>calves</t>
  </si>
  <si>
    <t>breeding bulls</t>
  </si>
  <si>
    <t>broiler</t>
  </si>
  <si>
    <t>broilers</t>
  </si>
  <si>
    <t>mms_share</t>
  </si>
  <si>
    <t>Wheat, winter</t>
  </si>
  <si>
    <t>Wheat, spring</t>
  </si>
  <si>
    <t>Rye</t>
  </si>
  <si>
    <t>Barley, winter</t>
  </si>
  <si>
    <t>Barley, spring</t>
  </si>
  <si>
    <t>Oats</t>
  </si>
  <si>
    <t>Triticale, winter</t>
  </si>
  <si>
    <t>Triticale, spring</t>
  </si>
  <si>
    <t>Maize (corn)</t>
  </si>
  <si>
    <t>Mixed cereals</t>
  </si>
  <si>
    <t>Rapeseed, winter</t>
  </si>
  <si>
    <t>Rapeseed, spring</t>
  </si>
  <si>
    <t>Potatoes, table</t>
  </si>
  <si>
    <t>Potatoes, starch</t>
  </si>
  <si>
    <t>Sugar beet</t>
  </si>
  <si>
    <t>Ley for seed</t>
  </si>
  <si>
    <t>Fallow</t>
  </si>
  <si>
    <t>Energy grass</t>
  </si>
  <si>
    <t>Short rotation coppice</t>
  </si>
  <si>
    <t>Green manure</t>
  </si>
  <si>
    <t>Ley for fodder</t>
  </si>
  <si>
    <t>Ley for grazing</t>
  </si>
  <si>
    <t>Ley not harvested</t>
  </si>
  <si>
    <t>Maize for forage and silage</t>
  </si>
  <si>
    <t>Cereals for fodder</t>
  </si>
  <si>
    <t>Other crops for fodder</t>
  </si>
  <si>
    <t>Onions</t>
  </si>
  <si>
    <t>Carrots</t>
  </si>
  <si>
    <t>Other root vegetables</t>
  </si>
  <si>
    <t>Cabbages, cauliflowers and broccoli</t>
  </si>
  <si>
    <t>Cucumbers</t>
  </si>
  <si>
    <t>Pumpkins and squash</t>
  </si>
  <si>
    <t>Herbs</t>
  </si>
  <si>
    <t>Tomatoes, greenhouse</t>
  </si>
  <si>
    <t>Cucumbers, greenhouse</t>
  </si>
  <si>
    <t>Lettuce, greenhouse</t>
  </si>
  <si>
    <t>Other vegetables, greenhouse</t>
  </si>
  <si>
    <t>Herbs, greenhouse</t>
  </si>
  <si>
    <t>Strawberries, greenhouse</t>
  </si>
  <si>
    <t>Other berries, greenhouse</t>
  </si>
  <si>
    <t>Semi-natural pastures</t>
  </si>
  <si>
    <t>Semi-natural meadows</t>
  </si>
  <si>
    <t>Biofuel, 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</si>
</sst>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u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8" fillId="0" borderId="0"/>
  </cellStyleXfs>
  <cellXfs count="53">
    <xf numFmtId="0" fontId="0" fillId="0" borderId="0" xfId="0"/>
    <xf numFmtId="0" fontId="2" fillId="0" borderId="0" xfId="0" applyFont="1"/>
    <xf numFmtId="0" fontId="0" fillId="0" borderId="0" xfId="0" applyFont="1"/>
    <xf numFmtId="2" fontId="0" fillId="0" borderId="0" xfId="0" applyNumberFormat="1"/>
    <xf numFmtId="0" fontId="1" fillId="0" borderId="0" xfId="0" applyFont="1"/>
    <xf numFmtId="0" fontId="3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164" fontId="1" fillId="0" borderId="0" xfId="0" applyNumberFormat="1" applyFont="1"/>
    <xf numFmtId="1" fontId="4" fillId="0" borderId="0" xfId="0" applyNumberFormat="1" applyFont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0" fontId="0" fillId="0" borderId="0" xfId="1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9" fillId="4" borderId="0" xfId="1" applyFont="1" applyFill="1" applyBorder="1"/>
    <xf numFmtId="0" fontId="9" fillId="4" borderId="0" xfId="0" applyFont="1" applyFill="1" applyBorder="1"/>
    <xf numFmtId="0" fontId="0" fillId="4" borderId="0" xfId="0" applyFill="1" applyBorder="1"/>
    <xf numFmtId="0" fontId="2" fillId="4" borderId="0" xfId="0" applyFont="1" applyFill="1"/>
    <xf numFmtId="0" fontId="0" fillId="4" borderId="0" xfId="0" applyFill="1"/>
    <xf numFmtId="0" fontId="0" fillId="0" borderId="0" xfId="0" applyFill="1" applyBorder="1"/>
    <xf numFmtId="1" fontId="0" fillId="0" borderId="0" xfId="0" applyNumberFormat="1"/>
    <xf numFmtId="164" fontId="0" fillId="0" borderId="0" xfId="0" applyNumberFormat="1"/>
    <xf numFmtId="164" fontId="4" fillId="0" borderId="0" xfId="0" applyNumberFormat="1" applyFont="1"/>
    <xf numFmtId="0" fontId="0" fillId="0" borderId="0" xfId="0" applyFill="1"/>
    <xf numFmtId="0" fontId="6" fillId="0" borderId="0" xfId="0" applyFont="1" applyFill="1"/>
    <xf numFmtId="2" fontId="6" fillId="0" borderId="0" xfId="0" applyNumberFormat="1" applyFont="1"/>
    <xf numFmtId="0" fontId="6" fillId="0" borderId="0" xfId="0" applyFont="1" applyFill="1" applyBorder="1"/>
    <xf numFmtId="0" fontId="6" fillId="3" borderId="0" xfId="0" applyFont="1" applyFill="1" applyBorder="1"/>
    <xf numFmtId="0" fontId="10" fillId="3" borderId="0" xfId="0" applyFont="1" applyFill="1" applyBorder="1"/>
    <xf numFmtId="164" fontId="6" fillId="0" borderId="0" xfId="0" applyNumberFormat="1" applyFont="1"/>
    <xf numFmtId="0" fontId="2" fillId="0" borderId="0" xfId="0" applyFont="1" applyFill="1"/>
    <xf numFmtId="0" fontId="2" fillId="0" borderId="0" xfId="2" applyFont="1"/>
    <xf numFmtId="0" fontId="0" fillId="0" borderId="0" xfId="0" applyNumberFormat="1" applyFill="1" applyAlignment="1" applyProtection="1"/>
    <xf numFmtId="0" fontId="10" fillId="0" borderId="0" xfId="0" applyFont="1" applyFill="1"/>
    <xf numFmtId="0" fontId="0" fillId="0" borderId="0" xfId="0" applyFont="1" applyFill="1"/>
    <xf numFmtId="0" fontId="4" fillId="0" borderId="0" xfId="0" applyFont="1" applyFill="1"/>
    <xf numFmtId="0" fontId="1" fillId="0" borderId="0" xfId="0" applyFont="1" applyFill="1"/>
    <xf numFmtId="0" fontId="11" fillId="2" borderId="0" xfId="0" applyFont="1" applyFill="1"/>
    <xf numFmtId="0" fontId="3" fillId="0" borderId="0" xfId="0" applyFont="1" applyFill="1"/>
    <xf numFmtId="0" fontId="0" fillId="3" borderId="0" xfId="0" applyFont="1" applyFill="1"/>
    <xf numFmtId="0" fontId="10" fillId="3" borderId="0" xfId="0" applyFont="1" applyFill="1"/>
    <xf numFmtId="0" fontId="6" fillId="3" borderId="0" xfId="0" applyFont="1" applyFill="1"/>
    <xf numFmtId="0" fontId="10" fillId="0" borderId="0" xfId="0" applyFont="1"/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66797900262469"/>
                  <c:y val="-0.48056333119807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motivations!$B$7:$B$17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motivations!$C$7:$C$17</c:f>
              <c:numCache>
                <c:formatCode>General</c:formatCode>
                <c:ptCount val="11"/>
                <c:pt idx="0">
                  <c:v>26.2</c:v>
                </c:pt>
                <c:pt idx="1">
                  <c:v>26.1</c:v>
                </c:pt>
                <c:pt idx="2">
                  <c:v>26.7</c:v>
                </c:pt>
                <c:pt idx="3">
                  <c:v>26.6</c:v>
                </c:pt>
                <c:pt idx="4">
                  <c:v>27</c:v>
                </c:pt>
                <c:pt idx="5">
                  <c:v>25.7</c:v>
                </c:pt>
                <c:pt idx="6">
                  <c:v>25.4</c:v>
                </c:pt>
                <c:pt idx="7">
                  <c:v>25.8</c:v>
                </c:pt>
                <c:pt idx="8">
                  <c:v>25.3</c:v>
                </c:pt>
                <c:pt idx="9">
                  <c:v>24.8</c:v>
                </c:pt>
                <c:pt idx="10">
                  <c:v>24.6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CA-4A2A-8D5F-BE1A6CBCD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029615"/>
        <c:axId val="531027119"/>
      </c:scatterChart>
      <c:valAx>
        <c:axId val="53102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7119"/>
        <c:crosses val="autoZero"/>
        <c:crossBetween val="midCat"/>
      </c:valAx>
      <c:valAx>
        <c:axId val="5310271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961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66797900262469"/>
                  <c:y val="-0.48056333119807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motivations!$J$7:$J$17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motivations!$K$7:$K$17</c:f>
              <c:numCache>
                <c:formatCode>General</c:formatCode>
                <c:ptCount val="11"/>
                <c:pt idx="0">
                  <c:v>1.7</c:v>
                </c:pt>
                <c:pt idx="1">
                  <c:v>1.6</c:v>
                </c:pt>
                <c:pt idx="2">
                  <c:v>1.6</c:v>
                </c:pt>
                <c:pt idx="3">
                  <c:v>1.5</c:v>
                </c:pt>
                <c:pt idx="4">
                  <c:v>1.7</c:v>
                </c:pt>
                <c:pt idx="5">
                  <c:v>1.6</c:v>
                </c:pt>
                <c:pt idx="6">
                  <c:v>1.8</c:v>
                </c:pt>
                <c:pt idx="7">
                  <c:v>1.7</c:v>
                </c:pt>
                <c:pt idx="8">
                  <c:v>1.7</c:v>
                </c:pt>
                <c:pt idx="9">
                  <c:v>1.7</c:v>
                </c:pt>
                <c:pt idx="10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D-4D7E-9A76-0223983CF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029615"/>
        <c:axId val="531027119"/>
      </c:scatterChart>
      <c:valAx>
        <c:axId val="53102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7119"/>
        <c:crosses val="autoZero"/>
        <c:crossBetween val="midCat"/>
      </c:valAx>
      <c:valAx>
        <c:axId val="531027119"/>
        <c:scaling>
          <c:orientation val="minMax"/>
          <c:max val="2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9615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157163</xdr:rowOff>
    </xdr:from>
    <xdr:to>
      <xdr:col>7</xdr:col>
      <xdr:colOff>142875</xdr:colOff>
      <xdr:row>14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6</xdr:row>
      <xdr:rowOff>0</xdr:rowOff>
    </xdr:from>
    <xdr:to>
      <xdr:col>15</xdr:col>
      <xdr:colOff>142875</xdr:colOff>
      <xdr:row>14</xdr:row>
      <xdr:rowOff>71438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E2" sqref="E2"/>
    </sheetView>
  </sheetViews>
  <sheetFormatPr defaultRowHeight="15" x14ac:dyDescent="0.25"/>
  <cols>
    <col min="1" max="1" width="22.28515625" bestFit="1" customWidth="1"/>
    <col min="2" max="2" width="20.140625" bestFit="1" customWidth="1"/>
    <col min="3" max="3" width="6" bestFit="1" customWidth="1"/>
    <col min="4" max="5" width="7" bestFit="1" customWidth="1"/>
  </cols>
  <sheetData>
    <row r="1" spans="1:10" x14ac:dyDescent="0.25">
      <c r="A1" s="1" t="s">
        <v>113</v>
      </c>
      <c r="B1" s="1" t="s">
        <v>1</v>
      </c>
      <c r="C1" s="1" t="s">
        <v>2</v>
      </c>
      <c r="D1" s="1" t="s">
        <v>3</v>
      </c>
      <c r="E1" s="1" t="s">
        <v>9</v>
      </c>
      <c r="F1" s="1"/>
      <c r="G1" s="1"/>
      <c r="H1" s="1"/>
      <c r="I1" s="1"/>
      <c r="J1" s="1"/>
    </row>
    <row r="2" spans="1:10" x14ac:dyDescent="0.25">
      <c r="A2" t="s">
        <v>111</v>
      </c>
      <c r="B2" t="s">
        <v>112</v>
      </c>
      <c r="C2" t="s">
        <v>96</v>
      </c>
      <c r="D2">
        <v>1</v>
      </c>
      <c r="E2">
        <v>1</v>
      </c>
    </row>
    <row r="3" spans="1:10" x14ac:dyDescent="0.25">
      <c r="A3" t="s">
        <v>118</v>
      </c>
      <c r="B3" t="s">
        <v>112</v>
      </c>
      <c r="C3" t="s">
        <v>96</v>
      </c>
      <c r="D3">
        <v>1</v>
      </c>
      <c r="E3">
        <v>1.5</v>
      </c>
    </row>
    <row r="4" spans="1:10" x14ac:dyDescent="0.25">
      <c r="A4" t="s">
        <v>119</v>
      </c>
      <c r="B4" t="s">
        <v>112</v>
      </c>
      <c r="C4" t="s">
        <v>96</v>
      </c>
      <c r="D4">
        <v>1</v>
      </c>
      <c r="E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2"/>
  <sheetViews>
    <sheetView tabSelected="1" workbookViewId="0">
      <pane ySplit="1" topLeftCell="A299" activePane="bottomLeft" state="frozen"/>
      <selection pane="bottomLeft" activeCell="B366" sqref="B366"/>
    </sheetView>
  </sheetViews>
  <sheetFormatPr defaultRowHeight="15" x14ac:dyDescent="0.25"/>
  <cols>
    <col min="1" max="1" width="25.28515625" customWidth="1"/>
    <col min="2" max="2" width="37" bestFit="1" customWidth="1"/>
    <col min="3" max="3" width="12.7109375" customWidth="1"/>
    <col min="4" max="5" width="11.28515625" customWidth="1"/>
    <col min="6" max="6" width="15.28515625" bestFit="1" customWidth="1"/>
    <col min="8" max="14" width="6.7109375" customWidth="1"/>
  </cols>
  <sheetData>
    <row r="1" spans="1:14" x14ac:dyDescent="0.25">
      <c r="A1" s="1" t="s">
        <v>184</v>
      </c>
      <c r="B1" s="1" t="s">
        <v>0</v>
      </c>
      <c r="C1" s="1" t="s">
        <v>169</v>
      </c>
      <c r="D1" s="1" t="s">
        <v>125</v>
      </c>
      <c r="E1" s="1" t="s">
        <v>185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25">
      <c r="B2" s="5" t="s">
        <v>91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25">
      <c r="B3" s="1"/>
      <c r="C3" s="1"/>
      <c r="D3" s="1"/>
      <c r="E3" s="1"/>
      <c r="F3" t="s">
        <v>10</v>
      </c>
      <c r="G3" s="2" t="s">
        <v>11</v>
      </c>
      <c r="H3" s="2">
        <v>1</v>
      </c>
      <c r="I3" s="3">
        <f>10642196/(5222847+5156448)</f>
        <v>1.0253293696729884</v>
      </c>
      <c r="J3" s="3">
        <f>10884214/(5222847+5156448)</f>
        <v>1.048646752982741</v>
      </c>
      <c r="K3" s="3">
        <f>11101837/(5222847+5156448)</f>
        <v>1.0696137839805111</v>
      </c>
      <c r="L3" s="3">
        <f>11328285/(5222847+5156448)</f>
        <v>1.0914310654047312</v>
      </c>
      <c r="M3" s="3">
        <f>11557052/(5222847+5156448)</f>
        <v>1.1134717724084342</v>
      </c>
      <c r="N3" s="3">
        <f>11761182/(5222847+5156448)</f>
        <v>1.1331388114510668</v>
      </c>
    </row>
    <row r="4" spans="1:14" x14ac:dyDescent="0.25">
      <c r="B4" s="5" t="s">
        <v>14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25">
      <c r="B5" s="1"/>
      <c r="C5" s="1"/>
      <c r="D5" s="1"/>
      <c r="E5" s="1"/>
      <c r="F5" s="9" t="s">
        <v>12</v>
      </c>
      <c r="G5" s="9" t="s">
        <v>11</v>
      </c>
      <c r="H5" s="9">
        <v>1</v>
      </c>
      <c r="I5" s="2"/>
      <c r="J5" s="2"/>
      <c r="K5" s="2"/>
      <c r="L5" s="2"/>
      <c r="M5" s="2"/>
      <c r="N5" s="2"/>
    </row>
    <row r="6" spans="1:14" x14ac:dyDescent="0.25">
      <c r="B6" s="6" t="s">
        <v>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B7" t="s">
        <v>16</v>
      </c>
      <c r="F7" t="s">
        <v>12</v>
      </c>
      <c r="G7" t="s">
        <v>11</v>
      </c>
      <c r="H7">
        <v>1</v>
      </c>
      <c r="I7" s="3"/>
      <c r="J7" s="3"/>
      <c r="K7" s="3"/>
      <c r="L7" s="3"/>
      <c r="M7" s="3"/>
      <c r="N7">
        <f>89.6/69.8</f>
        <v>1.2836676217765042</v>
      </c>
    </row>
    <row r="8" spans="1:14" x14ac:dyDescent="0.25">
      <c r="B8" t="s">
        <v>17</v>
      </c>
      <c r="F8" t="s">
        <v>12</v>
      </c>
      <c r="G8" t="s">
        <v>11</v>
      </c>
      <c r="H8">
        <v>1</v>
      </c>
      <c r="N8">
        <f>73.3/23.3</f>
        <v>3.1459227467811157</v>
      </c>
    </row>
    <row r="9" spans="1:14" x14ac:dyDescent="0.25">
      <c r="B9" t="s">
        <v>180</v>
      </c>
      <c r="F9" t="s">
        <v>12</v>
      </c>
      <c r="G9" t="s">
        <v>11</v>
      </c>
      <c r="H9">
        <v>1</v>
      </c>
      <c r="N9">
        <v>0</v>
      </c>
    </row>
    <row r="10" spans="1:14" x14ac:dyDescent="0.25">
      <c r="B10" t="s">
        <v>18</v>
      </c>
      <c r="F10" t="s">
        <v>12</v>
      </c>
      <c r="G10" t="s">
        <v>11</v>
      </c>
      <c r="H10">
        <v>1</v>
      </c>
      <c r="N10">
        <v>1</v>
      </c>
    </row>
    <row r="11" spans="1:14" x14ac:dyDescent="0.25">
      <c r="B11" t="s">
        <v>19</v>
      </c>
      <c r="F11" t="s">
        <v>12</v>
      </c>
      <c r="G11" t="s">
        <v>11</v>
      </c>
      <c r="H11">
        <v>1</v>
      </c>
      <c r="N11">
        <v>1</v>
      </c>
    </row>
    <row r="12" spans="1:14" x14ac:dyDescent="0.25">
      <c r="B12" t="s">
        <v>20</v>
      </c>
      <c r="F12" t="s">
        <v>12</v>
      </c>
      <c r="G12" t="s">
        <v>11</v>
      </c>
      <c r="H12">
        <v>1</v>
      </c>
      <c r="N12">
        <v>1</v>
      </c>
    </row>
    <row r="13" spans="1:14" x14ac:dyDescent="0.25">
      <c r="B13" t="s">
        <v>21</v>
      </c>
      <c r="F13" t="s">
        <v>12</v>
      </c>
      <c r="G13" t="s">
        <v>11</v>
      </c>
      <c r="H13">
        <v>1</v>
      </c>
      <c r="N13">
        <v>1</v>
      </c>
    </row>
    <row r="14" spans="1:14" x14ac:dyDescent="0.25">
      <c r="B14" t="s">
        <v>22</v>
      </c>
      <c r="F14" t="s">
        <v>12</v>
      </c>
      <c r="G14" t="s">
        <v>11</v>
      </c>
      <c r="H14">
        <v>1</v>
      </c>
      <c r="N14">
        <v>1</v>
      </c>
    </row>
    <row r="15" spans="1:14" x14ac:dyDescent="0.25">
      <c r="B15" t="s">
        <v>23</v>
      </c>
      <c r="F15" t="s">
        <v>12</v>
      </c>
      <c r="G15" t="s">
        <v>11</v>
      </c>
      <c r="H15">
        <v>1</v>
      </c>
      <c r="N15">
        <f>12.3/5.2</f>
        <v>2.3653846153846154</v>
      </c>
    </row>
    <row r="16" spans="1:14" x14ac:dyDescent="0.25">
      <c r="B16" t="s">
        <v>24</v>
      </c>
      <c r="F16" t="s">
        <v>12</v>
      </c>
      <c r="G16" t="s">
        <v>11</v>
      </c>
      <c r="H16">
        <v>1</v>
      </c>
      <c r="N16">
        <f>12.3/5.2</f>
        <v>2.3653846153846154</v>
      </c>
    </row>
    <row r="17" spans="2:14" x14ac:dyDescent="0.25">
      <c r="B17" s="4" t="s">
        <v>25</v>
      </c>
      <c r="C17" s="4"/>
      <c r="D17" s="4"/>
      <c r="E17" s="4"/>
      <c r="F17" t="s">
        <v>12</v>
      </c>
      <c r="G17" t="s">
        <v>11</v>
      </c>
      <c r="H17">
        <v>1</v>
      </c>
      <c r="N17">
        <v>1</v>
      </c>
    </row>
    <row r="18" spans="2:14" x14ac:dyDescent="0.25">
      <c r="B18" s="4" t="s">
        <v>26</v>
      </c>
      <c r="C18" s="4"/>
      <c r="D18" s="4"/>
      <c r="E18" s="4"/>
      <c r="F18" t="s">
        <v>12</v>
      </c>
      <c r="G18" t="s">
        <v>11</v>
      </c>
      <c r="H18">
        <v>1</v>
      </c>
      <c r="N18">
        <v>1</v>
      </c>
    </row>
    <row r="19" spans="2:14" x14ac:dyDescent="0.25">
      <c r="B19" s="9" t="s">
        <v>135</v>
      </c>
      <c r="C19" s="9"/>
      <c r="D19" s="9"/>
      <c r="E19" s="9"/>
      <c r="F19" s="9" t="s">
        <v>12</v>
      </c>
      <c r="G19" s="9" t="s">
        <v>96</v>
      </c>
      <c r="H19" s="9">
        <v>0</v>
      </c>
      <c r="I19" s="9"/>
      <c r="J19" s="9"/>
      <c r="K19" s="9"/>
      <c r="L19" s="9"/>
      <c r="M19" s="9"/>
      <c r="N19" s="9">
        <v>0</v>
      </c>
    </row>
    <row r="20" spans="2:14" x14ac:dyDescent="0.25">
      <c r="B20" s="6" t="s">
        <v>27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2:14" x14ac:dyDescent="0.25">
      <c r="B21" s="7" t="s">
        <v>28</v>
      </c>
      <c r="C21" s="7"/>
      <c r="D21" s="7"/>
      <c r="E21" s="7"/>
      <c r="F21" t="s">
        <v>12</v>
      </c>
      <c r="G21" t="s">
        <v>11</v>
      </c>
      <c r="H21">
        <v>1</v>
      </c>
      <c r="N21">
        <v>1</v>
      </c>
    </row>
    <row r="22" spans="2:14" x14ac:dyDescent="0.25">
      <c r="B22" s="7" t="s">
        <v>29</v>
      </c>
      <c r="C22" s="7"/>
      <c r="D22" s="7"/>
      <c r="E22" s="7"/>
      <c r="F22" t="s">
        <v>12</v>
      </c>
      <c r="G22" t="s">
        <v>11</v>
      </c>
      <c r="H22">
        <v>1</v>
      </c>
      <c r="N22">
        <v>1</v>
      </c>
    </row>
    <row r="23" spans="2:14" x14ac:dyDescent="0.25">
      <c r="B23" s="7" t="s">
        <v>30</v>
      </c>
      <c r="C23" s="7"/>
      <c r="D23" s="7"/>
      <c r="E23" s="7"/>
      <c r="F23" t="s">
        <v>12</v>
      </c>
      <c r="G23" t="s">
        <v>11</v>
      </c>
      <c r="H23">
        <v>1</v>
      </c>
      <c r="N23">
        <v>1</v>
      </c>
    </row>
    <row r="24" spans="2:14" x14ac:dyDescent="0.25">
      <c r="B24" s="7" t="s">
        <v>31</v>
      </c>
      <c r="C24" s="7"/>
      <c r="D24" s="7"/>
      <c r="E24" s="7"/>
      <c r="F24" t="s">
        <v>12</v>
      </c>
      <c r="G24" t="s">
        <v>11</v>
      </c>
      <c r="H24">
        <v>1</v>
      </c>
      <c r="N24">
        <v>1</v>
      </c>
    </row>
    <row r="25" spans="2:14" x14ac:dyDescent="0.25">
      <c r="B25" s="6" t="s">
        <v>32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2:14" x14ac:dyDescent="0.25">
      <c r="B26" s="7" t="s">
        <v>33</v>
      </c>
      <c r="C26" s="7"/>
      <c r="D26" s="7"/>
      <c r="E26" s="7"/>
      <c r="F26" t="s">
        <v>12</v>
      </c>
      <c r="G26" t="s">
        <v>11</v>
      </c>
      <c r="H26">
        <v>1</v>
      </c>
      <c r="N26">
        <v>1.5</v>
      </c>
    </row>
    <row r="27" spans="2:14" s="9" customFormat="1" x14ac:dyDescent="0.25">
      <c r="B27" s="9" t="s">
        <v>155</v>
      </c>
      <c r="F27" s="9" t="s">
        <v>12</v>
      </c>
      <c r="G27" s="9" t="s">
        <v>11</v>
      </c>
      <c r="H27" s="9">
        <v>1</v>
      </c>
      <c r="N27" s="9">
        <v>1</v>
      </c>
    </row>
    <row r="28" spans="2:14" x14ac:dyDescent="0.25">
      <c r="B28" s="7" t="s">
        <v>34</v>
      </c>
      <c r="C28" s="7"/>
      <c r="D28" s="7"/>
      <c r="E28" s="7"/>
      <c r="F28" t="s">
        <v>12</v>
      </c>
      <c r="G28" t="s">
        <v>11</v>
      </c>
      <c r="H28">
        <v>1</v>
      </c>
      <c r="N28">
        <v>1.33</v>
      </c>
    </row>
    <row r="29" spans="2:14" x14ac:dyDescent="0.25">
      <c r="B29" s="7" t="s">
        <v>35</v>
      </c>
      <c r="C29" s="7"/>
      <c r="D29" s="7"/>
      <c r="E29" s="7"/>
      <c r="F29" t="s">
        <v>12</v>
      </c>
      <c r="G29" t="s">
        <v>11</v>
      </c>
      <c r="H29">
        <v>1</v>
      </c>
      <c r="N29">
        <v>1.5</v>
      </c>
    </row>
    <row r="30" spans="2:14" x14ac:dyDescent="0.25">
      <c r="B30" s="7" t="s">
        <v>36</v>
      </c>
      <c r="C30" s="7"/>
      <c r="D30" s="7"/>
      <c r="E30" s="7"/>
      <c r="F30" t="s">
        <v>12</v>
      </c>
      <c r="G30" t="s">
        <v>11</v>
      </c>
      <c r="H30">
        <v>1</v>
      </c>
      <c r="N30">
        <v>1.5</v>
      </c>
    </row>
    <row r="31" spans="2:14" x14ac:dyDescent="0.25">
      <c r="B31" s="7" t="s">
        <v>37</v>
      </c>
      <c r="C31" s="7"/>
      <c r="D31" s="7"/>
      <c r="E31" s="7"/>
      <c r="F31" t="s">
        <v>12</v>
      </c>
      <c r="G31" t="s">
        <v>11</v>
      </c>
      <c r="H31">
        <v>1</v>
      </c>
      <c r="N31">
        <v>1.5</v>
      </c>
    </row>
    <row r="32" spans="2:14" x14ac:dyDescent="0.25">
      <c r="B32" s="7" t="s">
        <v>38</v>
      </c>
      <c r="C32" s="7"/>
      <c r="D32" s="7"/>
      <c r="E32" s="7"/>
      <c r="F32" t="s">
        <v>12</v>
      </c>
      <c r="G32" t="s">
        <v>11</v>
      </c>
      <c r="H32">
        <v>1</v>
      </c>
      <c r="N32">
        <v>1.5</v>
      </c>
    </row>
    <row r="33" spans="2:15" x14ac:dyDescent="0.25">
      <c r="B33" s="7" t="s">
        <v>39</v>
      </c>
      <c r="C33" s="7"/>
      <c r="D33" s="7"/>
      <c r="E33" s="7"/>
      <c r="F33" t="s">
        <v>12</v>
      </c>
      <c r="G33" t="s">
        <v>11</v>
      </c>
      <c r="H33">
        <v>1</v>
      </c>
      <c r="N33">
        <v>1.33</v>
      </c>
    </row>
    <row r="34" spans="2:15" x14ac:dyDescent="0.25">
      <c r="B34" s="7" t="s">
        <v>40</v>
      </c>
      <c r="C34" s="7"/>
      <c r="D34" s="7"/>
      <c r="E34" s="7"/>
      <c r="F34" t="s">
        <v>12</v>
      </c>
      <c r="G34" t="s">
        <v>11</v>
      </c>
      <c r="H34">
        <v>1</v>
      </c>
      <c r="N34" s="9">
        <v>1.5</v>
      </c>
    </row>
    <row r="35" spans="2:15" x14ac:dyDescent="0.25">
      <c r="B35" s="7" t="s">
        <v>41</v>
      </c>
      <c r="C35" s="7"/>
      <c r="D35" s="7"/>
      <c r="E35" s="7"/>
      <c r="F35" t="s">
        <v>12</v>
      </c>
      <c r="G35" t="s">
        <v>11</v>
      </c>
      <c r="H35">
        <v>1</v>
      </c>
      <c r="N35">
        <v>1.5</v>
      </c>
    </row>
    <row r="36" spans="2:15" x14ac:dyDescent="0.25">
      <c r="B36" s="7" t="s">
        <v>42</v>
      </c>
      <c r="C36" s="7"/>
      <c r="D36" s="7"/>
      <c r="E36" s="7"/>
      <c r="F36" t="s">
        <v>12</v>
      </c>
      <c r="G36" t="s">
        <v>11</v>
      </c>
      <c r="H36">
        <v>1</v>
      </c>
      <c r="N36">
        <v>1.5</v>
      </c>
    </row>
    <row r="37" spans="2:15" x14ac:dyDescent="0.25">
      <c r="B37" s="7"/>
      <c r="C37" s="7"/>
      <c r="D37" s="7"/>
      <c r="E37" s="7"/>
    </row>
    <row r="38" spans="2:15" x14ac:dyDescent="0.25">
      <c r="B38" s="6" t="s">
        <v>43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2:15" x14ac:dyDescent="0.25">
      <c r="B39" s="7" t="s">
        <v>44</v>
      </c>
      <c r="C39" s="7"/>
      <c r="D39" s="7"/>
      <c r="E39" s="7"/>
      <c r="F39" t="s">
        <v>12</v>
      </c>
      <c r="G39" t="s">
        <v>11</v>
      </c>
      <c r="H39">
        <v>1</v>
      </c>
      <c r="N39">
        <v>1</v>
      </c>
    </row>
    <row r="40" spans="2:15" x14ac:dyDescent="0.25">
      <c r="B40" s="7" t="s">
        <v>45</v>
      </c>
      <c r="C40" s="7"/>
      <c r="D40" s="7"/>
      <c r="E40" s="7"/>
      <c r="F40" t="s">
        <v>12</v>
      </c>
      <c r="G40" t="s">
        <v>11</v>
      </c>
      <c r="H40">
        <v>1</v>
      </c>
      <c r="N40">
        <v>1</v>
      </c>
    </row>
    <row r="41" spans="2:15" x14ac:dyDescent="0.25">
      <c r="B41" s="7" t="s">
        <v>46</v>
      </c>
      <c r="C41" s="7"/>
      <c r="D41" s="7"/>
      <c r="E41" s="7"/>
      <c r="F41" t="s">
        <v>12</v>
      </c>
      <c r="G41" t="s">
        <v>11</v>
      </c>
      <c r="H41">
        <v>1</v>
      </c>
      <c r="N41">
        <v>1</v>
      </c>
    </row>
    <row r="42" spans="2:15" x14ac:dyDescent="0.25">
      <c r="B42" s="7" t="s">
        <v>47</v>
      </c>
      <c r="C42" s="7"/>
      <c r="D42" s="7"/>
      <c r="E42" s="7"/>
      <c r="F42" t="s">
        <v>12</v>
      </c>
      <c r="G42" t="s">
        <v>11</v>
      </c>
      <c r="H42">
        <v>1</v>
      </c>
      <c r="N42">
        <v>1</v>
      </c>
    </row>
    <row r="43" spans="2:15" x14ac:dyDescent="0.25">
      <c r="B43" s="7" t="s">
        <v>48</v>
      </c>
      <c r="C43" s="7"/>
      <c r="D43" s="7"/>
      <c r="E43" s="7"/>
      <c r="F43" t="s">
        <v>12</v>
      </c>
      <c r="G43" t="s">
        <v>11</v>
      </c>
      <c r="H43">
        <v>1</v>
      </c>
      <c r="N43">
        <v>1</v>
      </c>
    </row>
    <row r="44" spans="2:15" x14ac:dyDescent="0.25">
      <c r="B44" s="7" t="s">
        <v>49</v>
      </c>
      <c r="C44" s="7"/>
      <c r="D44" s="7"/>
      <c r="E44" s="7"/>
      <c r="F44" t="s">
        <v>12</v>
      </c>
      <c r="G44" t="s">
        <v>11</v>
      </c>
      <c r="H44">
        <v>1</v>
      </c>
      <c r="N44">
        <v>1</v>
      </c>
    </row>
    <row r="45" spans="2:15" x14ac:dyDescent="0.25">
      <c r="B45" s="7" t="s">
        <v>50</v>
      </c>
      <c r="C45" s="7"/>
      <c r="D45" s="7"/>
      <c r="E45" s="7"/>
      <c r="F45" t="s">
        <v>12</v>
      </c>
      <c r="G45" t="s">
        <v>11</v>
      </c>
      <c r="H45">
        <v>1</v>
      </c>
      <c r="N45">
        <v>1</v>
      </c>
      <c r="O45" t="s">
        <v>159</v>
      </c>
    </row>
    <row r="46" spans="2:15" x14ac:dyDescent="0.25">
      <c r="B46" s="7" t="s">
        <v>51</v>
      </c>
      <c r="C46" s="7"/>
      <c r="D46" s="7"/>
      <c r="E46" s="7"/>
      <c r="F46" t="s">
        <v>12</v>
      </c>
      <c r="G46" t="s">
        <v>11</v>
      </c>
      <c r="H46">
        <v>1</v>
      </c>
      <c r="N46">
        <v>1</v>
      </c>
      <c r="O46" t="s">
        <v>158</v>
      </c>
    </row>
    <row r="47" spans="2:15" x14ac:dyDescent="0.25">
      <c r="B47" s="6" t="s">
        <v>52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2:15" x14ac:dyDescent="0.25">
      <c r="B48" s="4" t="s">
        <v>53</v>
      </c>
      <c r="C48" s="4"/>
      <c r="D48" s="4"/>
      <c r="E48" s="4"/>
      <c r="F48" t="s">
        <v>12</v>
      </c>
      <c r="G48" t="s">
        <v>11</v>
      </c>
      <c r="H48">
        <v>1</v>
      </c>
      <c r="N48" s="3">
        <v>0.5</v>
      </c>
    </row>
    <row r="49" spans="2:14" x14ac:dyDescent="0.25">
      <c r="B49" s="4" t="s">
        <v>54</v>
      </c>
      <c r="C49" s="4"/>
      <c r="D49" s="4"/>
      <c r="E49" s="4"/>
      <c r="F49" t="s">
        <v>12</v>
      </c>
      <c r="G49" t="s">
        <v>11</v>
      </c>
      <c r="H49">
        <v>1</v>
      </c>
      <c r="N49" s="3">
        <v>0.5</v>
      </c>
    </row>
    <row r="50" spans="2:14" x14ac:dyDescent="0.25">
      <c r="B50" s="4" t="s">
        <v>55</v>
      </c>
      <c r="C50" s="4"/>
      <c r="D50" s="4"/>
      <c r="E50" s="4"/>
      <c r="F50" t="s">
        <v>12</v>
      </c>
      <c r="G50" t="s">
        <v>11</v>
      </c>
      <c r="H50">
        <v>1</v>
      </c>
      <c r="N50" s="3">
        <v>0.5</v>
      </c>
    </row>
    <row r="51" spans="2:14" x14ac:dyDescent="0.25">
      <c r="B51" s="4" t="s">
        <v>56</v>
      </c>
      <c r="C51" s="4"/>
      <c r="D51" s="4"/>
      <c r="E51" s="4"/>
      <c r="F51" t="s">
        <v>12</v>
      </c>
      <c r="G51" t="s">
        <v>11</v>
      </c>
      <c r="H51">
        <v>1</v>
      </c>
      <c r="N51" s="3">
        <v>0.5</v>
      </c>
    </row>
    <row r="52" spans="2:14" x14ac:dyDescent="0.25">
      <c r="B52" s="4" t="s">
        <v>57</v>
      </c>
      <c r="C52" s="4"/>
      <c r="D52" s="4"/>
      <c r="E52" s="4"/>
      <c r="F52" t="s">
        <v>12</v>
      </c>
      <c r="G52" t="s">
        <v>11</v>
      </c>
      <c r="H52">
        <v>1</v>
      </c>
      <c r="N52" s="3">
        <v>0.5</v>
      </c>
    </row>
    <row r="53" spans="2:14" x14ac:dyDescent="0.25">
      <c r="B53" s="4" t="s">
        <v>58</v>
      </c>
      <c r="C53" s="4"/>
      <c r="D53" s="4"/>
      <c r="E53" s="4"/>
      <c r="F53" t="s">
        <v>12</v>
      </c>
      <c r="G53" t="s">
        <v>11</v>
      </c>
      <c r="H53">
        <v>1</v>
      </c>
      <c r="N53" s="3">
        <v>0.5</v>
      </c>
    </row>
    <row r="54" spans="2:14" x14ac:dyDescent="0.25">
      <c r="B54" s="4" t="s">
        <v>59</v>
      </c>
      <c r="C54" s="4"/>
      <c r="D54" s="4"/>
      <c r="E54" s="4"/>
      <c r="F54" t="s">
        <v>12</v>
      </c>
      <c r="G54" t="s">
        <v>11</v>
      </c>
      <c r="H54">
        <v>1</v>
      </c>
      <c r="N54" s="3">
        <v>0.5</v>
      </c>
    </row>
    <row r="55" spans="2:14" x14ac:dyDescent="0.25">
      <c r="B55" s="4" t="s">
        <v>60</v>
      </c>
      <c r="C55" s="4"/>
      <c r="D55" s="4"/>
      <c r="E55" s="4"/>
      <c r="F55" t="s">
        <v>12</v>
      </c>
      <c r="G55" t="s">
        <v>11</v>
      </c>
      <c r="H55">
        <v>1</v>
      </c>
      <c r="N55" s="3">
        <v>0.5</v>
      </c>
    </row>
    <row r="56" spans="2:14" x14ac:dyDescent="0.25">
      <c r="B56" s="4" t="s">
        <v>61</v>
      </c>
      <c r="C56" s="4"/>
      <c r="D56" s="4"/>
      <c r="E56" s="4"/>
      <c r="F56" t="s">
        <v>12</v>
      </c>
      <c r="G56" t="s">
        <v>11</v>
      </c>
      <c r="H56">
        <v>1</v>
      </c>
      <c r="N56" s="3">
        <v>0.5</v>
      </c>
    </row>
    <row r="57" spans="2:14" x14ac:dyDescent="0.25">
      <c r="B57" s="6" t="s">
        <v>62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2:14" x14ac:dyDescent="0.25">
      <c r="B58" t="s">
        <v>13</v>
      </c>
      <c r="F58" t="s">
        <v>12</v>
      </c>
      <c r="G58" t="s">
        <v>11</v>
      </c>
      <c r="H58">
        <v>1</v>
      </c>
      <c r="N58" s="3">
        <v>0.5</v>
      </c>
    </row>
    <row r="59" spans="2:14" x14ac:dyDescent="0.25">
      <c r="B59" t="s">
        <v>63</v>
      </c>
      <c r="F59" t="s">
        <v>12</v>
      </c>
      <c r="G59" t="s">
        <v>11</v>
      </c>
      <c r="H59">
        <v>1</v>
      </c>
      <c r="N59" s="3">
        <v>0.25</v>
      </c>
    </row>
    <row r="60" spans="2:14" x14ac:dyDescent="0.25">
      <c r="B60" t="s">
        <v>157</v>
      </c>
      <c r="F60" t="s">
        <v>12</v>
      </c>
      <c r="G60" t="s">
        <v>11</v>
      </c>
      <c r="H60">
        <v>1</v>
      </c>
      <c r="N60" s="3">
        <v>0.25</v>
      </c>
    </row>
    <row r="61" spans="2:14" x14ac:dyDescent="0.25">
      <c r="B61" t="s">
        <v>64</v>
      </c>
      <c r="F61" t="s">
        <v>12</v>
      </c>
      <c r="G61" t="s">
        <v>11</v>
      </c>
      <c r="H61">
        <v>1</v>
      </c>
      <c r="N61" s="3">
        <v>1</v>
      </c>
    </row>
    <row r="62" spans="2:14" x14ac:dyDescent="0.25">
      <c r="B62" s="6" t="s">
        <v>65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2:14" x14ac:dyDescent="0.25">
      <c r="B63" t="s">
        <v>65</v>
      </c>
      <c r="F63" t="s">
        <v>12</v>
      </c>
      <c r="G63" t="s">
        <v>11</v>
      </c>
      <c r="H63">
        <v>1</v>
      </c>
      <c r="N63" s="3">
        <f>25/29.3</f>
        <v>0.85324232081911255</v>
      </c>
    </row>
    <row r="64" spans="2:14" x14ac:dyDescent="0.25">
      <c r="B64" s="9" t="s">
        <v>136</v>
      </c>
      <c r="C64" s="9"/>
      <c r="D64" s="9"/>
      <c r="E64" s="9"/>
      <c r="F64" s="9" t="s">
        <v>12</v>
      </c>
      <c r="G64" s="9" t="s">
        <v>96</v>
      </c>
      <c r="H64" s="9">
        <v>0</v>
      </c>
      <c r="I64" s="9"/>
      <c r="J64" s="9"/>
      <c r="K64" s="9"/>
      <c r="L64" s="9"/>
      <c r="M64" s="9"/>
      <c r="N64" s="35">
        <f>N122*0.060606</f>
        <v>1.272726</v>
      </c>
    </row>
    <row r="65" spans="2:14" x14ac:dyDescent="0.25">
      <c r="B65" s="6" t="s">
        <v>66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2:14" x14ac:dyDescent="0.25">
      <c r="B66" s="6" t="s">
        <v>67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2:14" x14ac:dyDescent="0.25">
      <c r="B67" t="s">
        <v>68</v>
      </c>
      <c r="F67" t="s">
        <v>12</v>
      </c>
      <c r="G67" t="s">
        <v>11</v>
      </c>
      <c r="H67">
        <v>1</v>
      </c>
      <c r="N67">
        <v>2</v>
      </c>
    </row>
    <row r="68" spans="2:14" x14ac:dyDescent="0.25">
      <c r="B68" s="8" t="s">
        <v>69</v>
      </c>
      <c r="C68" s="8"/>
      <c r="D68" s="8"/>
      <c r="E68" s="8"/>
      <c r="F68" t="s">
        <v>12</v>
      </c>
      <c r="G68" t="s">
        <v>11</v>
      </c>
      <c r="H68">
        <v>1</v>
      </c>
      <c r="N68">
        <v>2</v>
      </c>
    </row>
    <row r="69" spans="2:14" x14ac:dyDescent="0.25">
      <c r="B69" s="8" t="s">
        <v>70</v>
      </c>
      <c r="C69" s="8"/>
      <c r="D69" s="8"/>
      <c r="E69" s="8"/>
      <c r="F69" t="s">
        <v>12</v>
      </c>
      <c r="G69" t="s">
        <v>11</v>
      </c>
      <c r="H69">
        <v>1</v>
      </c>
      <c r="N69">
        <v>2</v>
      </c>
    </row>
    <row r="70" spans="2:14" x14ac:dyDescent="0.25">
      <c r="B70" s="8" t="s">
        <v>71</v>
      </c>
      <c r="C70" s="8"/>
      <c r="D70" s="8"/>
      <c r="E70" s="8"/>
      <c r="F70" t="s">
        <v>12</v>
      </c>
      <c r="G70" t="s">
        <v>11</v>
      </c>
      <c r="H70">
        <v>1</v>
      </c>
      <c r="N70">
        <v>2</v>
      </c>
    </row>
    <row r="71" spans="2:14" x14ac:dyDescent="0.25">
      <c r="B71" s="8" t="s">
        <v>72</v>
      </c>
      <c r="C71" s="8"/>
      <c r="D71" s="8"/>
      <c r="E71" s="8"/>
      <c r="F71" t="s">
        <v>12</v>
      </c>
      <c r="G71" t="s">
        <v>11</v>
      </c>
      <c r="H71">
        <v>1</v>
      </c>
      <c r="N71">
        <v>2</v>
      </c>
    </row>
    <row r="72" spans="2:14" x14ac:dyDescent="0.25">
      <c r="B72" s="9" t="s">
        <v>137</v>
      </c>
      <c r="C72" s="9"/>
      <c r="D72" s="9"/>
      <c r="E72" s="9"/>
      <c r="F72" s="9" t="s">
        <v>12</v>
      </c>
      <c r="G72" s="9" t="s">
        <v>96</v>
      </c>
      <c r="H72" s="9">
        <v>0</v>
      </c>
      <c r="I72" s="9"/>
      <c r="J72" s="9"/>
      <c r="K72" s="9"/>
      <c r="L72" s="9"/>
      <c r="M72" s="9"/>
      <c r="N72">
        <v>2</v>
      </c>
    </row>
    <row r="73" spans="2:14" x14ac:dyDescent="0.25">
      <c r="B73" s="9" t="s">
        <v>138</v>
      </c>
      <c r="C73" s="9"/>
      <c r="D73" s="9"/>
      <c r="E73" s="9"/>
      <c r="F73" s="9" t="s">
        <v>12</v>
      </c>
      <c r="G73" s="9" t="s">
        <v>96</v>
      </c>
      <c r="H73" s="9">
        <v>0</v>
      </c>
      <c r="I73" s="9"/>
      <c r="J73" s="9"/>
      <c r="K73" s="9"/>
      <c r="L73" s="9"/>
      <c r="M73" s="9"/>
      <c r="N73">
        <v>2</v>
      </c>
    </row>
    <row r="74" spans="2:14" x14ac:dyDescent="0.25">
      <c r="B74" s="6" t="s">
        <v>73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2:14" s="29" customFormat="1" x14ac:dyDescent="0.25">
      <c r="B75" s="36" t="s">
        <v>139</v>
      </c>
      <c r="C75" s="36"/>
      <c r="D75" s="36"/>
      <c r="E75" s="36"/>
      <c r="F75" s="36" t="s">
        <v>12</v>
      </c>
      <c r="G75" s="36" t="s">
        <v>11</v>
      </c>
      <c r="H75" s="36">
        <v>1</v>
      </c>
      <c r="I75" s="36"/>
      <c r="J75" s="36"/>
      <c r="K75" s="36"/>
      <c r="L75" s="36"/>
      <c r="M75" s="36"/>
      <c r="N75" s="36">
        <v>1</v>
      </c>
    </row>
    <row r="76" spans="2:14" s="29" customFormat="1" x14ac:dyDescent="0.25">
      <c r="B76" s="36" t="s">
        <v>140</v>
      </c>
      <c r="C76" s="36"/>
      <c r="D76" s="36"/>
      <c r="E76" s="36"/>
      <c r="F76" s="36" t="s">
        <v>12</v>
      </c>
      <c r="G76" s="36" t="s">
        <v>11</v>
      </c>
      <c r="H76" s="36">
        <v>1</v>
      </c>
      <c r="I76" s="36"/>
      <c r="J76" s="36"/>
      <c r="K76" s="36"/>
      <c r="L76" s="36"/>
      <c r="M76" s="36"/>
      <c r="N76" s="36">
        <v>1</v>
      </c>
    </row>
    <row r="77" spans="2:14" s="29" customFormat="1" x14ac:dyDescent="0.25">
      <c r="B77" s="38" t="s">
        <v>141</v>
      </c>
      <c r="C77" s="38"/>
      <c r="D77" s="38"/>
      <c r="E77" s="38"/>
      <c r="F77" s="37"/>
      <c r="G77" s="37"/>
      <c r="H77" s="37"/>
      <c r="I77" s="37"/>
      <c r="J77" s="37"/>
      <c r="K77" s="37"/>
      <c r="L77" s="37"/>
      <c r="M77" s="37"/>
      <c r="N77" s="37"/>
    </row>
    <row r="78" spans="2:14" s="29" customFormat="1" x14ac:dyDescent="0.25">
      <c r="B78" s="36" t="s">
        <v>142</v>
      </c>
      <c r="C78" s="36"/>
      <c r="D78" s="36"/>
      <c r="E78" s="36"/>
      <c r="F78" s="36" t="s">
        <v>12</v>
      </c>
      <c r="G78" s="36" t="s">
        <v>11</v>
      </c>
      <c r="H78" s="36">
        <v>1</v>
      </c>
      <c r="I78" s="36"/>
      <c r="J78" s="36"/>
      <c r="K78" s="36"/>
      <c r="L78" s="36"/>
      <c r="M78" s="36"/>
      <c r="N78" s="36">
        <v>1</v>
      </c>
    </row>
    <row r="79" spans="2:14" x14ac:dyDescent="0.25">
      <c r="B79" s="6" t="s">
        <v>74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2:14" x14ac:dyDescent="0.25">
      <c r="B80" t="s">
        <v>75</v>
      </c>
      <c r="F80" t="s">
        <v>12</v>
      </c>
      <c r="G80" t="s">
        <v>11</v>
      </c>
      <c r="H80">
        <v>1</v>
      </c>
      <c r="N80">
        <v>1</v>
      </c>
    </row>
    <row r="81" spans="2:15" x14ac:dyDescent="0.25">
      <c r="B81" s="9" t="s">
        <v>143</v>
      </c>
      <c r="C81" s="9"/>
      <c r="D81" s="9"/>
      <c r="E81" s="9"/>
      <c r="F81" s="9" t="s">
        <v>12</v>
      </c>
      <c r="G81" s="9" t="s">
        <v>96</v>
      </c>
      <c r="H81" s="39">
        <v>0</v>
      </c>
      <c r="I81" s="9"/>
      <c r="J81" s="9"/>
      <c r="K81" s="9"/>
      <c r="L81" s="9"/>
      <c r="M81" s="9"/>
      <c r="N81" s="39">
        <f>N97*0.092+N100*0.008+N98*0.097</f>
        <v>5.4219999999999997</v>
      </c>
      <c r="O81" t="s">
        <v>156</v>
      </c>
    </row>
    <row r="82" spans="2:15" x14ac:dyDescent="0.25">
      <c r="B82" t="s">
        <v>76</v>
      </c>
      <c r="F82" t="s">
        <v>12</v>
      </c>
      <c r="G82" t="s">
        <v>11</v>
      </c>
      <c r="H82">
        <v>1</v>
      </c>
      <c r="N82">
        <v>1</v>
      </c>
    </row>
    <row r="83" spans="2:15" x14ac:dyDescent="0.25">
      <c r="B83" t="s">
        <v>77</v>
      </c>
      <c r="F83" t="s">
        <v>12</v>
      </c>
      <c r="G83" t="s">
        <v>11</v>
      </c>
      <c r="H83">
        <v>1</v>
      </c>
      <c r="N83">
        <v>1</v>
      </c>
    </row>
    <row r="84" spans="2:15" x14ac:dyDescent="0.25">
      <c r="B84" s="6" t="s">
        <v>78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2:15" x14ac:dyDescent="0.25">
      <c r="B85" t="s">
        <v>79</v>
      </c>
      <c r="F85" t="s">
        <v>12</v>
      </c>
      <c r="G85" t="s">
        <v>11</v>
      </c>
      <c r="H85">
        <v>1</v>
      </c>
      <c r="N85" s="3">
        <f>1/4</f>
        <v>0.25</v>
      </c>
    </row>
    <row r="86" spans="2:15" x14ac:dyDescent="0.25">
      <c r="B86" t="s">
        <v>80</v>
      </c>
      <c r="F86" t="s">
        <v>12</v>
      </c>
      <c r="G86" t="s">
        <v>11</v>
      </c>
      <c r="H86">
        <v>1</v>
      </c>
      <c r="N86" s="3">
        <f>1/4</f>
        <v>0.25</v>
      </c>
    </row>
    <row r="87" spans="2:15" x14ac:dyDescent="0.25">
      <c r="B87" t="s">
        <v>81</v>
      </c>
      <c r="F87" t="s">
        <v>12</v>
      </c>
      <c r="G87" t="s">
        <v>11</v>
      </c>
      <c r="H87">
        <v>1</v>
      </c>
      <c r="N87" s="3">
        <f>1/4</f>
        <v>0.25</v>
      </c>
    </row>
    <row r="88" spans="2:15" x14ac:dyDescent="0.25">
      <c r="B88" s="6" t="s">
        <v>82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2:15" x14ac:dyDescent="0.25">
      <c r="B89" t="s">
        <v>83</v>
      </c>
      <c r="F89" t="s">
        <v>12</v>
      </c>
      <c r="G89" t="s">
        <v>11</v>
      </c>
      <c r="H89">
        <v>1</v>
      </c>
      <c r="N89" s="3">
        <f>2/3</f>
        <v>0.66666666666666663</v>
      </c>
    </row>
    <row r="90" spans="2:15" x14ac:dyDescent="0.25">
      <c r="B90" t="s">
        <v>84</v>
      </c>
      <c r="F90" t="s">
        <v>12</v>
      </c>
      <c r="G90" t="s">
        <v>11</v>
      </c>
      <c r="H90">
        <v>1</v>
      </c>
      <c r="N90" s="3">
        <f>2/3</f>
        <v>0.66666666666666663</v>
      </c>
    </row>
    <row r="91" spans="2:15" x14ac:dyDescent="0.25">
      <c r="B91" t="s">
        <v>85</v>
      </c>
      <c r="F91" t="s">
        <v>12</v>
      </c>
      <c r="G91" t="s">
        <v>11</v>
      </c>
      <c r="H91">
        <v>1</v>
      </c>
      <c r="N91" s="3">
        <f>2/3</f>
        <v>0.66666666666666663</v>
      </c>
    </row>
    <row r="92" spans="2:15" x14ac:dyDescent="0.25">
      <c r="B92" t="s">
        <v>86</v>
      </c>
      <c r="F92" t="s">
        <v>12</v>
      </c>
      <c r="G92" t="s">
        <v>11</v>
      </c>
      <c r="H92">
        <v>1</v>
      </c>
      <c r="N92" s="3">
        <f>2/3</f>
        <v>0.66666666666666663</v>
      </c>
    </row>
    <row r="93" spans="2:15" x14ac:dyDescent="0.25">
      <c r="B93" s="6" t="s">
        <v>87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2:15" x14ac:dyDescent="0.25">
      <c r="B94" s="6" t="s">
        <v>88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2:15" x14ac:dyDescent="0.25">
      <c r="B95" s="6" t="s">
        <v>89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2:15" x14ac:dyDescent="0.25">
      <c r="B96" s="6" t="s">
        <v>90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2:14" s="33" customFormat="1" x14ac:dyDescent="0.25">
      <c r="B97" s="34" t="s">
        <v>133</v>
      </c>
      <c r="C97" s="34"/>
      <c r="D97" s="34"/>
      <c r="E97" s="34"/>
      <c r="F97" s="34" t="s">
        <v>12</v>
      </c>
      <c r="G97" s="34" t="s">
        <v>96</v>
      </c>
      <c r="H97" s="34">
        <v>0</v>
      </c>
      <c r="I97" s="34"/>
      <c r="J97" s="34"/>
      <c r="K97" s="34"/>
      <c r="L97" s="34"/>
      <c r="M97" s="34"/>
      <c r="N97" s="34">
        <v>0</v>
      </c>
    </row>
    <row r="98" spans="2:14" x14ac:dyDescent="0.25">
      <c r="B98" s="34" t="s">
        <v>144</v>
      </c>
      <c r="C98" s="34"/>
      <c r="D98" s="34"/>
      <c r="E98" s="34"/>
      <c r="F98" s="9" t="s">
        <v>12</v>
      </c>
      <c r="G98" s="9" t="s">
        <v>96</v>
      </c>
      <c r="H98" s="9">
        <v>0</v>
      </c>
      <c r="I98" s="9"/>
      <c r="J98" s="9"/>
      <c r="K98" s="9"/>
      <c r="L98" s="9"/>
      <c r="M98" s="9"/>
      <c r="N98" s="9">
        <v>46</v>
      </c>
    </row>
    <row r="99" spans="2:14" x14ac:dyDescent="0.25">
      <c r="B99" s="34" t="s">
        <v>134</v>
      </c>
      <c r="C99" s="34"/>
      <c r="D99" s="34"/>
      <c r="E99" s="34"/>
      <c r="F99" s="9" t="s">
        <v>12</v>
      </c>
      <c r="G99" s="9" t="s">
        <v>96</v>
      </c>
      <c r="H99" s="9">
        <v>0</v>
      </c>
      <c r="I99" s="9"/>
      <c r="J99" s="9"/>
      <c r="K99" s="9"/>
      <c r="L99" s="9"/>
      <c r="M99" s="9"/>
      <c r="N99" s="9">
        <v>0</v>
      </c>
    </row>
    <row r="100" spans="2:14" x14ac:dyDescent="0.25">
      <c r="B100" s="34" t="s">
        <v>145</v>
      </c>
      <c r="C100" s="34"/>
      <c r="D100" s="34"/>
      <c r="E100" s="34"/>
      <c r="F100" s="9" t="s">
        <v>12</v>
      </c>
      <c r="G100" s="9" t="s">
        <v>96</v>
      </c>
      <c r="H100" s="9">
        <v>0</v>
      </c>
      <c r="I100" s="9"/>
      <c r="J100" s="9"/>
      <c r="K100" s="9"/>
      <c r="L100" s="9"/>
      <c r="M100" s="9"/>
      <c r="N100" s="9">
        <v>120</v>
      </c>
    </row>
    <row r="101" spans="2:14" x14ac:dyDescent="0.25">
      <c r="B101" s="34" t="s">
        <v>146</v>
      </c>
      <c r="C101" s="34"/>
      <c r="D101" s="34"/>
      <c r="E101" s="34"/>
      <c r="F101" s="9" t="s">
        <v>12</v>
      </c>
      <c r="G101" s="9" t="s">
        <v>96</v>
      </c>
      <c r="H101" s="9">
        <v>0</v>
      </c>
      <c r="I101" s="9"/>
      <c r="J101" s="9"/>
      <c r="K101" s="9"/>
      <c r="L101" s="9"/>
      <c r="M101" s="9"/>
      <c r="N101" s="9">
        <v>0</v>
      </c>
    </row>
    <row r="102" spans="2:14" x14ac:dyDescent="0.25">
      <c r="B102" s="34" t="s">
        <v>147</v>
      </c>
      <c r="C102" s="34"/>
      <c r="D102" s="34"/>
      <c r="E102" s="34"/>
      <c r="F102" s="9" t="s">
        <v>12</v>
      </c>
      <c r="G102" s="9" t="s">
        <v>96</v>
      </c>
      <c r="H102" s="9">
        <v>0</v>
      </c>
      <c r="I102" s="9"/>
      <c r="J102" s="9"/>
      <c r="K102" s="9"/>
      <c r="L102" s="9"/>
      <c r="M102" s="9"/>
      <c r="N102" s="9">
        <v>0</v>
      </c>
    </row>
    <row r="103" spans="2:14" x14ac:dyDescent="0.25">
      <c r="B103" s="34" t="s">
        <v>148</v>
      </c>
      <c r="C103" s="34"/>
      <c r="D103" s="34"/>
      <c r="E103" s="34"/>
      <c r="F103" s="9" t="s">
        <v>12</v>
      </c>
      <c r="G103" s="9" t="s">
        <v>96</v>
      </c>
      <c r="H103" s="9">
        <v>0</v>
      </c>
      <c r="I103" s="9"/>
      <c r="J103" s="9"/>
      <c r="K103" s="9"/>
      <c r="L103" s="9"/>
      <c r="M103" s="9"/>
      <c r="N103" s="9">
        <v>0</v>
      </c>
    </row>
    <row r="104" spans="2:14" x14ac:dyDescent="0.25">
      <c r="B104" s="34" t="s">
        <v>149</v>
      </c>
      <c r="C104" s="34"/>
      <c r="D104" s="34"/>
      <c r="E104" s="34"/>
      <c r="F104" s="9" t="s">
        <v>12</v>
      </c>
      <c r="G104" s="9" t="s">
        <v>96</v>
      </c>
      <c r="H104" s="9">
        <v>0</v>
      </c>
      <c r="I104" s="9"/>
      <c r="J104" s="9"/>
      <c r="K104" s="9"/>
      <c r="L104" s="9"/>
      <c r="M104" s="9"/>
      <c r="N104" s="9">
        <v>0</v>
      </c>
    </row>
    <row r="105" spans="2:14" x14ac:dyDescent="0.25">
      <c r="B105" s="34" t="s">
        <v>150</v>
      </c>
      <c r="C105" s="34"/>
      <c r="D105" s="34"/>
      <c r="E105" s="34"/>
      <c r="F105" s="9" t="s">
        <v>12</v>
      </c>
      <c r="G105" s="9" t="s">
        <v>96</v>
      </c>
      <c r="H105" s="9">
        <v>0</v>
      </c>
      <c r="I105" s="9"/>
      <c r="J105" s="9"/>
      <c r="K105" s="9"/>
      <c r="L105" s="9"/>
      <c r="M105" s="9"/>
      <c r="N105" s="9">
        <v>0</v>
      </c>
    </row>
    <row r="106" spans="2:14" x14ac:dyDescent="0.25">
      <c r="B106" s="34" t="s">
        <v>151</v>
      </c>
      <c r="C106" s="34"/>
      <c r="D106" s="34"/>
      <c r="E106" s="34"/>
      <c r="F106" s="9" t="s">
        <v>12</v>
      </c>
      <c r="G106" s="9" t="s">
        <v>96</v>
      </c>
      <c r="H106" s="9">
        <v>0</v>
      </c>
      <c r="I106" s="9"/>
      <c r="J106" s="9"/>
      <c r="K106" s="9"/>
      <c r="L106" s="9"/>
      <c r="M106" s="9"/>
      <c r="N106" s="9">
        <v>0</v>
      </c>
    </row>
    <row r="107" spans="2:14" x14ac:dyDescent="0.25">
      <c r="B107" s="34" t="s">
        <v>152</v>
      </c>
      <c r="C107" s="34"/>
      <c r="D107" s="34"/>
      <c r="E107" s="34"/>
      <c r="F107" s="9" t="s">
        <v>12</v>
      </c>
      <c r="G107" s="9" t="s">
        <v>96</v>
      </c>
      <c r="H107" s="9">
        <v>0</v>
      </c>
      <c r="I107" s="9"/>
      <c r="J107" s="9"/>
      <c r="K107" s="9"/>
      <c r="L107" s="9"/>
      <c r="M107" s="9"/>
      <c r="N107" s="9">
        <v>0</v>
      </c>
    </row>
    <row r="108" spans="2:14" x14ac:dyDescent="0.25">
      <c r="B108" s="34" t="s">
        <v>153</v>
      </c>
      <c r="C108" s="34"/>
      <c r="D108" s="34"/>
      <c r="E108" s="34"/>
      <c r="F108" s="9" t="s">
        <v>12</v>
      </c>
      <c r="G108" s="9" t="s">
        <v>96</v>
      </c>
      <c r="H108" s="9">
        <v>0</v>
      </c>
      <c r="I108" s="9"/>
      <c r="J108" s="9"/>
      <c r="K108" s="9"/>
      <c r="L108" s="9"/>
      <c r="M108" s="9"/>
      <c r="N108" s="9">
        <v>0</v>
      </c>
    </row>
    <row r="109" spans="2:14" x14ac:dyDescent="0.25">
      <c r="B109" s="34" t="s">
        <v>154</v>
      </c>
      <c r="C109" s="34"/>
      <c r="D109" s="34"/>
      <c r="E109" s="34"/>
      <c r="F109" s="9" t="s">
        <v>12</v>
      </c>
      <c r="G109" s="9" t="s">
        <v>96</v>
      </c>
      <c r="H109" s="9">
        <v>0</v>
      </c>
      <c r="I109" s="9"/>
      <c r="J109" s="9"/>
      <c r="K109" s="9"/>
      <c r="L109" s="9"/>
      <c r="M109" s="9"/>
      <c r="N109" s="9">
        <v>10</v>
      </c>
    </row>
    <row r="110" spans="2:14" x14ac:dyDescent="0.25">
      <c r="B110" s="34"/>
      <c r="C110" s="34"/>
      <c r="D110" s="34"/>
      <c r="E110" s="34"/>
      <c r="F110" s="9"/>
      <c r="G110" s="9"/>
      <c r="H110" s="9"/>
      <c r="I110" s="9"/>
      <c r="J110" s="9"/>
      <c r="K110" s="9"/>
      <c r="L110" s="9"/>
      <c r="M110" s="9"/>
      <c r="N110" s="9"/>
    </row>
    <row r="111" spans="2:14" x14ac:dyDescent="0.25">
      <c r="B111" s="5" t="s">
        <v>92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2:14" x14ac:dyDescent="0.25">
      <c r="F112" s="9" t="s">
        <v>95</v>
      </c>
      <c r="G112" s="9" t="s">
        <v>11</v>
      </c>
      <c r="H112" s="9">
        <v>1</v>
      </c>
    </row>
    <row r="113" spans="2:14" x14ac:dyDescent="0.25">
      <c r="B113" s="6" t="s">
        <v>15</v>
      </c>
      <c r="C113" s="6"/>
      <c r="D113" s="6"/>
      <c r="E113" s="6"/>
      <c r="F113" s="6"/>
      <c r="G113" s="6"/>
      <c r="H113" s="10"/>
      <c r="I113" s="6"/>
      <c r="J113" s="6"/>
      <c r="K113" s="6"/>
      <c r="L113" s="6"/>
      <c r="M113" s="6"/>
      <c r="N113" s="6"/>
    </row>
    <row r="114" spans="2:14" x14ac:dyDescent="0.25">
      <c r="B114" t="s">
        <v>16</v>
      </c>
      <c r="F114" t="s">
        <v>95</v>
      </c>
      <c r="G114" t="s">
        <v>96</v>
      </c>
      <c r="H114">
        <v>22</v>
      </c>
      <c r="N114">
        <v>42</v>
      </c>
    </row>
    <row r="115" spans="2:14" x14ac:dyDescent="0.25">
      <c r="B115" t="s">
        <v>17</v>
      </c>
      <c r="F115" t="s">
        <v>95</v>
      </c>
      <c r="G115" t="s">
        <v>96</v>
      </c>
      <c r="H115" s="11">
        <f>H114</f>
        <v>22</v>
      </c>
      <c r="N115">
        <v>42</v>
      </c>
    </row>
    <row r="116" spans="2:14" x14ac:dyDescent="0.25">
      <c r="B116" t="s">
        <v>180</v>
      </c>
      <c r="F116" t="s">
        <v>95</v>
      </c>
      <c r="G116" t="s">
        <v>96</v>
      </c>
      <c r="H116">
        <v>100</v>
      </c>
      <c r="N116">
        <v>100</v>
      </c>
    </row>
    <row r="117" spans="2:14" x14ac:dyDescent="0.25">
      <c r="B117" t="s">
        <v>18</v>
      </c>
      <c r="F117" t="s">
        <v>95</v>
      </c>
      <c r="G117" t="s">
        <v>96</v>
      </c>
      <c r="H117">
        <v>4</v>
      </c>
      <c r="N117">
        <v>24</v>
      </c>
    </row>
    <row r="118" spans="2:14" x14ac:dyDescent="0.25">
      <c r="B118" t="s">
        <v>19</v>
      </c>
      <c r="F118" t="s">
        <v>95</v>
      </c>
      <c r="G118" t="s">
        <v>96</v>
      </c>
      <c r="H118" s="11">
        <f>H117</f>
        <v>4</v>
      </c>
      <c r="N118">
        <v>24</v>
      </c>
    </row>
    <row r="119" spans="2:14" x14ac:dyDescent="0.25">
      <c r="B119" t="s">
        <v>20</v>
      </c>
      <c r="F119" t="s">
        <v>95</v>
      </c>
      <c r="G119" t="s">
        <v>96</v>
      </c>
      <c r="H119">
        <v>100</v>
      </c>
      <c r="N119">
        <v>100</v>
      </c>
    </row>
    <row r="120" spans="2:14" x14ac:dyDescent="0.25">
      <c r="B120" t="s">
        <v>21</v>
      </c>
      <c r="F120" t="s">
        <v>95</v>
      </c>
      <c r="G120" t="s">
        <v>96</v>
      </c>
      <c r="H120">
        <v>8</v>
      </c>
      <c r="N120">
        <v>28</v>
      </c>
    </row>
    <row r="121" spans="2:14" x14ac:dyDescent="0.25">
      <c r="B121" t="s">
        <v>22</v>
      </c>
      <c r="F121" t="s">
        <v>95</v>
      </c>
      <c r="G121" t="s">
        <v>96</v>
      </c>
      <c r="H121" s="11">
        <f>H120</f>
        <v>8</v>
      </c>
      <c r="N121">
        <v>28</v>
      </c>
    </row>
    <row r="122" spans="2:14" x14ac:dyDescent="0.25">
      <c r="B122" t="s">
        <v>23</v>
      </c>
      <c r="F122" t="s">
        <v>95</v>
      </c>
      <c r="G122" t="s">
        <v>96</v>
      </c>
      <c r="H122">
        <v>1</v>
      </c>
      <c r="N122">
        <v>21</v>
      </c>
    </row>
    <row r="123" spans="2:14" x14ac:dyDescent="0.25">
      <c r="B123" t="s">
        <v>24</v>
      </c>
      <c r="F123" t="s">
        <v>95</v>
      </c>
      <c r="G123" t="s">
        <v>96</v>
      </c>
      <c r="H123" s="11">
        <f>H122</f>
        <v>1</v>
      </c>
      <c r="N123">
        <v>21</v>
      </c>
    </row>
    <row r="124" spans="2:14" x14ac:dyDescent="0.25">
      <c r="B124" t="s">
        <v>25</v>
      </c>
      <c r="F124" t="s">
        <v>95</v>
      </c>
      <c r="G124" t="s">
        <v>96</v>
      </c>
      <c r="H124" s="4">
        <v>22</v>
      </c>
      <c r="N124">
        <v>42</v>
      </c>
    </row>
    <row r="125" spans="2:14" x14ac:dyDescent="0.25">
      <c r="B125" t="s">
        <v>26</v>
      </c>
      <c r="F125" t="s">
        <v>95</v>
      </c>
      <c r="G125" t="s">
        <v>96</v>
      </c>
      <c r="H125" s="11">
        <f>H124</f>
        <v>22</v>
      </c>
      <c r="N125">
        <v>42</v>
      </c>
    </row>
    <row r="126" spans="2:14" x14ac:dyDescent="0.25">
      <c r="B126" s="9" t="s">
        <v>135</v>
      </c>
      <c r="C126" s="9"/>
      <c r="D126" s="9"/>
      <c r="E126" s="9"/>
      <c r="F126" s="9" t="s">
        <v>95</v>
      </c>
      <c r="G126" s="9" t="s">
        <v>96</v>
      </c>
      <c r="H126" s="9">
        <v>100</v>
      </c>
      <c r="I126" s="9"/>
      <c r="J126" s="9"/>
      <c r="K126" s="9"/>
      <c r="L126" s="9"/>
      <c r="M126" s="9"/>
      <c r="N126" s="9">
        <v>100</v>
      </c>
    </row>
    <row r="127" spans="2:14" x14ac:dyDescent="0.25">
      <c r="B127" s="6" t="s">
        <v>27</v>
      </c>
      <c r="C127" s="6"/>
      <c r="D127" s="6"/>
      <c r="E127" s="6"/>
      <c r="F127" s="6"/>
      <c r="G127" s="6"/>
      <c r="H127" s="10"/>
      <c r="I127" s="6"/>
      <c r="J127" s="6"/>
      <c r="K127" s="6"/>
      <c r="L127" s="6"/>
      <c r="M127" s="6"/>
      <c r="N127" s="6"/>
    </row>
    <row r="128" spans="2:14" x14ac:dyDescent="0.25">
      <c r="B128" s="7" t="s">
        <v>28</v>
      </c>
      <c r="C128" s="7"/>
      <c r="D128" s="7"/>
      <c r="E128" s="7"/>
      <c r="F128" t="s">
        <v>95</v>
      </c>
      <c r="G128" t="s">
        <v>96</v>
      </c>
      <c r="H128" s="7">
        <v>16</v>
      </c>
      <c r="I128" s="7"/>
      <c r="J128" s="7"/>
      <c r="K128" s="7"/>
      <c r="L128" s="7"/>
      <c r="M128" s="7"/>
      <c r="N128">
        <v>36</v>
      </c>
    </row>
    <row r="129" spans="2:14" x14ac:dyDescent="0.25">
      <c r="B129" s="7" t="s">
        <v>29</v>
      </c>
      <c r="C129" s="7"/>
      <c r="D129" s="7"/>
      <c r="E129" s="7"/>
      <c r="F129" t="s">
        <v>95</v>
      </c>
      <c r="G129" t="s">
        <v>96</v>
      </c>
      <c r="H129" s="7">
        <v>16</v>
      </c>
      <c r="I129" s="7"/>
      <c r="J129" s="7"/>
      <c r="K129" s="7"/>
      <c r="L129" s="7"/>
      <c r="M129" s="7"/>
      <c r="N129">
        <v>36</v>
      </c>
    </row>
    <row r="130" spans="2:14" x14ac:dyDescent="0.25">
      <c r="B130" s="7" t="s">
        <v>30</v>
      </c>
      <c r="C130" s="7"/>
      <c r="D130" s="7"/>
      <c r="E130" s="7"/>
      <c r="F130" t="s">
        <v>95</v>
      </c>
      <c r="G130" t="s">
        <v>96</v>
      </c>
      <c r="H130" s="7">
        <v>16</v>
      </c>
      <c r="I130" s="7"/>
      <c r="J130" s="7"/>
      <c r="K130" s="7"/>
      <c r="L130" s="7"/>
      <c r="M130" s="7"/>
      <c r="N130">
        <v>36</v>
      </c>
    </row>
    <row r="131" spans="2:14" x14ac:dyDescent="0.25">
      <c r="B131" s="7" t="s">
        <v>31</v>
      </c>
      <c r="C131" s="7"/>
      <c r="D131" s="7"/>
      <c r="E131" s="7"/>
      <c r="F131" t="s">
        <v>95</v>
      </c>
      <c r="G131" t="s">
        <v>96</v>
      </c>
      <c r="H131" s="7">
        <v>16</v>
      </c>
      <c r="I131" s="7"/>
      <c r="J131" s="7"/>
      <c r="K131" s="7"/>
      <c r="L131" s="7"/>
      <c r="M131" s="7"/>
      <c r="N131">
        <v>36</v>
      </c>
    </row>
    <row r="132" spans="2:14" x14ac:dyDescent="0.25">
      <c r="B132" s="6" t="s">
        <v>93</v>
      </c>
      <c r="C132" s="6"/>
      <c r="D132" s="6"/>
      <c r="E132" s="6"/>
      <c r="F132" s="6"/>
      <c r="G132" s="6"/>
      <c r="H132" s="10"/>
      <c r="I132" s="6"/>
      <c r="J132" s="6"/>
      <c r="K132" s="6"/>
      <c r="L132" s="6"/>
      <c r="M132" s="6"/>
      <c r="N132" s="6"/>
    </row>
    <row r="133" spans="2:14" x14ac:dyDescent="0.25">
      <c r="B133" s="7" t="s">
        <v>44</v>
      </c>
      <c r="C133" s="7"/>
      <c r="D133" s="7"/>
      <c r="E133" s="7"/>
      <c r="F133" t="s">
        <v>95</v>
      </c>
      <c r="G133" t="s">
        <v>96</v>
      </c>
      <c r="H133" s="7">
        <v>85</v>
      </c>
      <c r="I133" s="7"/>
      <c r="J133" s="7"/>
      <c r="K133" s="7"/>
      <c r="L133" s="7"/>
      <c r="M133" s="7"/>
      <c r="N133">
        <v>100</v>
      </c>
    </row>
    <row r="134" spans="2:14" x14ac:dyDescent="0.25">
      <c r="B134" s="7" t="s">
        <v>45</v>
      </c>
      <c r="C134" s="7"/>
      <c r="D134" s="7"/>
      <c r="E134" s="7"/>
      <c r="F134" t="s">
        <v>95</v>
      </c>
      <c r="G134" t="s">
        <v>96</v>
      </c>
      <c r="H134" s="7">
        <v>85</v>
      </c>
      <c r="I134" s="7"/>
      <c r="J134" s="7"/>
      <c r="K134" s="7"/>
      <c r="L134" s="7"/>
      <c r="M134" s="7"/>
      <c r="N134">
        <v>100</v>
      </c>
    </row>
    <row r="135" spans="2:14" x14ac:dyDescent="0.25">
      <c r="B135" s="7" t="s">
        <v>46</v>
      </c>
      <c r="C135" s="7"/>
      <c r="D135" s="7"/>
      <c r="E135" s="7"/>
      <c r="F135" t="s">
        <v>95</v>
      </c>
      <c r="G135" t="s">
        <v>96</v>
      </c>
      <c r="H135" s="7">
        <v>85</v>
      </c>
      <c r="I135" s="7"/>
      <c r="J135" s="7"/>
      <c r="K135" s="7"/>
      <c r="L135" s="7"/>
      <c r="M135" s="7"/>
      <c r="N135">
        <v>100</v>
      </c>
    </row>
    <row r="136" spans="2:14" x14ac:dyDescent="0.25">
      <c r="B136" s="7" t="s">
        <v>47</v>
      </c>
      <c r="C136" s="7"/>
      <c r="D136" s="7"/>
      <c r="E136" s="7"/>
      <c r="F136" t="s">
        <v>95</v>
      </c>
      <c r="G136" t="s">
        <v>96</v>
      </c>
      <c r="H136" s="7">
        <v>95</v>
      </c>
      <c r="I136" s="7"/>
      <c r="J136" s="7"/>
      <c r="K136" s="7"/>
      <c r="L136" s="7"/>
      <c r="M136" s="7"/>
      <c r="N136">
        <v>100</v>
      </c>
    </row>
    <row r="137" spans="2:14" x14ac:dyDescent="0.25">
      <c r="B137" s="7" t="s">
        <v>48</v>
      </c>
      <c r="C137" s="7"/>
      <c r="D137" s="7"/>
      <c r="E137" s="7"/>
      <c r="F137" t="s">
        <v>95</v>
      </c>
      <c r="G137" t="s">
        <v>96</v>
      </c>
      <c r="H137" s="4">
        <v>97</v>
      </c>
      <c r="I137" s="7"/>
      <c r="J137" s="7"/>
      <c r="K137" s="7"/>
      <c r="L137" s="7"/>
      <c r="M137" s="7"/>
      <c r="N137">
        <v>100</v>
      </c>
    </row>
    <row r="138" spans="2:14" x14ac:dyDescent="0.25">
      <c r="B138" s="7" t="s">
        <v>49</v>
      </c>
      <c r="C138" s="7"/>
      <c r="D138" s="7"/>
      <c r="E138" s="7"/>
      <c r="F138" t="s">
        <v>95</v>
      </c>
      <c r="G138" t="s">
        <v>96</v>
      </c>
      <c r="H138" s="7">
        <v>29</v>
      </c>
      <c r="I138" s="7"/>
      <c r="J138" s="7"/>
      <c r="K138" s="7"/>
      <c r="L138" s="7"/>
      <c r="M138" s="7"/>
      <c r="N138">
        <v>49</v>
      </c>
    </row>
    <row r="139" spans="2:14" x14ac:dyDescent="0.25">
      <c r="B139" s="7" t="s">
        <v>50</v>
      </c>
      <c r="C139" s="7"/>
      <c r="D139" s="7"/>
      <c r="E139" s="7"/>
      <c r="F139" t="s">
        <v>95</v>
      </c>
      <c r="G139" t="s">
        <v>96</v>
      </c>
      <c r="H139" s="4">
        <v>50</v>
      </c>
      <c r="I139" s="7"/>
      <c r="J139" s="7"/>
      <c r="K139" s="7"/>
      <c r="L139" s="7"/>
      <c r="M139" s="7"/>
      <c r="N139">
        <v>100</v>
      </c>
    </row>
    <row r="140" spans="2:14" x14ac:dyDescent="0.25">
      <c r="B140" s="7" t="s">
        <v>51</v>
      </c>
      <c r="C140" s="7"/>
      <c r="D140" s="7"/>
      <c r="E140" s="7"/>
      <c r="F140" t="s">
        <v>95</v>
      </c>
      <c r="G140" t="s">
        <v>96</v>
      </c>
      <c r="H140" s="4">
        <v>90</v>
      </c>
      <c r="I140" s="7"/>
      <c r="J140" s="7"/>
      <c r="K140" s="7"/>
      <c r="L140" s="7"/>
      <c r="M140" s="7"/>
      <c r="N140">
        <v>100</v>
      </c>
    </row>
    <row r="141" spans="2:14" x14ac:dyDescent="0.25">
      <c r="B141" s="6" t="s">
        <v>94</v>
      </c>
      <c r="C141" s="6"/>
      <c r="D141" s="6"/>
      <c r="E141" s="6"/>
      <c r="F141" s="6"/>
      <c r="G141" s="6"/>
      <c r="H141" s="10"/>
      <c r="I141" s="6"/>
      <c r="J141" s="6"/>
      <c r="K141" s="6"/>
      <c r="L141" s="6"/>
      <c r="M141" s="6"/>
      <c r="N141" s="6"/>
    </row>
    <row r="142" spans="2:14" x14ac:dyDescent="0.25">
      <c r="B142" s="7" t="s">
        <v>33</v>
      </c>
      <c r="C142" s="7"/>
      <c r="D142" s="7"/>
      <c r="E142" s="7"/>
      <c r="F142" t="s">
        <v>95</v>
      </c>
      <c r="G142" t="s">
        <v>96</v>
      </c>
      <c r="H142">
        <v>7</v>
      </c>
      <c r="I142" s="7"/>
      <c r="J142" s="7"/>
      <c r="K142" s="7"/>
      <c r="L142" s="7"/>
      <c r="M142" s="7"/>
      <c r="N142">
        <v>27</v>
      </c>
    </row>
    <row r="143" spans="2:14" x14ac:dyDescent="0.25">
      <c r="B143" s="7" t="s">
        <v>34</v>
      </c>
      <c r="C143" s="7"/>
      <c r="D143" s="7"/>
      <c r="E143" s="7"/>
      <c r="F143" t="s">
        <v>95</v>
      </c>
      <c r="G143" t="s">
        <v>96</v>
      </c>
      <c r="H143" s="7">
        <v>35</v>
      </c>
      <c r="I143" s="7"/>
      <c r="J143" s="7"/>
      <c r="K143" s="7"/>
      <c r="L143" s="7"/>
      <c r="M143" s="7"/>
      <c r="N143">
        <v>55</v>
      </c>
    </row>
    <row r="144" spans="2:14" x14ac:dyDescent="0.25">
      <c r="B144" s="7" t="s">
        <v>35</v>
      </c>
      <c r="C144" s="7"/>
      <c r="D144" s="7"/>
      <c r="E144" s="7"/>
      <c r="F144" t="s">
        <v>95</v>
      </c>
      <c r="G144" t="s">
        <v>96</v>
      </c>
      <c r="H144" s="7">
        <v>63</v>
      </c>
      <c r="I144" s="7"/>
      <c r="J144" s="7"/>
      <c r="K144" s="7"/>
      <c r="L144" s="7"/>
      <c r="M144" s="7"/>
      <c r="N144">
        <v>83</v>
      </c>
    </row>
    <row r="145" spans="2:16" x14ac:dyDescent="0.25">
      <c r="B145" s="7" t="s">
        <v>36</v>
      </c>
      <c r="C145" s="7"/>
      <c r="D145" s="7"/>
      <c r="E145" s="7"/>
      <c r="F145" t="s">
        <v>95</v>
      </c>
      <c r="G145" t="s">
        <v>96</v>
      </c>
      <c r="H145" s="7">
        <v>54</v>
      </c>
      <c r="I145" s="7"/>
      <c r="J145" s="7"/>
      <c r="K145" s="7"/>
      <c r="L145" s="7"/>
      <c r="M145" s="7"/>
      <c r="N145">
        <v>74</v>
      </c>
    </row>
    <row r="146" spans="2:16" x14ac:dyDescent="0.25">
      <c r="B146" s="7" t="s">
        <v>37</v>
      </c>
      <c r="C146" s="7"/>
      <c r="D146" s="7"/>
      <c r="E146" s="7"/>
      <c r="F146" t="s">
        <v>95</v>
      </c>
      <c r="G146" t="s">
        <v>96</v>
      </c>
      <c r="H146" s="4">
        <v>75</v>
      </c>
      <c r="I146" s="7"/>
      <c r="J146" s="7"/>
      <c r="K146" s="7"/>
      <c r="L146" s="7"/>
      <c r="M146" s="7"/>
      <c r="N146">
        <v>100</v>
      </c>
    </row>
    <row r="147" spans="2:16" x14ac:dyDescent="0.25">
      <c r="B147" s="7" t="s">
        <v>38</v>
      </c>
      <c r="C147" s="7"/>
      <c r="D147" s="7"/>
      <c r="E147" s="7"/>
      <c r="F147" t="s">
        <v>95</v>
      </c>
      <c r="G147" t="s">
        <v>96</v>
      </c>
      <c r="H147" s="7">
        <v>10</v>
      </c>
      <c r="I147" s="7"/>
      <c r="J147" s="7"/>
      <c r="K147" s="7"/>
      <c r="L147" s="7"/>
      <c r="M147" s="7"/>
      <c r="N147">
        <v>30</v>
      </c>
    </row>
    <row r="148" spans="2:16" x14ac:dyDescent="0.25">
      <c r="B148" s="7" t="s">
        <v>39</v>
      </c>
      <c r="C148" s="7"/>
      <c r="D148" s="7"/>
      <c r="E148" s="7"/>
      <c r="F148" t="s">
        <v>95</v>
      </c>
      <c r="G148" t="s">
        <v>96</v>
      </c>
      <c r="H148" s="7">
        <v>90</v>
      </c>
      <c r="I148" s="7"/>
      <c r="J148" s="7"/>
      <c r="K148" s="7"/>
      <c r="L148" s="7"/>
      <c r="M148" s="7"/>
      <c r="N148">
        <v>100</v>
      </c>
    </row>
    <row r="149" spans="2:16" x14ac:dyDescent="0.25">
      <c r="B149" s="7" t="s">
        <v>40</v>
      </c>
      <c r="C149" s="7"/>
      <c r="D149" s="7"/>
      <c r="E149" s="7"/>
      <c r="F149" t="s">
        <v>95</v>
      </c>
      <c r="G149" t="s">
        <v>96</v>
      </c>
      <c r="H149" s="7">
        <v>46</v>
      </c>
      <c r="I149" s="7"/>
      <c r="J149" s="7"/>
      <c r="K149" s="7"/>
      <c r="L149" s="7"/>
      <c r="M149" s="7"/>
      <c r="N149">
        <v>66</v>
      </c>
    </row>
    <row r="150" spans="2:16" x14ac:dyDescent="0.25">
      <c r="B150" s="7" t="s">
        <v>41</v>
      </c>
      <c r="C150" s="7"/>
      <c r="D150" s="7"/>
      <c r="E150" s="7"/>
      <c r="F150" t="s">
        <v>95</v>
      </c>
      <c r="G150" t="s">
        <v>96</v>
      </c>
      <c r="H150" s="7">
        <v>100</v>
      </c>
      <c r="I150" s="7"/>
      <c r="J150" s="7"/>
      <c r="K150" s="7"/>
      <c r="L150" s="7"/>
      <c r="M150" s="7"/>
      <c r="N150">
        <v>100</v>
      </c>
    </row>
    <row r="151" spans="2:16" x14ac:dyDescent="0.25">
      <c r="B151" s="7" t="s">
        <v>42</v>
      </c>
      <c r="C151" s="7"/>
      <c r="D151" s="7"/>
      <c r="E151" s="7"/>
      <c r="F151" t="s">
        <v>95</v>
      </c>
      <c r="G151" t="s">
        <v>96</v>
      </c>
      <c r="H151" s="4">
        <v>90</v>
      </c>
      <c r="I151" s="7"/>
      <c r="J151" s="7"/>
      <c r="K151" s="7"/>
      <c r="L151" s="7"/>
      <c r="M151" s="7"/>
      <c r="N151">
        <v>100</v>
      </c>
    </row>
    <row r="152" spans="2:16" x14ac:dyDescent="0.25">
      <c r="B152" s="6" t="s">
        <v>52</v>
      </c>
      <c r="C152" s="6"/>
      <c r="D152" s="6"/>
      <c r="E152" s="6"/>
      <c r="F152" s="6"/>
      <c r="G152" s="6"/>
      <c r="H152" s="10"/>
      <c r="I152" s="6"/>
      <c r="J152" s="6"/>
      <c r="K152" s="6"/>
      <c r="L152" s="6"/>
      <c r="M152" s="6"/>
      <c r="N152" s="6"/>
      <c r="P152">
        <v>15</v>
      </c>
    </row>
    <row r="153" spans="2:16" x14ac:dyDescent="0.25">
      <c r="B153" s="4" t="s">
        <v>53</v>
      </c>
      <c r="C153" s="4"/>
      <c r="D153" s="4"/>
      <c r="E153" s="4"/>
      <c r="F153" t="s">
        <v>95</v>
      </c>
      <c r="G153" t="s">
        <v>96</v>
      </c>
      <c r="H153" s="12">
        <v>3.6594736842105262</v>
      </c>
      <c r="I153" s="4"/>
      <c r="J153" s="4"/>
      <c r="K153" s="4"/>
      <c r="L153" s="4"/>
      <c r="M153" s="4"/>
      <c r="N153" s="31">
        <f>H153+$P$152</f>
        <v>18.659473684210525</v>
      </c>
      <c r="P153">
        <v>10</v>
      </c>
    </row>
    <row r="154" spans="2:16" x14ac:dyDescent="0.25">
      <c r="B154" s="4" t="s">
        <v>54</v>
      </c>
      <c r="C154" s="4"/>
      <c r="D154" s="4"/>
      <c r="E154" s="4"/>
      <c r="F154" t="s">
        <v>95</v>
      </c>
      <c r="G154" t="s">
        <v>96</v>
      </c>
      <c r="H154" s="12">
        <v>2.438757763975155</v>
      </c>
      <c r="I154" s="4"/>
      <c r="J154" s="4"/>
      <c r="K154" s="4"/>
      <c r="L154" s="4"/>
      <c r="M154" s="4"/>
      <c r="N154" s="31">
        <f t="shared" ref="N154:N161" si="0">H154+$P$152</f>
        <v>17.438757763975154</v>
      </c>
    </row>
    <row r="155" spans="2:16" x14ac:dyDescent="0.25">
      <c r="B155" s="4" t="s">
        <v>55</v>
      </c>
      <c r="C155" s="4"/>
      <c r="D155" s="4"/>
      <c r="E155" s="4"/>
      <c r="F155" t="s">
        <v>95</v>
      </c>
      <c r="G155" t="s">
        <v>96</v>
      </c>
      <c r="H155" s="12">
        <v>6.317653239929947</v>
      </c>
      <c r="I155" s="4"/>
      <c r="J155" s="4"/>
      <c r="K155" s="4"/>
      <c r="L155" s="4"/>
      <c r="M155" s="4"/>
      <c r="N155" s="31">
        <f t="shared" si="0"/>
        <v>21.317653239929946</v>
      </c>
    </row>
    <row r="156" spans="2:16" x14ac:dyDescent="0.25">
      <c r="B156" s="4" t="s">
        <v>56</v>
      </c>
      <c r="C156" s="4"/>
      <c r="D156" s="4"/>
      <c r="E156" s="4"/>
      <c r="F156" t="s">
        <v>95</v>
      </c>
      <c r="G156" t="s">
        <v>96</v>
      </c>
      <c r="H156">
        <v>49.08</v>
      </c>
      <c r="I156" s="4"/>
      <c r="J156" s="4"/>
      <c r="K156" s="4"/>
      <c r="L156" s="4"/>
      <c r="M156" s="4"/>
      <c r="N156" s="31">
        <f t="shared" si="0"/>
        <v>64.08</v>
      </c>
    </row>
    <row r="157" spans="2:16" x14ac:dyDescent="0.25">
      <c r="B157" s="4" t="s">
        <v>57</v>
      </c>
      <c r="C157" s="4"/>
      <c r="D157" s="4"/>
      <c r="E157" s="4"/>
      <c r="F157" t="s">
        <v>95</v>
      </c>
      <c r="G157" t="s">
        <v>96</v>
      </c>
      <c r="H157">
        <v>0</v>
      </c>
      <c r="I157" s="4"/>
      <c r="J157" s="4"/>
      <c r="K157" s="4"/>
      <c r="L157" s="4"/>
      <c r="M157" s="4"/>
      <c r="N157" s="31">
        <f t="shared" si="0"/>
        <v>15</v>
      </c>
    </row>
    <row r="158" spans="2:16" x14ac:dyDescent="0.25">
      <c r="B158" s="4" t="s">
        <v>58</v>
      </c>
      <c r="C158" s="4"/>
      <c r="D158" s="4"/>
      <c r="E158" s="4"/>
      <c r="F158" t="s">
        <v>95</v>
      </c>
      <c r="G158" t="s">
        <v>96</v>
      </c>
      <c r="H158">
        <v>16.36</v>
      </c>
      <c r="I158" s="4"/>
      <c r="J158" s="4"/>
      <c r="K158" s="4"/>
      <c r="L158" s="4"/>
      <c r="M158" s="4"/>
      <c r="N158" s="31">
        <f t="shared" si="0"/>
        <v>31.36</v>
      </c>
    </row>
    <row r="159" spans="2:16" x14ac:dyDescent="0.25">
      <c r="B159" s="4" t="s">
        <v>59</v>
      </c>
      <c r="C159" s="4"/>
      <c r="D159" s="4"/>
      <c r="E159" s="4"/>
      <c r="F159" t="s">
        <v>95</v>
      </c>
      <c r="G159" t="s">
        <v>96</v>
      </c>
      <c r="H159">
        <v>16.36</v>
      </c>
      <c r="I159" s="4"/>
      <c r="J159" s="4"/>
      <c r="K159" s="4"/>
      <c r="L159" s="4"/>
      <c r="M159" s="4"/>
      <c r="N159" s="31">
        <f t="shared" si="0"/>
        <v>31.36</v>
      </c>
    </row>
    <row r="160" spans="2:16" x14ac:dyDescent="0.25">
      <c r="B160" s="4" t="s">
        <v>60</v>
      </c>
      <c r="C160" s="4"/>
      <c r="D160" s="4"/>
      <c r="E160" s="4"/>
      <c r="F160" t="s">
        <v>95</v>
      </c>
      <c r="G160" t="s">
        <v>96</v>
      </c>
      <c r="H160">
        <v>16.36</v>
      </c>
      <c r="I160" s="4"/>
      <c r="J160" s="4"/>
      <c r="K160" s="4"/>
      <c r="L160" s="4"/>
      <c r="M160" s="4"/>
      <c r="N160" s="31">
        <f t="shared" si="0"/>
        <v>31.36</v>
      </c>
    </row>
    <row r="161" spans="2:14" x14ac:dyDescent="0.25">
      <c r="B161" s="4" t="s">
        <v>61</v>
      </c>
      <c r="C161" s="4"/>
      <c r="D161" s="4"/>
      <c r="E161" s="4"/>
      <c r="F161" t="s">
        <v>95</v>
      </c>
      <c r="G161" t="s">
        <v>96</v>
      </c>
      <c r="H161">
        <v>35.173999999999999</v>
      </c>
      <c r="I161" s="4"/>
      <c r="J161" s="4"/>
      <c r="K161" s="4"/>
      <c r="L161" s="4"/>
      <c r="M161" s="4"/>
      <c r="N161" s="31">
        <f t="shared" si="0"/>
        <v>50.173999999999999</v>
      </c>
    </row>
    <row r="162" spans="2:14" x14ac:dyDescent="0.25">
      <c r="B162" s="6" t="s">
        <v>62</v>
      </c>
      <c r="C162" s="6"/>
      <c r="D162" s="6"/>
      <c r="E162" s="6"/>
      <c r="F162" s="6"/>
      <c r="G162" s="6"/>
      <c r="H162" s="10"/>
      <c r="I162" s="6"/>
      <c r="J162" s="6"/>
      <c r="K162" s="6"/>
      <c r="L162" s="6"/>
      <c r="M162" s="6"/>
      <c r="N162" s="6"/>
    </row>
    <row r="163" spans="2:14" x14ac:dyDescent="0.25">
      <c r="B163" t="s">
        <v>13</v>
      </c>
      <c r="F163" t="s">
        <v>95</v>
      </c>
      <c r="G163" t="s">
        <v>96</v>
      </c>
      <c r="H163" s="13">
        <v>36.909999999999997</v>
      </c>
      <c r="N163" s="30">
        <f>H163+$P$153</f>
        <v>46.91</v>
      </c>
    </row>
    <row r="164" spans="2:14" x14ac:dyDescent="0.25">
      <c r="B164" t="s">
        <v>63</v>
      </c>
      <c r="F164" t="s">
        <v>95</v>
      </c>
      <c r="G164" t="s">
        <v>96</v>
      </c>
      <c r="H164" s="13">
        <v>43.11</v>
      </c>
      <c r="N164" s="30">
        <f t="shared" ref="N164:N166" si="1">H164+$P$153</f>
        <v>53.11</v>
      </c>
    </row>
    <row r="165" spans="2:14" x14ac:dyDescent="0.25">
      <c r="B165" t="s">
        <v>157</v>
      </c>
      <c r="F165" t="s">
        <v>95</v>
      </c>
      <c r="G165" t="s">
        <v>96</v>
      </c>
      <c r="H165" s="13">
        <v>63.94</v>
      </c>
      <c r="N165" s="30">
        <f t="shared" si="1"/>
        <v>73.94</v>
      </c>
    </row>
    <row r="166" spans="2:14" x14ac:dyDescent="0.25">
      <c r="B166" t="s">
        <v>64</v>
      </c>
      <c r="F166" t="s">
        <v>95</v>
      </c>
      <c r="G166" t="s">
        <v>96</v>
      </c>
      <c r="H166" s="13">
        <v>36.49</v>
      </c>
      <c r="N166" s="30">
        <f t="shared" si="1"/>
        <v>46.49</v>
      </c>
    </row>
    <row r="167" spans="2:14" x14ac:dyDescent="0.25">
      <c r="B167" s="6" t="s">
        <v>65</v>
      </c>
      <c r="C167" s="6"/>
      <c r="D167" s="6"/>
      <c r="E167" s="6"/>
      <c r="F167" s="6"/>
      <c r="G167" s="6"/>
      <c r="H167" s="10"/>
      <c r="I167" s="6"/>
      <c r="J167" s="6"/>
      <c r="K167" s="6"/>
      <c r="L167" s="6"/>
      <c r="M167" s="6"/>
      <c r="N167" s="6"/>
    </row>
    <row r="168" spans="2:14" x14ac:dyDescent="0.25">
      <c r="B168" t="s">
        <v>65</v>
      </c>
      <c r="F168" t="s">
        <v>95</v>
      </c>
      <c r="G168" t="s">
        <v>96</v>
      </c>
      <c r="H168" s="7">
        <v>12</v>
      </c>
      <c r="N168">
        <v>32</v>
      </c>
    </row>
    <row r="169" spans="2:14" x14ac:dyDescent="0.25">
      <c r="B169" s="6" t="s">
        <v>67</v>
      </c>
      <c r="C169" s="6"/>
      <c r="D169" s="6"/>
      <c r="E169" s="6"/>
      <c r="F169" s="6"/>
      <c r="G169" s="6"/>
      <c r="H169" s="10"/>
      <c r="I169" s="6"/>
      <c r="J169" s="6"/>
      <c r="K169" s="6"/>
      <c r="L169" s="6"/>
      <c r="M169" s="6"/>
      <c r="N169" s="6"/>
    </row>
    <row r="170" spans="2:14" x14ac:dyDescent="0.25">
      <c r="B170" t="s">
        <v>68</v>
      </c>
      <c r="F170" t="s">
        <v>95</v>
      </c>
      <c r="G170" t="s">
        <v>96</v>
      </c>
      <c r="H170">
        <v>5</v>
      </c>
      <c r="N170">
        <v>25</v>
      </c>
    </row>
    <row r="171" spans="2:14" x14ac:dyDescent="0.25">
      <c r="B171" s="8" t="s">
        <v>69</v>
      </c>
      <c r="C171" s="8"/>
      <c r="D171" s="8"/>
      <c r="E171" s="8"/>
      <c r="F171" t="s">
        <v>95</v>
      </c>
      <c r="G171" t="s">
        <v>96</v>
      </c>
      <c r="H171">
        <v>0.4</v>
      </c>
      <c r="I171" s="8"/>
      <c r="J171" s="8"/>
      <c r="K171" s="8"/>
      <c r="L171" s="8"/>
      <c r="M171" s="8"/>
      <c r="N171" s="44">
        <v>20</v>
      </c>
    </row>
    <row r="172" spans="2:14" x14ac:dyDescent="0.25">
      <c r="B172" s="8" t="s">
        <v>70</v>
      </c>
      <c r="C172" s="8"/>
      <c r="D172" s="8"/>
      <c r="E172" s="8"/>
      <c r="F172" t="s">
        <v>95</v>
      </c>
      <c r="G172" t="s">
        <v>96</v>
      </c>
      <c r="H172" s="4">
        <v>95</v>
      </c>
      <c r="I172" s="8"/>
      <c r="J172" s="8"/>
      <c r="K172" s="8"/>
      <c r="L172" s="8"/>
      <c r="M172" s="8"/>
      <c r="N172" s="44">
        <v>100</v>
      </c>
    </row>
    <row r="173" spans="2:14" x14ac:dyDescent="0.25">
      <c r="B173" s="8" t="s">
        <v>71</v>
      </c>
      <c r="C173" s="8"/>
      <c r="D173" s="8"/>
      <c r="E173" s="8"/>
      <c r="F173" t="s">
        <v>95</v>
      </c>
      <c r="G173" t="s">
        <v>96</v>
      </c>
      <c r="H173">
        <v>100</v>
      </c>
      <c r="I173" s="8"/>
      <c r="J173" s="8"/>
      <c r="K173" s="8"/>
      <c r="L173" s="8"/>
      <c r="M173" s="8"/>
      <c r="N173" s="44">
        <v>100</v>
      </c>
    </row>
    <row r="174" spans="2:14" x14ac:dyDescent="0.25">
      <c r="B174" s="8" t="s">
        <v>72</v>
      </c>
      <c r="C174" s="8"/>
      <c r="D174" s="8"/>
      <c r="E174" s="8"/>
      <c r="F174" t="s">
        <v>95</v>
      </c>
      <c r="G174" t="s">
        <v>96</v>
      </c>
      <c r="H174">
        <v>100</v>
      </c>
      <c r="I174" s="8"/>
      <c r="J174" s="8"/>
      <c r="K174" s="8"/>
      <c r="L174" s="8"/>
      <c r="M174" s="8"/>
      <c r="N174">
        <v>100</v>
      </c>
    </row>
    <row r="175" spans="2:14" x14ac:dyDescent="0.25">
      <c r="B175" s="9" t="s">
        <v>137</v>
      </c>
      <c r="C175" s="9"/>
      <c r="D175" s="9"/>
      <c r="E175" s="9"/>
      <c r="F175" s="9" t="s">
        <v>95</v>
      </c>
      <c r="G175" s="9" t="s">
        <v>96</v>
      </c>
      <c r="H175" s="9">
        <v>100</v>
      </c>
      <c r="I175" s="9"/>
      <c r="J175" s="9"/>
      <c r="K175" s="9"/>
      <c r="L175" s="9"/>
      <c r="M175" s="9"/>
      <c r="N175" s="9">
        <v>100</v>
      </c>
    </row>
    <row r="176" spans="2:14" x14ac:dyDescent="0.25">
      <c r="B176" s="9" t="s">
        <v>138</v>
      </c>
      <c r="C176" s="9"/>
      <c r="D176" s="9"/>
      <c r="E176" s="9"/>
      <c r="F176" s="9" t="s">
        <v>95</v>
      </c>
      <c r="G176" s="9" t="s">
        <v>96</v>
      </c>
      <c r="H176" s="9">
        <v>100</v>
      </c>
      <c r="I176" s="9"/>
      <c r="J176" s="9"/>
      <c r="K176" s="9"/>
      <c r="L176" s="9"/>
      <c r="M176" s="9"/>
      <c r="N176" s="9">
        <v>100</v>
      </c>
    </row>
    <row r="177" spans="2:15" x14ac:dyDescent="0.25">
      <c r="B177" s="6" t="s">
        <v>74</v>
      </c>
      <c r="C177" s="6"/>
      <c r="D177" s="6"/>
      <c r="E177" s="6"/>
      <c r="F177" s="6"/>
      <c r="G177" s="6"/>
      <c r="H177" s="10"/>
      <c r="I177" s="6"/>
      <c r="J177" s="6"/>
      <c r="K177" s="6"/>
      <c r="L177" s="6"/>
      <c r="M177" s="6"/>
      <c r="N177" s="6"/>
    </row>
    <row r="178" spans="2:15" x14ac:dyDescent="0.25">
      <c r="B178" t="s">
        <v>75</v>
      </c>
      <c r="F178" t="s">
        <v>95</v>
      </c>
      <c r="G178" t="s">
        <v>96</v>
      </c>
      <c r="H178" s="13">
        <v>52</v>
      </c>
      <c r="N178">
        <v>72</v>
      </c>
    </row>
    <row r="179" spans="2:15" x14ac:dyDescent="0.25">
      <c r="B179" s="6" t="s">
        <v>78</v>
      </c>
      <c r="C179" s="6"/>
      <c r="D179" s="6"/>
      <c r="E179" s="6"/>
      <c r="F179" s="6"/>
      <c r="G179" s="6"/>
      <c r="H179" s="10"/>
      <c r="I179" s="6"/>
      <c r="J179" s="6"/>
      <c r="K179" s="6"/>
      <c r="L179" s="6"/>
      <c r="M179" s="6"/>
      <c r="N179" s="6"/>
    </row>
    <row r="180" spans="2:15" x14ac:dyDescent="0.25">
      <c r="B180" t="s">
        <v>79</v>
      </c>
      <c r="F180" t="s">
        <v>95</v>
      </c>
      <c r="G180" t="s">
        <v>96</v>
      </c>
      <c r="H180" s="4">
        <v>24</v>
      </c>
      <c r="N180">
        <v>44</v>
      </c>
    </row>
    <row r="181" spans="2:15" x14ac:dyDescent="0.25">
      <c r="B181" t="s">
        <v>80</v>
      </c>
      <c r="F181" t="s">
        <v>95</v>
      </c>
      <c r="G181" t="s">
        <v>96</v>
      </c>
      <c r="H181" s="11">
        <f>H180</f>
        <v>24</v>
      </c>
      <c r="N181">
        <v>44</v>
      </c>
    </row>
    <row r="182" spans="2:15" x14ac:dyDescent="0.25">
      <c r="B182" t="s">
        <v>81</v>
      </c>
      <c r="F182" t="s">
        <v>95</v>
      </c>
      <c r="G182" t="s">
        <v>96</v>
      </c>
      <c r="H182">
        <v>61</v>
      </c>
      <c r="N182">
        <v>71</v>
      </c>
    </row>
    <row r="183" spans="2:15" x14ac:dyDescent="0.25">
      <c r="B183" s="6" t="s">
        <v>82</v>
      </c>
      <c r="C183" s="6"/>
      <c r="D183" s="6"/>
      <c r="E183" s="6"/>
      <c r="F183" s="6"/>
      <c r="G183" s="6"/>
      <c r="H183" s="10"/>
      <c r="I183" s="6"/>
      <c r="J183" s="6"/>
      <c r="K183" s="6"/>
      <c r="L183" s="6"/>
      <c r="M183" s="6"/>
      <c r="N183" s="6"/>
    </row>
    <row r="184" spans="2:15" x14ac:dyDescent="0.25">
      <c r="B184" t="s">
        <v>83</v>
      </c>
      <c r="F184" t="s">
        <v>95</v>
      </c>
      <c r="G184" t="s">
        <v>96</v>
      </c>
      <c r="H184">
        <v>100</v>
      </c>
      <c r="N184">
        <v>100</v>
      </c>
    </row>
    <row r="185" spans="2:15" x14ac:dyDescent="0.25">
      <c r="B185" t="s">
        <v>84</v>
      </c>
      <c r="F185" t="s">
        <v>95</v>
      </c>
      <c r="G185" t="s">
        <v>96</v>
      </c>
      <c r="H185">
        <v>4</v>
      </c>
      <c r="N185">
        <v>24</v>
      </c>
    </row>
    <row r="186" spans="2:15" x14ac:dyDescent="0.25">
      <c r="B186" t="s">
        <v>85</v>
      </c>
      <c r="F186" t="s">
        <v>95</v>
      </c>
      <c r="G186" t="s">
        <v>96</v>
      </c>
      <c r="H186">
        <v>85</v>
      </c>
      <c r="N186">
        <v>99</v>
      </c>
      <c r="O186" t="s">
        <v>183</v>
      </c>
    </row>
    <row r="187" spans="2:15" x14ac:dyDescent="0.25">
      <c r="B187" t="s">
        <v>86</v>
      </c>
      <c r="F187" t="s">
        <v>95</v>
      </c>
      <c r="G187" t="s">
        <v>96</v>
      </c>
      <c r="H187">
        <v>22</v>
      </c>
      <c r="N187">
        <v>42</v>
      </c>
    </row>
    <row r="188" spans="2:15" x14ac:dyDescent="0.25">
      <c r="B188" s="6" t="s">
        <v>90</v>
      </c>
      <c r="C188" s="6"/>
      <c r="D188" s="6"/>
      <c r="E188" s="6"/>
      <c r="F188" s="6"/>
      <c r="G188" s="6"/>
      <c r="H188" s="10"/>
      <c r="I188" s="6"/>
      <c r="J188" s="6"/>
      <c r="K188" s="6"/>
      <c r="L188" s="6"/>
      <c r="M188" s="6"/>
      <c r="N188" s="6"/>
      <c r="O188" t="s">
        <v>175</v>
      </c>
    </row>
    <row r="189" spans="2:15" x14ac:dyDescent="0.25">
      <c r="B189" s="9" t="s">
        <v>133</v>
      </c>
      <c r="C189" s="9"/>
      <c r="D189" s="9"/>
      <c r="E189" s="9"/>
      <c r="F189" s="9" t="s">
        <v>95</v>
      </c>
      <c r="G189" s="9" t="s">
        <v>96</v>
      </c>
      <c r="H189" s="9">
        <v>5</v>
      </c>
      <c r="N189" s="9">
        <v>25</v>
      </c>
    </row>
    <row r="190" spans="2:15" x14ac:dyDescent="0.25">
      <c r="B190" s="9" t="s">
        <v>144</v>
      </c>
      <c r="C190" s="9"/>
      <c r="D190" s="9"/>
      <c r="E190" s="9"/>
      <c r="F190" s="9" t="s">
        <v>95</v>
      </c>
      <c r="G190" s="9" t="s">
        <v>96</v>
      </c>
      <c r="H190" s="9">
        <v>100</v>
      </c>
      <c r="N190" s="9">
        <v>100</v>
      </c>
    </row>
    <row r="191" spans="2:15" x14ac:dyDescent="0.25">
      <c r="B191" s="9" t="s">
        <v>134</v>
      </c>
      <c r="C191" s="9"/>
      <c r="D191" s="9"/>
      <c r="E191" s="9"/>
      <c r="F191" s="9" t="s">
        <v>95</v>
      </c>
      <c r="G191" s="9" t="s">
        <v>96</v>
      </c>
      <c r="H191" s="9">
        <v>22</v>
      </c>
      <c r="N191" s="9">
        <v>42</v>
      </c>
    </row>
    <row r="192" spans="2:15" x14ac:dyDescent="0.25">
      <c r="B192" s="9" t="s">
        <v>145</v>
      </c>
      <c r="C192" s="9"/>
      <c r="D192" s="9"/>
      <c r="E192" s="9"/>
      <c r="F192" s="9" t="s">
        <v>95</v>
      </c>
      <c r="G192" s="9" t="s">
        <v>96</v>
      </c>
      <c r="H192" s="9">
        <v>1</v>
      </c>
      <c r="N192" s="9">
        <v>21</v>
      </c>
    </row>
    <row r="193" spans="2:15" x14ac:dyDescent="0.25">
      <c r="B193" s="9" t="s">
        <v>146</v>
      </c>
      <c r="C193" s="9"/>
      <c r="D193" s="9"/>
      <c r="E193" s="9"/>
      <c r="F193" s="9" t="s">
        <v>95</v>
      </c>
      <c r="G193" s="9" t="s">
        <v>96</v>
      </c>
      <c r="H193" s="9">
        <v>24</v>
      </c>
      <c r="N193" s="9">
        <v>44</v>
      </c>
    </row>
    <row r="194" spans="2:15" x14ac:dyDescent="0.25">
      <c r="B194" s="9" t="s">
        <v>147</v>
      </c>
      <c r="C194" s="9"/>
      <c r="D194" s="9"/>
      <c r="E194" s="9"/>
      <c r="F194" s="9" t="s">
        <v>95</v>
      </c>
      <c r="G194" s="9" t="s">
        <v>96</v>
      </c>
      <c r="H194" s="9">
        <v>24</v>
      </c>
      <c r="N194" s="9">
        <v>44</v>
      </c>
    </row>
    <row r="195" spans="2:15" x14ac:dyDescent="0.25">
      <c r="B195" s="9" t="s">
        <v>148</v>
      </c>
      <c r="C195" s="9"/>
      <c r="D195" s="9"/>
      <c r="E195" s="9"/>
      <c r="F195" s="9" t="s">
        <v>95</v>
      </c>
      <c r="G195" s="9" t="s">
        <v>96</v>
      </c>
      <c r="H195" s="9">
        <v>24</v>
      </c>
      <c r="N195" s="9">
        <v>44</v>
      </c>
    </row>
    <row r="196" spans="2:15" x14ac:dyDescent="0.25">
      <c r="B196" s="9" t="s">
        <v>149</v>
      </c>
      <c r="C196" s="9"/>
      <c r="D196" s="9"/>
      <c r="E196" s="9"/>
      <c r="F196" s="9" t="s">
        <v>95</v>
      </c>
      <c r="G196" s="9" t="s">
        <v>96</v>
      </c>
      <c r="H196" s="9">
        <v>0.4</v>
      </c>
      <c r="N196" s="9">
        <v>20</v>
      </c>
    </row>
    <row r="197" spans="2:15" x14ac:dyDescent="0.25">
      <c r="B197" s="9" t="s">
        <v>150</v>
      </c>
      <c r="C197" s="9"/>
      <c r="D197" s="9"/>
      <c r="E197" s="9"/>
      <c r="F197" s="9" t="s">
        <v>95</v>
      </c>
      <c r="G197" s="9" t="s">
        <v>96</v>
      </c>
      <c r="H197" s="9">
        <v>0.4</v>
      </c>
      <c r="N197" s="9">
        <v>20</v>
      </c>
    </row>
    <row r="198" spans="2:15" x14ac:dyDescent="0.25">
      <c r="B198" s="9" t="s">
        <v>151</v>
      </c>
      <c r="C198" s="9"/>
      <c r="D198" s="9"/>
      <c r="E198" s="9"/>
      <c r="F198" s="9" t="s">
        <v>95</v>
      </c>
      <c r="G198" s="9" t="s">
        <v>96</v>
      </c>
      <c r="H198" s="9">
        <v>24</v>
      </c>
      <c r="N198" s="9">
        <v>44</v>
      </c>
    </row>
    <row r="199" spans="2:15" x14ac:dyDescent="0.25">
      <c r="B199" s="9" t="s">
        <v>152</v>
      </c>
      <c r="C199" s="9"/>
      <c r="D199" s="9"/>
      <c r="E199" s="9"/>
      <c r="F199" s="9" t="s">
        <v>95</v>
      </c>
      <c r="G199" s="9" t="s">
        <v>96</v>
      </c>
      <c r="H199" s="9">
        <v>0</v>
      </c>
      <c r="N199" s="9">
        <v>0</v>
      </c>
    </row>
    <row r="200" spans="2:15" x14ac:dyDescent="0.25">
      <c r="B200" s="9" t="s">
        <v>153</v>
      </c>
      <c r="C200" s="9"/>
      <c r="D200" s="9"/>
      <c r="E200" s="9"/>
      <c r="F200" s="9" t="s">
        <v>95</v>
      </c>
      <c r="G200" s="9" t="s">
        <v>96</v>
      </c>
      <c r="H200" s="9">
        <v>24</v>
      </c>
      <c r="N200" s="9">
        <v>44</v>
      </c>
    </row>
    <row r="201" spans="2:15" x14ac:dyDescent="0.25">
      <c r="B201" s="9" t="s">
        <v>154</v>
      </c>
      <c r="C201" s="9"/>
      <c r="D201" s="9"/>
      <c r="E201" s="9"/>
      <c r="F201" s="9" t="s">
        <v>95</v>
      </c>
      <c r="G201" s="9" t="s">
        <v>96</v>
      </c>
      <c r="H201" s="9">
        <v>24</v>
      </c>
      <c r="N201" s="9">
        <v>44</v>
      </c>
    </row>
    <row r="202" spans="2:15" x14ac:dyDescent="0.25">
      <c r="B202" s="9"/>
      <c r="C202" s="9"/>
      <c r="D202" s="9"/>
      <c r="E202" s="9"/>
      <c r="F202" s="9"/>
      <c r="G202" s="9"/>
      <c r="H202" s="9"/>
      <c r="N202" s="9"/>
    </row>
    <row r="203" spans="2:15" x14ac:dyDescent="0.25">
      <c r="B203" s="6" t="s">
        <v>15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>
        <v>0.5</v>
      </c>
    </row>
    <row r="204" spans="2:15" x14ac:dyDescent="0.25">
      <c r="B204" t="s">
        <v>16</v>
      </c>
      <c r="C204" t="s">
        <v>181</v>
      </c>
      <c r="D204" t="s">
        <v>168</v>
      </c>
      <c r="F204" s="9" t="s">
        <v>182</v>
      </c>
      <c r="G204" s="9" t="s">
        <v>96</v>
      </c>
      <c r="H204">
        <v>5.3</v>
      </c>
      <c r="I204" s="48"/>
      <c r="J204" s="48"/>
      <c r="K204" s="48"/>
      <c r="L204" s="48"/>
      <c r="M204" s="48"/>
      <c r="N204" s="44">
        <f>H204*$O$203</f>
        <v>2.65</v>
      </c>
    </row>
    <row r="205" spans="2:15" x14ac:dyDescent="0.25">
      <c r="B205" t="s">
        <v>17</v>
      </c>
      <c r="C205" t="s">
        <v>181</v>
      </c>
      <c r="D205" t="s">
        <v>168</v>
      </c>
      <c r="F205" t="s">
        <v>182</v>
      </c>
      <c r="G205" s="9" t="s">
        <v>96</v>
      </c>
      <c r="H205">
        <v>5.3</v>
      </c>
      <c r="I205" s="34"/>
      <c r="J205" s="34"/>
      <c r="K205" s="34"/>
      <c r="L205" s="34"/>
      <c r="M205" s="34"/>
      <c r="N205" s="44">
        <f t="shared" ref="N205:N214" si="2">H205*$O$203</f>
        <v>2.65</v>
      </c>
    </row>
    <row r="206" spans="2:15" x14ac:dyDescent="0.25">
      <c r="B206" t="s">
        <v>18</v>
      </c>
      <c r="C206" t="s">
        <v>181</v>
      </c>
      <c r="D206" t="s">
        <v>168</v>
      </c>
      <c r="F206" t="s">
        <v>182</v>
      </c>
      <c r="G206" s="9" t="s">
        <v>96</v>
      </c>
      <c r="H206">
        <v>4.9000000000000004</v>
      </c>
      <c r="I206" s="34"/>
      <c r="J206" s="34"/>
      <c r="K206" s="34"/>
      <c r="L206" s="34"/>
      <c r="M206" s="34"/>
      <c r="N206" s="44">
        <f t="shared" si="2"/>
        <v>2.4500000000000002</v>
      </c>
    </row>
    <row r="207" spans="2:15" x14ac:dyDescent="0.25">
      <c r="B207" t="s">
        <v>19</v>
      </c>
      <c r="C207" t="s">
        <v>181</v>
      </c>
      <c r="D207" t="s">
        <v>168</v>
      </c>
      <c r="F207" t="s">
        <v>182</v>
      </c>
      <c r="G207" s="9" t="s">
        <v>96</v>
      </c>
      <c r="H207">
        <v>4.9000000000000004</v>
      </c>
      <c r="I207" s="33"/>
      <c r="J207" s="33"/>
      <c r="K207" s="33"/>
      <c r="L207" s="33"/>
      <c r="M207" s="33"/>
      <c r="N207" s="44">
        <f t="shared" si="2"/>
        <v>2.4500000000000002</v>
      </c>
    </row>
    <row r="208" spans="2:15" x14ac:dyDescent="0.25">
      <c r="B208" t="s">
        <v>21</v>
      </c>
      <c r="C208" t="s">
        <v>181</v>
      </c>
      <c r="D208" t="s">
        <v>168</v>
      </c>
      <c r="F208" t="s">
        <v>182</v>
      </c>
      <c r="G208" s="9" t="s">
        <v>96</v>
      </c>
      <c r="H208">
        <v>12.7</v>
      </c>
      <c r="I208" s="33"/>
      <c r="J208" s="33"/>
      <c r="K208" s="33"/>
      <c r="L208" s="33"/>
      <c r="M208" s="33"/>
      <c r="N208" s="44">
        <f t="shared" si="2"/>
        <v>6.35</v>
      </c>
    </row>
    <row r="209" spans="2:15" x14ac:dyDescent="0.25">
      <c r="B209" t="s">
        <v>22</v>
      </c>
      <c r="C209" t="s">
        <v>181</v>
      </c>
      <c r="D209" t="s">
        <v>168</v>
      </c>
      <c r="F209" t="s">
        <v>182</v>
      </c>
      <c r="G209" s="9" t="s">
        <v>96</v>
      </c>
      <c r="H209">
        <v>12.7</v>
      </c>
      <c r="I209" s="33"/>
      <c r="J209" s="33"/>
      <c r="K209" s="33"/>
      <c r="L209" s="33"/>
      <c r="M209" s="33"/>
      <c r="N209" s="44">
        <f t="shared" si="2"/>
        <v>6.35</v>
      </c>
    </row>
    <row r="210" spans="2:15" x14ac:dyDescent="0.25">
      <c r="B210" t="s">
        <v>23</v>
      </c>
      <c r="C210" t="s">
        <v>181</v>
      </c>
      <c r="D210" t="s">
        <v>168</v>
      </c>
      <c r="F210" t="s">
        <v>182</v>
      </c>
      <c r="G210" s="9" t="s">
        <v>96</v>
      </c>
      <c r="H210">
        <v>24</v>
      </c>
      <c r="I210" s="33"/>
      <c r="J210" s="33"/>
      <c r="K210" s="33"/>
      <c r="L210" s="33"/>
      <c r="M210" s="33"/>
      <c r="N210" s="44">
        <f t="shared" si="2"/>
        <v>12</v>
      </c>
    </row>
    <row r="211" spans="2:15" x14ac:dyDescent="0.25">
      <c r="B211" t="s">
        <v>24</v>
      </c>
      <c r="C211" t="s">
        <v>181</v>
      </c>
      <c r="D211" t="s">
        <v>168</v>
      </c>
      <c r="F211" t="s">
        <v>182</v>
      </c>
      <c r="G211" s="9" t="s">
        <v>96</v>
      </c>
      <c r="H211">
        <v>24</v>
      </c>
      <c r="I211" s="33"/>
      <c r="J211" s="33"/>
      <c r="K211" s="33"/>
      <c r="L211" s="33"/>
      <c r="M211" s="33"/>
      <c r="N211" s="44">
        <f t="shared" si="2"/>
        <v>12</v>
      </c>
    </row>
    <row r="212" spans="2:15" x14ac:dyDescent="0.25">
      <c r="B212" t="s">
        <v>25</v>
      </c>
      <c r="C212" t="s">
        <v>181</v>
      </c>
      <c r="D212" t="s">
        <v>168</v>
      </c>
      <c r="F212" t="s">
        <v>182</v>
      </c>
      <c r="G212" s="9" t="s">
        <v>96</v>
      </c>
      <c r="H212">
        <v>10</v>
      </c>
      <c r="I212" s="33"/>
      <c r="J212" s="33"/>
      <c r="K212" s="33"/>
      <c r="L212" s="33"/>
      <c r="M212" s="33"/>
      <c r="N212" s="44">
        <f t="shared" si="2"/>
        <v>5</v>
      </c>
    </row>
    <row r="213" spans="2:15" x14ac:dyDescent="0.25">
      <c r="B213" t="s">
        <v>26</v>
      </c>
      <c r="C213" t="s">
        <v>181</v>
      </c>
      <c r="D213" t="s">
        <v>168</v>
      </c>
      <c r="F213" t="s">
        <v>182</v>
      </c>
      <c r="G213" s="9" t="s">
        <v>96</v>
      </c>
      <c r="H213">
        <v>10</v>
      </c>
      <c r="I213" s="33"/>
      <c r="J213" s="33"/>
      <c r="K213" s="33"/>
      <c r="L213" s="33"/>
      <c r="M213" s="33"/>
      <c r="N213" s="44">
        <f t="shared" si="2"/>
        <v>5</v>
      </c>
    </row>
    <row r="214" spans="2:15" x14ac:dyDescent="0.25">
      <c r="B214" s="9" t="s">
        <v>135</v>
      </c>
      <c r="C214" s="9" t="s">
        <v>181</v>
      </c>
      <c r="D214" s="9" t="s">
        <v>168</v>
      </c>
      <c r="E214" s="9"/>
      <c r="F214" s="9" t="s">
        <v>182</v>
      </c>
      <c r="G214" s="9" t="s">
        <v>96</v>
      </c>
      <c r="H214" s="9">
        <v>0</v>
      </c>
      <c r="I214" s="33"/>
      <c r="J214" s="33"/>
      <c r="K214" s="33"/>
      <c r="L214" s="33"/>
      <c r="M214" s="33"/>
      <c r="N214" s="44">
        <f t="shared" si="2"/>
        <v>0</v>
      </c>
    </row>
    <row r="215" spans="2:15" x14ac:dyDescent="0.25">
      <c r="B215" s="6" t="s">
        <v>27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2:15" x14ac:dyDescent="0.25">
      <c r="B216" s="7" t="s">
        <v>28</v>
      </c>
      <c r="C216" t="s">
        <v>181</v>
      </c>
      <c r="D216" t="s">
        <v>168</v>
      </c>
      <c r="F216" t="s">
        <v>182</v>
      </c>
      <c r="G216" s="9" t="s">
        <v>96</v>
      </c>
      <c r="H216">
        <v>12</v>
      </c>
      <c r="I216" s="33"/>
      <c r="J216" s="33"/>
      <c r="K216" s="33"/>
      <c r="L216" s="33"/>
      <c r="M216" s="33"/>
      <c r="N216" s="44">
        <f>H216*$O$203</f>
        <v>6</v>
      </c>
    </row>
    <row r="217" spans="2:15" x14ac:dyDescent="0.25">
      <c r="B217" s="7" t="s">
        <v>29</v>
      </c>
      <c r="C217" t="s">
        <v>181</v>
      </c>
      <c r="D217" t="s">
        <v>168</v>
      </c>
      <c r="F217" t="s">
        <v>182</v>
      </c>
      <c r="G217" s="9" t="s">
        <v>96</v>
      </c>
      <c r="H217">
        <v>12</v>
      </c>
      <c r="I217" s="40"/>
      <c r="J217" s="40"/>
      <c r="K217" s="40"/>
      <c r="L217" s="40"/>
      <c r="M217" s="40"/>
      <c r="N217" s="44">
        <f t="shared" ref="N217:N219" si="3">H217*$O$203</f>
        <v>6</v>
      </c>
      <c r="O217" s="40"/>
    </row>
    <row r="218" spans="2:15" x14ac:dyDescent="0.25">
      <c r="B218" s="7" t="s">
        <v>30</v>
      </c>
      <c r="C218" t="s">
        <v>181</v>
      </c>
      <c r="D218" t="s">
        <v>168</v>
      </c>
      <c r="F218" t="s">
        <v>182</v>
      </c>
      <c r="G218" s="9" t="s">
        <v>96</v>
      </c>
      <c r="H218">
        <v>0</v>
      </c>
      <c r="I218" s="33"/>
      <c r="J218" s="33"/>
      <c r="K218" s="33"/>
      <c r="L218" s="33"/>
      <c r="M218" s="33"/>
      <c r="N218" s="44">
        <f t="shared" si="3"/>
        <v>0</v>
      </c>
    </row>
    <row r="219" spans="2:15" x14ac:dyDescent="0.25">
      <c r="B219" s="7" t="s">
        <v>31</v>
      </c>
      <c r="C219" t="s">
        <v>181</v>
      </c>
      <c r="D219" t="s">
        <v>168</v>
      </c>
      <c r="F219" t="s">
        <v>182</v>
      </c>
      <c r="G219" s="9" t="s">
        <v>96</v>
      </c>
      <c r="H219">
        <v>0</v>
      </c>
      <c r="I219" s="33"/>
      <c r="J219" s="33"/>
      <c r="K219" s="33"/>
      <c r="L219" s="33"/>
      <c r="M219" s="33"/>
      <c r="N219" s="44">
        <f t="shared" si="3"/>
        <v>0</v>
      </c>
    </row>
    <row r="220" spans="2:15" x14ac:dyDescent="0.25">
      <c r="B220" s="6" t="s">
        <v>94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2:15" x14ac:dyDescent="0.25">
      <c r="B221" s="7" t="s">
        <v>33</v>
      </c>
      <c r="C221" t="s">
        <v>181</v>
      </c>
      <c r="D221" t="s">
        <v>168</v>
      </c>
      <c r="F221" t="s">
        <v>182</v>
      </c>
      <c r="G221" s="9" t="s">
        <v>96</v>
      </c>
      <c r="H221">
        <v>25</v>
      </c>
      <c r="I221" s="33"/>
      <c r="J221" s="33"/>
      <c r="K221" s="33"/>
      <c r="L221" s="33"/>
      <c r="M221" s="33"/>
      <c r="N221" s="44">
        <f>H221*$O$203</f>
        <v>12.5</v>
      </c>
    </row>
    <row r="222" spans="2:15" x14ac:dyDescent="0.25">
      <c r="B222" s="9" t="s">
        <v>155</v>
      </c>
      <c r="C222" s="9" t="s">
        <v>181</v>
      </c>
      <c r="D222" s="9" t="s">
        <v>168</v>
      </c>
      <c r="E222" s="9"/>
      <c r="F222" s="9" t="s">
        <v>182</v>
      </c>
      <c r="G222" s="9" t="s">
        <v>96</v>
      </c>
      <c r="H222" s="9">
        <v>25</v>
      </c>
      <c r="I222" s="40"/>
      <c r="J222" s="40"/>
      <c r="K222" s="40"/>
      <c r="L222" s="40"/>
      <c r="M222" s="40"/>
      <c r="N222" s="44">
        <f t="shared" ref="N222:N227" si="4">H222*$O$203</f>
        <v>12.5</v>
      </c>
    </row>
    <row r="223" spans="2:15" x14ac:dyDescent="0.25">
      <c r="B223" s="7" t="s">
        <v>34</v>
      </c>
      <c r="C223" t="s">
        <v>181</v>
      </c>
      <c r="D223" t="s">
        <v>168</v>
      </c>
      <c r="F223" t="s">
        <v>182</v>
      </c>
      <c r="G223" s="9" t="s">
        <v>96</v>
      </c>
      <c r="H223">
        <v>13</v>
      </c>
      <c r="I223" s="33"/>
      <c r="J223" s="33"/>
      <c r="K223" s="33"/>
      <c r="L223" s="33"/>
      <c r="M223" s="33"/>
      <c r="N223" s="44">
        <f t="shared" si="4"/>
        <v>6.5</v>
      </c>
    </row>
    <row r="224" spans="2:15" x14ac:dyDescent="0.25">
      <c r="B224" s="7" t="s">
        <v>36</v>
      </c>
      <c r="C224" t="s">
        <v>181</v>
      </c>
      <c r="D224" t="s">
        <v>168</v>
      </c>
      <c r="F224" t="s">
        <v>182</v>
      </c>
      <c r="G224" s="9" t="s">
        <v>96</v>
      </c>
      <c r="H224">
        <v>19</v>
      </c>
      <c r="I224" s="33"/>
      <c r="J224" s="33"/>
      <c r="K224" s="33"/>
      <c r="L224" s="33"/>
      <c r="M224" s="33"/>
      <c r="N224" s="44">
        <f t="shared" si="4"/>
        <v>9.5</v>
      </c>
    </row>
    <row r="225" spans="2:15" x14ac:dyDescent="0.25">
      <c r="B225" s="7" t="s">
        <v>39</v>
      </c>
      <c r="C225" t="s">
        <v>181</v>
      </c>
      <c r="D225" t="s">
        <v>168</v>
      </c>
      <c r="F225" t="s">
        <v>182</v>
      </c>
      <c r="G225" s="9" t="s">
        <v>96</v>
      </c>
      <c r="H225">
        <v>9</v>
      </c>
      <c r="I225" s="33"/>
      <c r="J225" s="33"/>
      <c r="K225" s="33"/>
      <c r="L225" s="33"/>
      <c r="M225" s="33"/>
      <c r="N225" s="44">
        <f t="shared" si="4"/>
        <v>4.5</v>
      </c>
    </row>
    <row r="226" spans="2:15" x14ac:dyDescent="0.25">
      <c r="B226" s="7" t="s">
        <v>40</v>
      </c>
      <c r="C226" t="s">
        <v>181</v>
      </c>
      <c r="D226" t="s">
        <v>168</v>
      </c>
      <c r="F226" t="s">
        <v>182</v>
      </c>
      <c r="G226" s="9" t="s">
        <v>96</v>
      </c>
      <c r="H226">
        <v>11</v>
      </c>
      <c r="I226" s="33"/>
      <c r="J226" s="33"/>
      <c r="K226" s="33"/>
      <c r="L226" s="33"/>
      <c r="M226" s="33"/>
      <c r="N226" s="44">
        <f t="shared" si="4"/>
        <v>5.5</v>
      </c>
    </row>
    <row r="227" spans="2:15" x14ac:dyDescent="0.25">
      <c r="B227" s="7" t="s">
        <v>42</v>
      </c>
      <c r="C227" t="s">
        <v>181</v>
      </c>
      <c r="D227" t="s">
        <v>168</v>
      </c>
      <c r="F227" t="s">
        <v>182</v>
      </c>
      <c r="G227" s="9" t="s">
        <v>96</v>
      </c>
      <c r="H227">
        <v>13</v>
      </c>
      <c r="I227" s="33"/>
      <c r="J227" s="33"/>
      <c r="K227" s="33"/>
      <c r="L227" s="33"/>
      <c r="M227" s="33"/>
      <c r="N227" s="44">
        <f t="shared" si="4"/>
        <v>6.5</v>
      </c>
    </row>
    <row r="228" spans="2:15" x14ac:dyDescent="0.25">
      <c r="B228" s="6" t="s">
        <v>93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2:15" x14ac:dyDescent="0.25">
      <c r="B229" s="7" t="s">
        <v>44</v>
      </c>
      <c r="D229" t="s">
        <v>168</v>
      </c>
      <c r="F229" t="s">
        <v>182</v>
      </c>
      <c r="G229" s="9" t="s">
        <v>96</v>
      </c>
      <c r="H229">
        <v>7.9</v>
      </c>
      <c r="I229" s="33"/>
      <c r="J229" s="33"/>
      <c r="K229" s="33"/>
      <c r="L229" s="33"/>
      <c r="M229" s="33"/>
      <c r="N229" s="44">
        <f>H229*$O$203</f>
        <v>3.95</v>
      </c>
    </row>
    <row r="230" spans="2:15" x14ac:dyDescent="0.25">
      <c r="B230" s="7" t="s">
        <v>45</v>
      </c>
      <c r="D230" t="s">
        <v>168</v>
      </c>
      <c r="F230" t="s">
        <v>182</v>
      </c>
      <c r="G230" s="9" t="s">
        <v>96</v>
      </c>
      <c r="H230">
        <v>7.9</v>
      </c>
      <c r="I230" s="40"/>
      <c r="J230" s="40"/>
      <c r="K230" s="40"/>
      <c r="L230" s="40"/>
      <c r="M230" s="40"/>
      <c r="N230" s="44">
        <f t="shared" ref="N230:N232" si="5">H230*$O$203</f>
        <v>3.95</v>
      </c>
    </row>
    <row r="231" spans="2:15" x14ac:dyDescent="0.25">
      <c r="B231" s="7" t="s">
        <v>46</v>
      </c>
      <c r="D231" t="s">
        <v>168</v>
      </c>
      <c r="F231" t="s">
        <v>182</v>
      </c>
      <c r="G231" s="9" t="s">
        <v>96</v>
      </c>
      <c r="H231">
        <v>7.9</v>
      </c>
      <c r="I231" s="33"/>
      <c r="J231" s="33"/>
      <c r="K231" s="33"/>
      <c r="L231" s="33"/>
      <c r="M231" s="33"/>
      <c r="N231" s="44">
        <f t="shared" si="5"/>
        <v>3.95</v>
      </c>
    </row>
    <row r="232" spans="2:15" x14ac:dyDescent="0.25">
      <c r="B232" s="7" t="s">
        <v>47</v>
      </c>
      <c r="D232" t="s">
        <v>168</v>
      </c>
      <c r="F232" t="s">
        <v>182</v>
      </c>
      <c r="G232" s="9" t="s">
        <v>96</v>
      </c>
      <c r="H232">
        <v>7.9</v>
      </c>
      <c r="I232" s="33"/>
      <c r="J232" s="33"/>
      <c r="K232" s="33"/>
      <c r="L232" s="33"/>
      <c r="M232" s="33"/>
      <c r="N232" s="44">
        <f t="shared" si="5"/>
        <v>3.95</v>
      </c>
    </row>
    <row r="233" spans="2:15" x14ac:dyDescent="0.25">
      <c r="B233" s="6" t="s">
        <v>52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49"/>
    </row>
    <row r="234" spans="2:15" x14ac:dyDescent="0.25">
      <c r="B234" s="4"/>
      <c r="C234" t="s">
        <v>181</v>
      </c>
      <c r="D234" t="s">
        <v>168</v>
      </c>
      <c r="F234" t="s">
        <v>182</v>
      </c>
      <c r="G234" s="9" t="s">
        <v>96</v>
      </c>
      <c r="H234">
        <v>15.75</v>
      </c>
      <c r="I234" s="33"/>
      <c r="J234" s="33"/>
      <c r="K234" s="33"/>
      <c r="L234" s="33"/>
      <c r="M234" s="33"/>
      <c r="N234" s="44">
        <f>H234*($O$203+O234)</f>
        <v>7.875</v>
      </c>
      <c r="O234">
        <v>0</v>
      </c>
    </row>
    <row r="235" spans="2:15" x14ac:dyDescent="0.25">
      <c r="B235" s="6" t="s">
        <v>62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49"/>
    </row>
    <row r="236" spans="2:15" x14ac:dyDescent="0.25">
      <c r="B236" t="s">
        <v>13</v>
      </c>
      <c r="C236" t="s">
        <v>181</v>
      </c>
      <c r="D236" t="s">
        <v>168</v>
      </c>
      <c r="F236" t="s">
        <v>182</v>
      </c>
      <c r="G236" s="9" t="s">
        <v>96</v>
      </c>
      <c r="H236">
        <v>2.2999999999999998</v>
      </c>
      <c r="I236" s="33"/>
      <c r="J236" s="33"/>
      <c r="K236" s="33"/>
      <c r="L236" s="33"/>
      <c r="M236" s="33"/>
      <c r="N236" s="44">
        <f>H236*($O$203+O234)</f>
        <v>1.1499999999999999</v>
      </c>
    </row>
    <row r="237" spans="2:15" x14ac:dyDescent="0.25">
      <c r="B237" t="s">
        <v>63</v>
      </c>
      <c r="C237" t="s">
        <v>181</v>
      </c>
      <c r="D237" t="s">
        <v>168</v>
      </c>
      <c r="F237" t="s">
        <v>182</v>
      </c>
      <c r="G237" s="9" t="s">
        <v>96</v>
      </c>
      <c r="H237">
        <v>18.100000000000001</v>
      </c>
      <c r="I237" s="40"/>
      <c r="J237" s="40"/>
      <c r="K237" s="40"/>
      <c r="L237" s="40"/>
      <c r="M237" s="40"/>
      <c r="N237" s="44">
        <f>H237*($O$203+O234)</f>
        <v>9.0500000000000007</v>
      </c>
    </row>
    <row r="238" spans="2:15" x14ac:dyDescent="0.25">
      <c r="B238" t="s">
        <v>157</v>
      </c>
      <c r="C238" t="s">
        <v>181</v>
      </c>
      <c r="D238" t="s">
        <v>168</v>
      </c>
      <c r="F238" t="s">
        <v>182</v>
      </c>
      <c r="G238" s="9" t="s">
        <v>96</v>
      </c>
      <c r="H238">
        <v>20</v>
      </c>
      <c r="I238" s="33"/>
      <c r="J238" s="33"/>
      <c r="K238" s="33"/>
      <c r="L238" s="33"/>
      <c r="M238" s="33"/>
      <c r="N238" s="44">
        <f>H238*($O$203+O234)</f>
        <v>10</v>
      </c>
    </row>
    <row r="239" spans="2:15" x14ac:dyDescent="0.25">
      <c r="B239" t="s">
        <v>64</v>
      </c>
      <c r="C239" t="s">
        <v>181</v>
      </c>
      <c r="D239" t="s">
        <v>168</v>
      </c>
      <c r="F239" t="s">
        <v>182</v>
      </c>
      <c r="G239" s="9" t="s">
        <v>96</v>
      </c>
      <c r="H239">
        <v>0.95</v>
      </c>
      <c r="I239" s="33"/>
      <c r="J239" s="33"/>
      <c r="K239" s="33"/>
      <c r="L239" s="33"/>
      <c r="M239" s="33"/>
      <c r="N239" s="44">
        <f>H239*($O$203+O234)</f>
        <v>0.47499999999999998</v>
      </c>
    </row>
    <row r="240" spans="2:15" x14ac:dyDescent="0.25">
      <c r="B240" s="6" t="s">
        <v>65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49"/>
    </row>
    <row r="241" spans="2:14" x14ac:dyDescent="0.25">
      <c r="B241" t="s">
        <v>65</v>
      </c>
      <c r="C241" t="s">
        <v>181</v>
      </c>
      <c r="D241" t="s">
        <v>168</v>
      </c>
      <c r="F241" t="s">
        <v>182</v>
      </c>
      <c r="G241" s="9" t="s">
        <v>96</v>
      </c>
      <c r="H241">
        <v>16.5</v>
      </c>
      <c r="I241" s="33"/>
      <c r="J241" s="33"/>
      <c r="K241" s="33"/>
      <c r="L241" s="33"/>
      <c r="M241" s="33"/>
      <c r="N241" s="44">
        <f>H241*($O$203+O234)</f>
        <v>8.25</v>
      </c>
    </row>
    <row r="242" spans="2:14" x14ac:dyDescent="0.25">
      <c r="B242" s="9" t="s">
        <v>136</v>
      </c>
      <c r="C242" s="9" t="s">
        <v>181</v>
      </c>
      <c r="D242" s="9" t="s">
        <v>168</v>
      </c>
      <c r="E242" s="9"/>
      <c r="F242" s="9" t="s">
        <v>182</v>
      </c>
      <c r="G242" s="9" t="s">
        <v>96</v>
      </c>
      <c r="H242" s="9">
        <v>16.5</v>
      </c>
      <c r="I242" s="40"/>
      <c r="J242" s="40"/>
      <c r="K242" s="40"/>
      <c r="L242" s="40"/>
      <c r="M242" s="40"/>
      <c r="N242" s="44">
        <f>H242*($O$203+O234)</f>
        <v>8.25</v>
      </c>
    </row>
    <row r="243" spans="2:14" x14ac:dyDescent="0.25">
      <c r="B243" s="6" t="s">
        <v>67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spans="2:14" x14ac:dyDescent="0.25">
      <c r="D244" t="s">
        <v>168</v>
      </c>
      <c r="F244" t="s">
        <v>182</v>
      </c>
      <c r="G244" s="9" t="s">
        <v>96</v>
      </c>
      <c r="H244">
        <v>34.200000000000003</v>
      </c>
      <c r="I244" s="33"/>
      <c r="J244" s="33"/>
      <c r="K244" s="33"/>
      <c r="L244" s="33"/>
      <c r="M244" s="33"/>
      <c r="N244" s="44">
        <f>H244*$O$203</f>
        <v>17.100000000000001</v>
      </c>
    </row>
    <row r="245" spans="2:14" x14ac:dyDescent="0.25">
      <c r="B245" s="6" t="s">
        <v>73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spans="2:14" x14ac:dyDescent="0.25">
      <c r="B246" s="9" t="s">
        <v>139</v>
      </c>
      <c r="C246" s="9" t="s">
        <v>181</v>
      </c>
      <c r="D246" s="9" t="s">
        <v>168</v>
      </c>
      <c r="E246" s="9"/>
      <c r="F246" s="9" t="s">
        <v>182</v>
      </c>
      <c r="G246" s="9" t="s">
        <v>96</v>
      </c>
      <c r="H246" s="9">
        <v>0</v>
      </c>
      <c r="I246" s="33"/>
      <c r="J246" s="33"/>
      <c r="K246" s="33"/>
      <c r="L246" s="33"/>
      <c r="M246" s="33"/>
      <c r="N246" s="44">
        <f>H246*$O$203</f>
        <v>0</v>
      </c>
    </row>
    <row r="247" spans="2:14" x14ac:dyDescent="0.25">
      <c r="B247" s="9" t="s">
        <v>140</v>
      </c>
      <c r="C247" s="9" t="s">
        <v>181</v>
      </c>
      <c r="D247" s="9" t="s">
        <v>168</v>
      </c>
      <c r="E247" s="9"/>
      <c r="F247" s="9" t="s">
        <v>182</v>
      </c>
      <c r="G247" s="9" t="s">
        <v>96</v>
      </c>
      <c r="H247" s="9">
        <v>0</v>
      </c>
      <c r="I247" s="40"/>
      <c r="J247" s="40"/>
      <c r="K247" s="40"/>
      <c r="L247" s="40"/>
      <c r="M247" s="40"/>
      <c r="N247" s="44">
        <f>H247*$O$203</f>
        <v>0</v>
      </c>
    </row>
    <row r="248" spans="2:14" x14ac:dyDescent="0.25">
      <c r="B248" s="50" t="s">
        <v>141</v>
      </c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</row>
    <row r="249" spans="2:14" x14ac:dyDescent="0.25">
      <c r="B249" s="9" t="s">
        <v>142</v>
      </c>
      <c r="C249" s="9" t="s">
        <v>181</v>
      </c>
      <c r="D249" s="9" t="s">
        <v>168</v>
      </c>
      <c r="E249" s="9"/>
      <c r="F249" s="9" t="s">
        <v>182</v>
      </c>
      <c r="G249" s="9" t="s">
        <v>96</v>
      </c>
      <c r="H249" s="9">
        <v>0</v>
      </c>
      <c r="I249" s="33"/>
      <c r="J249" s="33"/>
      <c r="K249" s="33"/>
      <c r="L249" s="33"/>
      <c r="M249" s="33"/>
      <c r="N249" s="44">
        <f>H249*$O$203</f>
        <v>0</v>
      </c>
    </row>
    <row r="250" spans="2:14" x14ac:dyDescent="0.25">
      <c r="B250" s="6" t="s">
        <v>74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2:14" x14ac:dyDescent="0.25">
      <c r="B251" t="s">
        <v>75</v>
      </c>
      <c r="C251" t="s">
        <v>181</v>
      </c>
      <c r="D251" t="s">
        <v>168</v>
      </c>
      <c r="F251" t="s">
        <v>182</v>
      </c>
      <c r="G251" s="9" t="s">
        <v>96</v>
      </c>
      <c r="H251">
        <v>1</v>
      </c>
      <c r="I251" s="33"/>
      <c r="J251" s="33"/>
      <c r="K251" s="33"/>
      <c r="L251" s="33"/>
      <c r="M251" s="33"/>
      <c r="N251" s="44">
        <f>H251*$O$203</f>
        <v>0.5</v>
      </c>
    </row>
    <row r="252" spans="2:14" x14ac:dyDescent="0.25">
      <c r="B252" s="34" t="s">
        <v>143</v>
      </c>
      <c r="C252" s="34" t="s">
        <v>181</v>
      </c>
      <c r="D252" s="34" t="s">
        <v>168</v>
      </c>
      <c r="E252" s="34"/>
      <c r="F252" s="34" t="s">
        <v>182</v>
      </c>
      <c r="G252" s="34" t="s">
        <v>96</v>
      </c>
      <c r="H252" s="34">
        <v>1</v>
      </c>
      <c r="I252" s="40"/>
      <c r="J252" s="40"/>
      <c r="K252" s="40"/>
      <c r="L252" s="40"/>
      <c r="M252" s="40"/>
      <c r="N252" s="44">
        <f>H252*$O$203</f>
        <v>0.5</v>
      </c>
    </row>
    <row r="253" spans="2:14" x14ac:dyDescent="0.25">
      <c r="B253" s="6" t="s">
        <v>82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spans="2:14" x14ac:dyDescent="0.25">
      <c r="B254" t="s">
        <v>83</v>
      </c>
      <c r="D254" t="s">
        <v>168</v>
      </c>
      <c r="F254" t="s">
        <v>182</v>
      </c>
      <c r="G254" s="34" t="s">
        <v>96</v>
      </c>
      <c r="H254">
        <v>24.7</v>
      </c>
      <c r="I254" s="33"/>
      <c r="J254" s="33"/>
      <c r="K254" s="33"/>
      <c r="L254" s="33"/>
      <c r="M254" s="33"/>
      <c r="N254" s="44">
        <f>H254*$O$203</f>
        <v>12.35</v>
      </c>
    </row>
    <row r="255" spans="2:14" x14ac:dyDescent="0.25">
      <c r="B255" t="s">
        <v>84</v>
      </c>
      <c r="D255" t="s">
        <v>168</v>
      </c>
      <c r="F255" t="s">
        <v>182</v>
      </c>
      <c r="G255" s="34" t="s">
        <v>96</v>
      </c>
      <c r="H255">
        <v>8</v>
      </c>
      <c r="I255" s="40"/>
      <c r="J255" s="40"/>
      <c r="K255" s="40"/>
      <c r="L255" s="40"/>
      <c r="M255" s="40"/>
      <c r="N255" s="44">
        <f t="shared" ref="N255:N257" si="6">H255*$O$203</f>
        <v>4</v>
      </c>
    </row>
    <row r="256" spans="2:14" x14ac:dyDescent="0.25">
      <c r="B256" t="s">
        <v>85</v>
      </c>
      <c r="D256" t="s">
        <v>168</v>
      </c>
      <c r="F256" t="s">
        <v>182</v>
      </c>
      <c r="G256" s="34" t="s">
        <v>96</v>
      </c>
      <c r="H256">
        <v>7.9</v>
      </c>
      <c r="I256" s="33"/>
      <c r="J256" s="33"/>
      <c r="K256" s="33"/>
      <c r="L256" s="33"/>
      <c r="M256" s="33"/>
      <c r="N256" s="44">
        <f t="shared" si="6"/>
        <v>3.95</v>
      </c>
    </row>
    <row r="257" spans="1:15" x14ac:dyDescent="0.25">
      <c r="B257" t="s">
        <v>86</v>
      </c>
      <c r="D257" t="s">
        <v>168</v>
      </c>
      <c r="F257" t="s">
        <v>182</v>
      </c>
      <c r="G257" s="34" t="s">
        <v>96</v>
      </c>
      <c r="H257">
        <v>4.7</v>
      </c>
      <c r="I257" s="33"/>
      <c r="J257" s="33"/>
      <c r="K257" s="33"/>
      <c r="L257" s="33"/>
      <c r="M257" s="33"/>
      <c r="N257" s="44">
        <f t="shared" si="6"/>
        <v>2.35</v>
      </c>
    </row>
    <row r="258" spans="1:15" x14ac:dyDescent="0.25">
      <c r="B258" s="6" t="s">
        <v>90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spans="1:15" x14ac:dyDescent="0.25">
      <c r="B259" s="34" t="s">
        <v>133</v>
      </c>
      <c r="C259" s="43"/>
      <c r="D259" s="34" t="s">
        <v>168</v>
      </c>
      <c r="E259" s="34"/>
      <c r="F259" s="34" t="s">
        <v>182</v>
      </c>
      <c r="G259" s="34" t="s">
        <v>96</v>
      </c>
      <c r="H259" s="34">
        <v>34.200000000000003</v>
      </c>
      <c r="I259" s="33"/>
      <c r="J259" s="33"/>
      <c r="K259" s="33"/>
      <c r="L259" s="33"/>
      <c r="M259" s="33"/>
      <c r="N259" s="44">
        <f>H259*$O$203</f>
        <v>17.100000000000001</v>
      </c>
    </row>
    <row r="260" spans="1:15" x14ac:dyDescent="0.25">
      <c r="B260" s="34" t="s">
        <v>134</v>
      </c>
      <c r="C260" s="34"/>
      <c r="D260" s="34" t="s">
        <v>168</v>
      </c>
      <c r="E260" s="34"/>
      <c r="F260" s="34" t="s">
        <v>182</v>
      </c>
      <c r="G260" s="34" t="s">
        <v>96</v>
      </c>
      <c r="H260" s="34">
        <v>5.3</v>
      </c>
      <c r="I260" s="40"/>
      <c r="J260" s="40"/>
      <c r="K260" s="40"/>
      <c r="L260" s="40"/>
      <c r="M260" s="40"/>
      <c r="N260" s="44">
        <f t="shared" ref="N260:N261" si="7">H260*$O$203</f>
        <v>2.65</v>
      </c>
      <c r="O260" s="40"/>
    </row>
    <row r="261" spans="1:15" x14ac:dyDescent="0.25">
      <c r="B261" s="9" t="s">
        <v>145</v>
      </c>
      <c r="C261" s="9"/>
      <c r="D261" s="9" t="s">
        <v>168</v>
      </c>
      <c r="E261" s="9"/>
      <c r="F261" s="9" t="s">
        <v>182</v>
      </c>
      <c r="G261" s="34" t="s">
        <v>96</v>
      </c>
      <c r="H261" s="9">
        <v>24</v>
      </c>
      <c r="I261" s="33"/>
      <c r="J261" s="33"/>
      <c r="K261" s="33"/>
      <c r="L261" s="33"/>
      <c r="M261" s="33"/>
      <c r="N261" s="44">
        <f t="shared" si="7"/>
        <v>12</v>
      </c>
    </row>
    <row r="262" spans="1:15" x14ac:dyDescent="0.25">
      <c r="B262" s="9"/>
      <c r="C262" s="9"/>
      <c r="D262" s="9"/>
      <c r="E262" s="9"/>
      <c r="F262" s="9"/>
      <c r="G262" s="9"/>
      <c r="H262" s="9"/>
      <c r="N262" s="9"/>
    </row>
    <row r="263" spans="1:15" x14ac:dyDescent="0.25">
      <c r="A263" s="52" t="s">
        <v>186</v>
      </c>
      <c r="B263" s="9"/>
      <c r="C263" s="33"/>
      <c r="D263" s="9"/>
      <c r="E263" s="9"/>
      <c r="F263" s="9"/>
      <c r="G263" s="33"/>
      <c r="H263" s="33"/>
      <c r="N263" s="9"/>
    </row>
    <row r="264" spans="1:15" x14ac:dyDescent="0.25">
      <c r="A264" s="9" t="s">
        <v>187</v>
      </c>
      <c r="B264" s="9"/>
      <c r="C264" s="33"/>
      <c r="D264" s="9"/>
      <c r="E264" s="9" t="s">
        <v>188</v>
      </c>
      <c r="F264" s="9" t="s">
        <v>189</v>
      </c>
      <c r="G264" s="34" t="s">
        <v>96</v>
      </c>
      <c r="H264" s="9">
        <v>25</v>
      </c>
      <c r="N264" s="9">
        <f>H264</f>
        <v>25</v>
      </c>
    </row>
    <row r="265" spans="1:15" x14ac:dyDescent="0.25">
      <c r="A265" s="9" t="s">
        <v>187</v>
      </c>
      <c r="E265" s="9" t="s">
        <v>190</v>
      </c>
      <c r="F265" s="9" t="s">
        <v>189</v>
      </c>
      <c r="G265" s="34" t="s">
        <v>96</v>
      </c>
      <c r="H265" s="9">
        <v>2</v>
      </c>
      <c r="N265" s="9">
        <f t="shared" ref="N265:N308" si="8">H265</f>
        <v>2</v>
      </c>
    </row>
    <row r="266" spans="1:15" x14ac:dyDescent="0.25">
      <c r="A266" s="9" t="s">
        <v>187</v>
      </c>
      <c r="E266" s="9" t="s">
        <v>191</v>
      </c>
      <c r="F266" s="9" t="s">
        <v>189</v>
      </c>
      <c r="G266" s="34" t="s">
        <v>96</v>
      </c>
      <c r="H266" s="9">
        <v>10.5</v>
      </c>
      <c r="N266" s="9">
        <f t="shared" si="8"/>
        <v>10.5</v>
      </c>
    </row>
    <row r="267" spans="1:15" x14ac:dyDescent="0.25">
      <c r="A267" s="9" t="s">
        <v>192</v>
      </c>
      <c r="E267" s="9" t="s">
        <v>188</v>
      </c>
      <c r="F267" s="9" t="s">
        <v>189</v>
      </c>
      <c r="G267" s="34" t="s">
        <v>96</v>
      </c>
      <c r="H267" s="9">
        <v>17</v>
      </c>
      <c r="N267" s="9">
        <f t="shared" si="8"/>
        <v>17</v>
      </c>
    </row>
    <row r="268" spans="1:15" x14ac:dyDescent="0.25">
      <c r="A268" s="9" t="s">
        <v>192</v>
      </c>
      <c r="E268" s="9" t="s">
        <v>190</v>
      </c>
      <c r="F268" s="9" t="s">
        <v>189</v>
      </c>
      <c r="G268" s="34" t="s">
        <v>96</v>
      </c>
      <c r="H268" s="9">
        <v>7</v>
      </c>
      <c r="N268" s="9">
        <f t="shared" si="8"/>
        <v>7</v>
      </c>
    </row>
    <row r="269" spans="1:15" x14ac:dyDescent="0.25">
      <c r="A269" s="9" t="s">
        <v>192</v>
      </c>
      <c r="E269" s="9" t="s">
        <v>191</v>
      </c>
      <c r="F269" s="9" t="s">
        <v>189</v>
      </c>
      <c r="G269" s="34" t="s">
        <v>96</v>
      </c>
      <c r="H269" s="9">
        <v>15</v>
      </c>
      <c r="N269" s="9">
        <f t="shared" si="8"/>
        <v>15</v>
      </c>
    </row>
    <row r="270" spans="1:15" x14ac:dyDescent="0.25">
      <c r="A270" s="9" t="s">
        <v>193</v>
      </c>
      <c r="E270" s="9" t="s">
        <v>188</v>
      </c>
      <c r="F270" s="9" t="s">
        <v>189</v>
      </c>
      <c r="G270" s="34" t="s">
        <v>96</v>
      </c>
      <c r="H270" s="9">
        <v>19</v>
      </c>
      <c r="N270" s="9">
        <f t="shared" si="8"/>
        <v>19</v>
      </c>
    </row>
    <row r="271" spans="1:15" x14ac:dyDescent="0.25">
      <c r="A271" s="9" t="s">
        <v>193</v>
      </c>
      <c r="E271" s="9" t="s">
        <v>190</v>
      </c>
      <c r="F271" s="9" t="s">
        <v>189</v>
      </c>
      <c r="G271" s="34" t="s">
        <v>96</v>
      </c>
      <c r="H271" s="9">
        <v>10</v>
      </c>
      <c r="N271" s="9">
        <f t="shared" si="8"/>
        <v>10</v>
      </c>
    </row>
    <row r="272" spans="1:15" x14ac:dyDescent="0.25">
      <c r="A272" s="9" t="s">
        <v>193</v>
      </c>
      <c r="E272" s="9" t="s">
        <v>191</v>
      </c>
      <c r="F272" s="9" t="s">
        <v>189</v>
      </c>
      <c r="G272" s="34" t="s">
        <v>96</v>
      </c>
      <c r="H272" s="9">
        <v>2</v>
      </c>
      <c r="N272" s="9">
        <f t="shared" si="8"/>
        <v>2</v>
      </c>
    </row>
    <row r="273" spans="1:14" x14ac:dyDescent="0.25">
      <c r="A273" s="9" t="s">
        <v>194</v>
      </c>
      <c r="E273" s="9" t="s">
        <v>188</v>
      </c>
      <c r="F273" s="9" t="s">
        <v>189</v>
      </c>
      <c r="G273" s="34" t="s">
        <v>96</v>
      </c>
      <c r="H273" s="9">
        <v>19</v>
      </c>
      <c r="N273" s="9">
        <f t="shared" si="8"/>
        <v>19</v>
      </c>
    </row>
    <row r="274" spans="1:14" x14ac:dyDescent="0.25">
      <c r="A274" s="9" t="s">
        <v>194</v>
      </c>
      <c r="E274" s="9" t="s">
        <v>190</v>
      </c>
      <c r="F274" s="9" t="s">
        <v>189</v>
      </c>
      <c r="G274" s="34" t="s">
        <v>96</v>
      </c>
      <c r="H274" s="9">
        <v>10</v>
      </c>
      <c r="N274" s="9">
        <f t="shared" si="8"/>
        <v>10</v>
      </c>
    </row>
    <row r="275" spans="1:14" x14ac:dyDescent="0.25">
      <c r="A275" s="9" t="s">
        <v>194</v>
      </c>
      <c r="E275" s="9" t="s">
        <v>191</v>
      </c>
      <c r="F275" s="9" t="s">
        <v>189</v>
      </c>
      <c r="G275" s="34" t="s">
        <v>96</v>
      </c>
      <c r="H275" s="9">
        <v>2</v>
      </c>
      <c r="N275" s="9">
        <f t="shared" si="8"/>
        <v>2</v>
      </c>
    </row>
    <row r="276" spans="1:14" x14ac:dyDescent="0.25">
      <c r="A276" s="9" t="s">
        <v>98</v>
      </c>
      <c r="E276" s="9" t="s">
        <v>188</v>
      </c>
      <c r="F276" s="9" t="s">
        <v>189</v>
      </c>
      <c r="G276" s="34" t="s">
        <v>96</v>
      </c>
      <c r="H276" s="9">
        <v>11</v>
      </c>
      <c r="N276" s="9">
        <f t="shared" si="8"/>
        <v>11</v>
      </c>
    </row>
    <row r="277" spans="1:14" x14ac:dyDescent="0.25">
      <c r="A277" s="9" t="s">
        <v>98</v>
      </c>
      <c r="E277" s="9" t="s">
        <v>190</v>
      </c>
      <c r="F277" s="9" t="s">
        <v>189</v>
      </c>
      <c r="G277" s="34" t="s">
        <v>96</v>
      </c>
      <c r="H277" s="9">
        <f>0.5</f>
        <v>0.5</v>
      </c>
      <c r="N277" s="9">
        <f t="shared" si="8"/>
        <v>0.5</v>
      </c>
    </row>
    <row r="278" spans="1:14" x14ac:dyDescent="0.25">
      <c r="A278" s="9" t="s">
        <v>98</v>
      </c>
      <c r="E278" s="9" t="s">
        <v>191</v>
      </c>
      <c r="F278" s="9" t="s">
        <v>189</v>
      </c>
      <c r="G278" s="34" t="s">
        <v>96</v>
      </c>
      <c r="H278" s="9">
        <v>1</v>
      </c>
      <c r="N278" s="9">
        <f t="shared" si="8"/>
        <v>1</v>
      </c>
    </row>
    <row r="279" spans="1:14" x14ac:dyDescent="0.25">
      <c r="A279" s="9" t="s">
        <v>195</v>
      </c>
      <c r="E279" s="9" t="s">
        <v>188</v>
      </c>
      <c r="F279" s="9" t="s">
        <v>189</v>
      </c>
      <c r="G279" s="34" t="s">
        <v>96</v>
      </c>
      <c r="H279" s="9">
        <v>11</v>
      </c>
      <c r="N279" s="9">
        <f t="shared" si="8"/>
        <v>11</v>
      </c>
    </row>
    <row r="280" spans="1:14" x14ac:dyDescent="0.25">
      <c r="A280" s="9" t="s">
        <v>195</v>
      </c>
      <c r="E280" s="9" t="s">
        <v>190</v>
      </c>
      <c r="F280" s="9" t="s">
        <v>189</v>
      </c>
      <c r="G280" s="34" t="s">
        <v>96</v>
      </c>
      <c r="H280" s="9">
        <v>4</v>
      </c>
      <c r="N280" s="9">
        <f t="shared" si="8"/>
        <v>4</v>
      </c>
    </row>
    <row r="281" spans="1:14" x14ac:dyDescent="0.25">
      <c r="A281" s="9" t="s">
        <v>195</v>
      </c>
      <c r="E281" s="9" t="s">
        <v>191</v>
      </c>
      <c r="F281" s="9" t="s">
        <v>189</v>
      </c>
      <c r="G281" s="34" t="s">
        <v>96</v>
      </c>
      <c r="H281" s="9">
        <v>5</v>
      </c>
      <c r="N281" s="9">
        <f t="shared" si="8"/>
        <v>5</v>
      </c>
    </row>
    <row r="282" spans="1:14" x14ac:dyDescent="0.25">
      <c r="A282" s="9" t="s">
        <v>196</v>
      </c>
      <c r="E282" s="9" t="s">
        <v>188</v>
      </c>
      <c r="F282" s="9" t="s">
        <v>189</v>
      </c>
      <c r="G282" s="34" t="s">
        <v>96</v>
      </c>
      <c r="H282" s="9">
        <v>11</v>
      </c>
      <c r="N282" s="9">
        <f t="shared" si="8"/>
        <v>11</v>
      </c>
    </row>
    <row r="283" spans="1:14" x14ac:dyDescent="0.25">
      <c r="A283" s="9" t="s">
        <v>196</v>
      </c>
      <c r="E283" s="9" t="s">
        <v>190</v>
      </c>
      <c r="F283" s="9" t="s">
        <v>189</v>
      </c>
      <c r="G283" s="34" t="s">
        <v>96</v>
      </c>
      <c r="H283" s="9">
        <v>4</v>
      </c>
      <c r="N283" s="9">
        <f t="shared" si="8"/>
        <v>4</v>
      </c>
    </row>
    <row r="284" spans="1:14" x14ac:dyDescent="0.25">
      <c r="A284" s="9" t="s">
        <v>196</v>
      </c>
      <c r="E284" s="9" t="s">
        <v>191</v>
      </c>
      <c r="F284" s="9" t="s">
        <v>189</v>
      </c>
      <c r="G284" s="34" t="s">
        <v>96</v>
      </c>
      <c r="H284" s="9">
        <v>5</v>
      </c>
      <c r="N284" s="9">
        <f t="shared" si="8"/>
        <v>5</v>
      </c>
    </row>
    <row r="285" spans="1:14" x14ac:dyDescent="0.25">
      <c r="A285" s="9" t="s">
        <v>197</v>
      </c>
      <c r="E285" s="9" t="s">
        <v>188</v>
      </c>
      <c r="F285" s="9" t="s">
        <v>189</v>
      </c>
      <c r="G285" s="34" t="s">
        <v>96</v>
      </c>
      <c r="H285" s="9">
        <v>4</v>
      </c>
      <c r="N285" s="9">
        <f t="shared" si="8"/>
        <v>4</v>
      </c>
    </row>
    <row r="286" spans="1:14" x14ac:dyDescent="0.25">
      <c r="A286" s="9" t="s">
        <v>197</v>
      </c>
      <c r="E286" s="9" t="s">
        <v>190</v>
      </c>
      <c r="F286" s="9" t="s">
        <v>189</v>
      </c>
      <c r="G286" s="34" t="s">
        <v>96</v>
      </c>
      <c r="H286" s="9">
        <v>1</v>
      </c>
      <c r="N286" s="9">
        <f t="shared" si="8"/>
        <v>1</v>
      </c>
    </row>
    <row r="287" spans="1:14" x14ac:dyDescent="0.25">
      <c r="A287" s="9" t="s">
        <v>197</v>
      </c>
      <c r="E287" s="9" t="s">
        <v>191</v>
      </c>
      <c r="F287" s="9" t="s">
        <v>189</v>
      </c>
      <c r="G287" s="34" t="s">
        <v>96</v>
      </c>
      <c r="H287" s="9">
        <v>5</v>
      </c>
      <c r="N287" s="9">
        <f t="shared" si="8"/>
        <v>5</v>
      </c>
    </row>
    <row r="288" spans="1:14" x14ac:dyDescent="0.25">
      <c r="A288" s="9" t="s">
        <v>198</v>
      </c>
      <c r="E288" s="9" t="s">
        <v>188</v>
      </c>
      <c r="F288" s="9" t="s">
        <v>189</v>
      </c>
      <c r="G288" s="34" t="s">
        <v>96</v>
      </c>
      <c r="H288" s="9">
        <v>4</v>
      </c>
      <c r="N288" s="9">
        <f t="shared" si="8"/>
        <v>4</v>
      </c>
    </row>
    <row r="289" spans="1:14" x14ac:dyDescent="0.25">
      <c r="A289" s="9" t="s">
        <v>198</v>
      </c>
      <c r="E289" s="9" t="s">
        <v>190</v>
      </c>
      <c r="F289" s="9" t="s">
        <v>189</v>
      </c>
      <c r="G289" s="34" t="s">
        <v>96</v>
      </c>
      <c r="H289" s="9">
        <v>1</v>
      </c>
      <c r="N289" s="9">
        <f t="shared" si="8"/>
        <v>1</v>
      </c>
    </row>
    <row r="290" spans="1:14" x14ac:dyDescent="0.25">
      <c r="A290" s="9" t="s">
        <v>198</v>
      </c>
      <c r="E290" s="9" t="s">
        <v>191</v>
      </c>
      <c r="F290" s="9" t="s">
        <v>189</v>
      </c>
      <c r="G290" s="34" t="s">
        <v>96</v>
      </c>
      <c r="H290" s="9">
        <v>5</v>
      </c>
      <c r="N290" s="9">
        <f t="shared" si="8"/>
        <v>5</v>
      </c>
    </row>
    <row r="291" spans="1:14" x14ac:dyDescent="0.25">
      <c r="A291" s="9" t="s">
        <v>199</v>
      </c>
      <c r="E291" s="9" t="s">
        <v>188</v>
      </c>
      <c r="F291" s="9" t="s">
        <v>189</v>
      </c>
      <c r="G291" s="34" t="s">
        <v>96</v>
      </c>
      <c r="H291" s="9">
        <v>13</v>
      </c>
      <c r="N291" s="9">
        <f t="shared" si="8"/>
        <v>13</v>
      </c>
    </row>
    <row r="292" spans="1:14" x14ac:dyDescent="0.25">
      <c r="A292" s="9" t="s">
        <v>199</v>
      </c>
      <c r="E292" s="9" t="s">
        <v>190</v>
      </c>
      <c r="F292" s="9" t="s">
        <v>189</v>
      </c>
      <c r="G292" s="34" t="s">
        <v>96</v>
      </c>
      <c r="H292" s="9">
        <v>5</v>
      </c>
      <c r="N292" s="9">
        <f t="shared" si="8"/>
        <v>5</v>
      </c>
    </row>
    <row r="293" spans="1:14" x14ac:dyDescent="0.25">
      <c r="A293" s="9" t="s">
        <v>199</v>
      </c>
      <c r="E293" s="9" t="s">
        <v>191</v>
      </c>
      <c r="F293" s="9" t="s">
        <v>189</v>
      </c>
      <c r="G293" s="34" t="s">
        <v>96</v>
      </c>
      <c r="H293" s="9">
        <v>5</v>
      </c>
      <c r="N293" s="9">
        <f t="shared" si="8"/>
        <v>5</v>
      </c>
    </row>
    <row r="294" spans="1:14" x14ac:dyDescent="0.25">
      <c r="A294" s="9" t="s">
        <v>200</v>
      </c>
      <c r="E294" s="9" t="s">
        <v>188</v>
      </c>
      <c r="F294" s="9" t="s">
        <v>189</v>
      </c>
      <c r="G294" s="34" t="s">
        <v>96</v>
      </c>
      <c r="H294" s="9">
        <v>0</v>
      </c>
      <c r="N294" s="9">
        <f t="shared" si="8"/>
        <v>0</v>
      </c>
    </row>
    <row r="295" spans="1:14" x14ac:dyDescent="0.25">
      <c r="A295" s="9" t="s">
        <v>200</v>
      </c>
      <c r="E295" s="9" t="s">
        <v>190</v>
      </c>
      <c r="F295" s="9" t="s">
        <v>189</v>
      </c>
      <c r="G295" s="34" t="s">
        <v>96</v>
      </c>
      <c r="H295" s="9">
        <v>5</v>
      </c>
      <c r="N295" s="9">
        <f t="shared" si="8"/>
        <v>5</v>
      </c>
    </row>
    <row r="296" spans="1:14" x14ac:dyDescent="0.25">
      <c r="A296" s="9" t="s">
        <v>200</v>
      </c>
      <c r="E296" s="9" t="s">
        <v>191</v>
      </c>
      <c r="F296" s="9" t="s">
        <v>189</v>
      </c>
      <c r="G296" s="34" t="s">
        <v>96</v>
      </c>
      <c r="H296" s="9">
        <v>5</v>
      </c>
      <c r="N296" s="9">
        <f t="shared" si="8"/>
        <v>5</v>
      </c>
    </row>
    <row r="297" spans="1:14" x14ac:dyDescent="0.25">
      <c r="A297" s="9" t="s">
        <v>201</v>
      </c>
      <c r="E297" s="9" t="s">
        <v>188</v>
      </c>
      <c r="F297" s="9" t="s">
        <v>189</v>
      </c>
      <c r="G297" s="34" t="s">
        <v>96</v>
      </c>
      <c r="H297" s="9">
        <v>11</v>
      </c>
      <c r="N297" s="9">
        <f>H297*0.5</f>
        <v>5.5</v>
      </c>
    </row>
    <row r="298" spans="1:14" x14ac:dyDescent="0.25">
      <c r="A298" s="9" t="s">
        <v>201</v>
      </c>
      <c r="E298" s="9" t="s">
        <v>190</v>
      </c>
      <c r="F298" s="9" t="s">
        <v>189</v>
      </c>
      <c r="G298" s="34" t="s">
        <v>96</v>
      </c>
      <c r="H298" s="9">
        <v>4</v>
      </c>
      <c r="N298" s="9">
        <f t="shared" ref="N298:N302" si="9">H298*0.5</f>
        <v>2</v>
      </c>
    </row>
    <row r="299" spans="1:14" x14ac:dyDescent="0.25">
      <c r="A299" s="9" t="s">
        <v>201</v>
      </c>
      <c r="E299" s="9" t="s">
        <v>191</v>
      </c>
      <c r="F299" s="9" t="s">
        <v>189</v>
      </c>
      <c r="G299" s="34" t="s">
        <v>96</v>
      </c>
      <c r="H299" s="9">
        <v>5</v>
      </c>
      <c r="N299" s="9">
        <f t="shared" si="9"/>
        <v>2.5</v>
      </c>
    </row>
    <row r="300" spans="1:14" x14ac:dyDescent="0.25">
      <c r="A300" s="34" t="s">
        <v>202</v>
      </c>
      <c r="E300" s="9" t="s">
        <v>188</v>
      </c>
      <c r="F300" s="9" t="s">
        <v>189</v>
      </c>
      <c r="G300" s="34" t="s">
        <v>96</v>
      </c>
      <c r="H300" s="9">
        <v>11</v>
      </c>
      <c r="N300" s="9">
        <f t="shared" si="9"/>
        <v>5.5</v>
      </c>
    </row>
    <row r="301" spans="1:14" x14ac:dyDescent="0.25">
      <c r="A301" s="34" t="s">
        <v>202</v>
      </c>
      <c r="E301" s="9" t="s">
        <v>190</v>
      </c>
      <c r="F301" s="9" t="s">
        <v>189</v>
      </c>
      <c r="G301" s="34" t="s">
        <v>96</v>
      </c>
      <c r="H301" s="9">
        <f>0.5</f>
        <v>0.5</v>
      </c>
      <c r="N301" s="9">
        <f t="shared" si="9"/>
        <v>0.25</v>
      </c>
    </row>
    <row r="302" spans="1:14" x14ac:dyDescent="0.25">
      <c r="A302" s="34" t="s">
        <v>202</v>
      </c>
      <c r="E302" s="9" t="s">
        <v>191</v>
      </c>
      <c r="F302" s="9" t="s">
        <v>189</v>
      </c>
      <c r="G302" s="34" t="s">
        <v>96</v>
      </c>
      <c r="H302" s="9">
        <v>1</v>
      </c>
      <c r="N302" s="9">
        <f t="shared" si="9"/>
        <v>0.5</v>
      </c>
    </row>
    <row r="303" spans="1:14" x14ac:dyDescent="0.25">
      <c r="A303" s="34" t="s">
        <v>203</v>
      </c>
      <c r="E303" s="9" t="s">
        <v>188</v>
      </c>
      <c r="F303" s="9" t="s">
        <v>189</v>
      </c>
      <c r="G303" s="34" t="s">
        <v>96</v>
      </c>
      <c r="H303" s="9">
        <v>4</v>
      </c>
      <c r="N303" s="9">
        <f t="shared" si="8"/>
        <v>4</v>
      </c>
    </row>
    <row r="304" spans="1:14" x14ac:dyDescent="0.25">
      <c r="A304" s="34" t="s">
        <v>203</v>
      </c>
      <c r="E304" s="9" t="s">
        <v>190</v>
      </c>
      <c r="F304" s="9" t="s">
        <v>189</v>
      </c>
      <c r="G304" s="34" t="s">
        <v>96</v>
      </c>
      <c r="H304" s="9">
        <v>1</v>
      </c>
      <c r="N304" s="9">
        <f t="shared" si="8"/>
        <v>1</v>
      </c>
    </row>
    <row r="305" spans="1:16" x14ac:dyDescent="0.25">
      <c r="A305" s="34" t="s">
        <v>203</v>
      </c>
      <c r="E305" s="9" t="s">
        <v>191</v>
      </c>
      <c r="F305" s="9" t="s">
        <v>189</v>
      </c>
      <c r="G305" s="34" t="s">
        <v>96</v>
      </c>
      <c r="H305" s="9">
        <v>5</v>
      </c>
      <c r="N305" s="9">
        <f t="shared" si="8"/>
        <v>5</v>
      </c>
    </row>
    <row r="306" spans="1:16" x14ac:dyDescent="0.25">
      <c r="A306" s="34" t="s">
        <v>204</v>
      </c>
      <c r="E306" s="9" t="s">
        <v>188</v>
      </c>
      <c r="F306" s="9" t="s">
        <v>189</v>
      </c>
      <c r="G306" s="34" t="s">
        <v>96</v>
      </c>
      <c r="H306" s="9">
        <v>4</v>
      </c>
      <c r="N306" s="9">
        <f t="shared" si="8"/>
        <v>4</v>
      </c>
    </row>
    <row r="307" spans="1:16" x14ac:dyDescent="0.25">
      <c r="A307" s="34" t="s">
        <v>204</v>
      </c>
      <c r="E307" s="9" t="s">
        <v>190</v>
      </c>
      <c r="F307" s="9" t="s">
        <v>189</v>
      </c>
      <c r="G307" s="34" t="s">
        <v>96</v>
      </c>
      <c r="H307" s="9">
        <v>1</v>
      </c>
      <c r="N307" s="9">
        <f t="shared" si="8"/>
        <v>1</v>
      </c>
    </row>
    <row r="308" spans="1:16" x14ac:dyDescent="0.25">
      <c r="A308" s="34" t="s">
        <v>204</v>
      </c>
      <c r="E308" s="9" t="s">
        <v>191</v>
      </c>
      <c r="F308" s="9" t="s">
        <v>189</v>
      </c>
      <c r="G308" s="34" t="s">
        <v>96</v>
      </c>
      <c r="H308" s="9">
        <v>5</v>
      </c>
      <c r="N308" s="9">
        <f t="shared" si="8"/>
        <v>5</v>
      </c>
    </row>
    <row r="309" spans="1:16" x14ac:dyDescent="0.25">
      <c r="B309" s="9"/>
      <c r="C309" s="9"/>
      <c r="D309" s="9"/>
      <c r="E309" s="9"/>
      <c r="F309" s="9"/>
      <c r="G309" s="9"/>
      <c r="H309" s="9"/>
      <c r="N309" s="9"/>
    </row>
    <row r="310" spans="1:16" x14ac:dyDescent="0.25">
      <c r="B310" s="9"/>
      <c r="C310" s="9"/>
      <c r="D310" s="9"/>
      <c r="E310" s="9"/>
      <c r="F310" s="9"/>
      <c r="G310" s="9"/>
      <c r="H310" s="9"/>
      <c r="N310" s="9"/>
    </row>
    <row r="311" spans="1:16" x14ac:dyDescent="0.25">
      <c r="A311" s="47" t="s">
        <v>176</v>
      </c>
      <c r="B311" s="47"/>
      <c r="M311" s="33"/>
      <c r="N311" s="9"/>
    </row>
    <row r="312" spans="1:16" x14ac:dyDescent="0.25">
      <c r="A312" s="9"/>
      <c r="B312" s="9" t="s">
        <v>177</v>
      </c>
      <c r="C312" s="9"/>
      <c r="D312" s="9"/>
      <c r="E312" s="9"/>
      <c r="F312" s="9" t="s">
        <v>178</v>
      </c>
      <c r="G312" s="9" t="s">
        <v>11</v>
      </c>
      <c r="H312" s="9">
        <v>1</v>
      </c>
      <c r="I312" s="9"/>
      <c r="J312" s="9"/>
      <c r="K312" s="9"/>
      <c r="L312" s="9"/>
      <c r="M312" s="9"/>
      <c r="N312" s="9">
        <v>1</v>
      </c>
      <c r="O312" s="9"/>
      <c r="P312" s="9"/>
    </row>
    <row r="313" spans="1:16" x14ac:dyDescent="0.25">
      <c r="A313" s="9"/>
      <c r="B313" s="9" t="s">
        <v>266</v>
      </c>
      <c r="C313" s="9"/>
      <c r="D313" s="9"/>
      <c r="E313" s="9"/>
      <c r="F313" s="9" t="s">
        <v>178</v>
      </c>
      <c r="G313" s="9" t="s">
        <v>11</v>
      </c>
      <c r="H313" s="9">
        <v>1</v>
      </c>
      <c r="I313" s="9"/>
      <c r="J313" s="9"/>
      <c r="K313" s="9"/>
      <c r="L313" s="9"/>
      <c r="M313" s="9"/>
      <c r="N313" s="9">
        <v>1</v>
      </c>
      <c r="O313" s="9"/>
      <c r="P313" s="9"/>
    </row>
    <row r="314" spans="1:16" x14ac:dyDescent="0.25">
      <c r="A314" s="9"/>
      <c r="B314" s="9" t="s">
        <v>179</v>
      </c>
      <c r="C314" s="9"/>
      <c r="D314" s="9"/>
      <c r="F314" s="9" t="s">
        <v>178</v>
      </c>
      <c r="G314" s="9" t="s">
        <v>96</v>
      </c>
      <c r="H314" s="9">
        <v>0</v>
      </c>
      <c r="L314" s="9"/>
      <c r="M314" s="9"/>
      <c r="N314" s="9">
        <f>188217</f>
        <v>188217</v>
      </c>
      <c r="O314" s="9"/>
    </row>
    <row r="315" spans="1:16" x14ac:dyDescent="0.25">
      <c r="B315" s="9"/>
      <c r="C315" s="9"/>
      <c r="D315" s="9"/>
      <c r="E315" s="9"/>
      <c r="F315" s="9"/>
      <c r="G315" s="9"/>
      <c r="H315" s="9"/>
      <c r="N315" s="9"/>
    </row>
    <row r="316" spans="1:16" x14ac:dyDescent="0.25">
      <c r="B316" s="9"/>
      <c r="C316" s="9"/>
      <c r="D316" s="9"/>
      <c r="E316" s="9"/>
      <c r="F316" s="9"/>
      <c r="G316" s="9"/>
      <c r="H316" s="9"/>
      <c r="N316" s="9"/>
    </row>
    <row r="317" spans="1:16" x14ac:dyDescent="0.25">
      <c r="B317" s="9"/>
      <c r="C317" s="9"/>
      <c r="D317" s="9"/>
      <c r="E317" s="9"/>
      <c r="F317" s="9"/>
      <c r="G317" s="9"/>
      <c r="H317" s="9"/>
      <c r="N317" s="9"/>
    </row>
    <row r="318" spans="1:16" x14ac:dyDescent="0.25">
      <c r="B318" s="9"/>
      <c r="C318" s="9"/>
      <c r="D318" s="9"/>
      <c r="E318" s="9"/>
      <c r="F318" s="9"/>
      <c r="G318" s="9"/>
      <c r="H318" s="9"/>
      <c r="N318" s="9"/>
    </row>
    <row r="319" spans="1:16" x14ac:dyDescent="0.25">
      <c r="B319" s="9"/>
      <c r="C319" s="9"/>
      <c r="D319" s="9"/>
      <c r="E319" s="9"/>
      <c r="F319" s="9"/>
      <c r="G319" s="9"/>
      <c r="H319" s="9"/>
      <c r="N319" s="9"/>
    </row>
    <row r="320" spans="1:16" x14ac:dyDescent="0.25">
      <c r="B320" s="9"/>
      <c r="C320" s="9"/>
      <c r="D320" s="9"/>
      <c r="E320" s="9"/>
      <c r="F320" s="9"/>
      <c r="G320" s="9"/>
      <c r="H320" s="9"/>
      <c r="N320" s="9"/>
    </row>
    <row r="321" spans="2:14" x14ac:dyDescent="0.25">
      <c r="B321" s="9"/>
      <c r="C321" s="9"/>
      <c r="D321" s="9"/>
      <c r="E321" s="9"/>
      <c r="F321" s="9"/>
      <c r="G321" s="9"/>
      <c r="H321" s="9"/>
      <c r="N321" s="9"/>
    </row>
    <row r="322" spans="2:14" x14ac:dyDescent="0.25">
      <c r="B322" s="9"/>
      <c r="C322" s="9"/>
      <c r="D322" s="9"/>
      <c r="E322" s="9"/>
      <c r="F322" s="9"/>
      <c r="G322" s="9"/>
      <c r="H322" s="9"/>
      <c r="N322" s="9"/>
    </row>
    <row r="323" spans="2:14" x14ac:dyDescent="0.25">
      <c r="B323" s="9"/>
      <c r="C323" s="9"/>
      <c r="D323" s="9"/>
      <c r="E323" s="9"/>
      <c r="F323" s="9"/>
      <c r="G323" s="9"/>
      <c r="H323" s="9"/>
      <c r="N323" s="9"/>
    </row>
    <row r="324" spans="2:14" x14ac:dyDescent="0.25">
      <c r="B324" s="9"/>
      <c r="C324" s="9"/>
      <c r="D324" s="9"/>
      <c r="E324" s="9"/>
      <c r="F324" s="9"/>
      <c r="G324" s="9"/>
      <c r="H324" s="9"/>
      <c r="N324" s="9"/>
    </row>
    <row r="325" spans="2:14" x14ac:dyDescent="0.25">
      <c r="B325" s="9"/>
      <c r="C325" s="9"/>
      <c r="D325" s="9"/>
      <c r="E325" s="9"/>
      <c r="F325" s="9"/>
      <c r="G325" s="9"/>
      <c r="H325" s="9"/>
      <c r="N325" s="9"/>
    </row>
    <row r="326" spans="2:14" x14ac:dyDescent="0.25">
      <c r="B326" s="9"/>
      <c r="C326" s="9"/>
      <c r="D326" s="9"/>
      <c r="E326" s="9"/>
      <c r="F326" s="9"/>
      <c r="G326" s="9"/>
      <c r="H326" s="9"/>
      <c r="N326" s="9"/>
    </row>
    <row r="327" spans="2:14" x14ac:dyDescent="0.25">
      <c r="B327" s="9"/>
      <c r="C327" s="9"/>
      <c r="D327" s="9"/>
      <c r="E327" s="9"/>
      <c r="F327" s="9"/>
      <c r="G327" s="9"/>
      <c r="H327" s="9"/>
      <c r="N327" s="9"/>
    </row>
    <row r="328" spans="2:14" x14ac:dyDescent="0.25">
      <c r="B328" s="9"/>
      <c r="C328" s="9"/>
      <c r="D328" s="9"/>
      <c r="E328" s="9"/>
      <c r="F328" s="9"/>
      <c r="G328" s="9"/>
      <c r="H328" s="9"/>
      <c r="N328" s="9"/>
    </row>
    <row r="329" spans="2:14" x14ac:dyDescent="0.25">
      <c r="B329" s="9"/>
      <c r="C329" s="9"/>
      <c r="D329" s="9"/>
      <c r="E329" s="9"/>
      <c r="F329" s="9"/>
      <c r="G329" s="9"/>
      <c r="H329" s="9"/>
      <c r="N329" s="9"/>
    </row>
    <row r="330" spans="2:14" x14ac:dyDescent="0.25">
      <c r="B330" s="9"/>
      <c r="C330" s="9"/>
      <c r="D330" s="9"/>
      <c r="E330" s="9"/>
      <c r="F330" s="9"/>
      <c r="G330" s="9"/>
      <c r="H330" s="9"/>
      <c r="N330" s="9"/>
    </row>
    <row r="331" spans="2:14" x14ac:dyDescent="0.25">
      <c r="B331" s="9"/>
      <c r="C331" s="9"/>
      <c r="D331" s="9"/>
      <c r="E331" s="9"/>
      <c r="F331" s="9"/>
      <c r="G331" s="9"/>
      <c r="H331" s="9"/>
      <c r="N331" s="9"/>
    </row>
    <row r="332" spans="2:14" x14ac:dyDescent="0.25">
      <c r="B332" s="9"/>
      <c r="C332" s="9"/>
      <c r="D332" s="9"/>
      <c r="E332" s="9"/>
      <c r="F332" s="9"/>
      <c r="G332" s="9"/>
      <c r="H332" s="9"/>
      <c r="N332" s="9"/>
    </row>
    <row r="333" spans="2:14" x14ac:dyDescent="0.25">
      <c r="B333" s="9"/>
      <c r="C333" s="9"/>
      <c r="D333" s="9"/>
      <c r="E333" s="9"/>
      <c r="F333" s="9"/>
      <c r="G333" s="9"/>
      <c r="H333" s="9"/>
      <c r="N333" s="9"/>
    </row>
    <row r="334" spans="2:14" x14ac:dyDescent="0.25">
      <c r="B334" s="9"/>
      <c r="C334" s="9"/>
      <c r="D334" s="9"/>
      <c r="E334" s="9"/>
      <c r="F334" s="9"/>
      <c r="G334" s="9"/>
      <c r="H334" s="9"/>
      <c r="N334" s="9"/>
    </row>
    <row r="335" spans="2:14" x14ac:dyDescent="0.25">
      <c r="B335" s="9"/>
      <c r="C335" s="9"/>
      <c r="D335" s="9"/>
      <c r="E335" s="9"/>
      <c r="F335" s="9"/>
      <c r="G335" s="9"/>
      <c r="H335" s="9"/>
      <c r="N335" s="9"/>
    </row>
    <row r="336" spans="2:14" x14ac:dyDescent="0.25">
      <c r="B336" s="9"/>
      <c r="C336" s="9"/>
      <c r="D336" s="9"/>
      <c r="E336" s="9"/>
      <c r="F336" s="9"/>
      <c r="G336" s="9"/>
      <c r="H336" s="9"/>
      <c r="N336" s="9"/>
    </row>
    <row r="337" spans="2:14" x14ac:dyDescent="0.25">
      <c r="B337" s="9"/>
      <c r="C337" s="9"/>
      <c r="D337" s="9"/>
      <c r="E337" s="9"/>
      <c r="F337" s="9"/>
      <c r="G337" s="9"/>
      <c r="H337" s="9"/>
      <c r="N337" s="9"/>
    </row>
    <row r="338" spans="2:14" x14ac:dyDescent="0.25">
      <c r="B338" s="9"/>
      <c r="C338" s="9"/>
      <c r="D338" s="9"/>
      <c r="E338" s="9"/>
      <c r="F338" s="9"/>
      <c r="G338" s="9"/>
      <c r="H338" s="9"/>
      <c r="N338" s="9"/>
    </row>
    <row r="339" spans="2:14" x14ac:dyDescent="0.25">
      <c r="B339" s="9"/>
      <c r="C339" s="9"/>
      <c r="D339" s="9"/>
      <c r="E339" s="9"/>
      <c r="F339" s="9"/>
      <c r="G339" s="9"/>
      <c r="H339" s="9"/>
      <c r="N339" s="9"/>
    </row>
    <row r="340" spans="2:14" x14ac:dyDescent="0.25">
      <c r="B340" s="9"/>
      <c r="C340" s="9"/>
      <c r="D340" s="9"/>
      <c r="E340" s="9"/>
      <c r="F340" s="9"/>
      <c r="G340" s="9"/>
      <c r="H340" s="9"/>
      <c r="N340" s="9"/>
    </row>
    <row r="341" spans="2:14" x14ac:dyDescent="0.25">
      <c r="B341" s="9"/>
      <c r="C341" s="9"/>
      <c r="D341" s="9"/>
      <c r="E341" s="9"/>
      <c r="F341" s="9"/>
      <c r="G341" s="9"/>
      <c r="H341" s="9"/>
      <c r="N341" s="9"/>
    </row>
    <row r="342" spans="2:14" x14ac:dyDescent="0.25">
      <c r="B342" s="9"/>
      <c r="C342" s="9"/>
      <c r="D342" s="9"/>
      <c r="E342" s="9"/>
      <c r="F342" s="9"/>
      <c r="G342" s="9"/>
      <c r="H342" s="9"/>
      <c r="N342" s="9"/>
    </row>
    <row r="343" spans="2:14" x14ac:dyDescent="0.25">
      <c r="B343" s="9"/>
      <c r="C343" s="9"/>
      <c r="D343" s="9"/>
      <c r="E343" s="9"/>
      <c r="F343" s="9"/>
      <c r="G343" s="9"/>
      <c r="H343" s="9"/>
      <c r="N343" s="9"/>
    </row>
    <row r="344" spans="2:14" x14ac:dyDescent="0.25">
      <c r="B344" s="9"/>
      <c r="C344" s="9"/>
      <c r="D344" s="9"/>
      <c r="E344" s="9"/>
      <c r="F344" s="9"/>
      <c r="G344" s="9"/>
      <c r="H344" s="9"/>
      <c r="N344" s="9"/>
    </row>
    <row r="345" spans="2:14" x14ac:dyDescent="0.25">
      <c r="B345" s="9"/>
      <c r="C345" s="9"/>
      <c r="D345" s="9"/>
      <c r="E345" s="9"/>
      <c r="F345" s="9"/>
      <c r="G345" s="9"/>
      <c r="H345" s="9"/>
      <c r="N345" s="9"/>
    </row>
    <row r="346" spans="2:14" x14ac:dyDescent="0.25">
      <c r="B346" s="9"/>
      <c r="C346" s="9"/>
      <c r="D346" s="9"/>
      <c r="E346" s="9"/>
      <c r="F346" s="9"/>
      <c r="G346" s="9"/>
      <c r="H346" s="9"/>
      <c r="N346" s="9"/>
    </row>
    <row r="347" spans="2:14" x14ac:dyDescent="0.25">
      <c r="B347" s="9"/>
      <c r="C347" s="9"/>
      <c r="D347" s="9"/>
      <c r="E347" s="9"/>
      <c r="F347" s="9"/>
      <c r="G347" s="9"/>
      <c r="H347" s="9"/>
      <c r="N347" s="9"/>
    </row>
    <row r="348" spans="2:14" x14ac:dyDescent="0.25">
      <c r="B348" s="9"/>
      <c r="C348" s="9"/>
      <c r="D348" s="9"/>
      <c r="E348" s="9"/>
      <c r="F348" s="9"/>
      <c r="G348" s="9"/>
      <c r="H348" s="9"/>
      <c r="N348" s="9"/>
    </row>
    <row r="349" spans="2:14" x14ac:dyDescent="0.25">
      <c r="B349" s="9"/>
      <c r="C349" s="9"/>
      <c r="D349" s="9"/>
      <c r="E349" s="9"/>
      <c r="F349" s="9"/>
      <c r="G349" s="9"/>
      <c r="H349" s="9"/>
      <c r="N349" s="9"/>
    </row>
    <row r="350" spans="2:14" x14ac:dyDescent="0.25">
      <c r="B350" s="9"/>
      <c r="C350" s="9"/>
      <c r="D350" s="9"/>
      <c r="E350" s="9"/>
      <c r="F350" s="9"/>
      <c r="G350" s="9"/>
      <c r="H350" s="9"/>
      <c r="N350" s="9"/>
    </row>
    <row r="351" spans="2:14" x14ac:dyDescent="0.25">
      <c r="B351" s="9"/>
      <c r="C351" s="9"/>
      <c r="D351" s="9"/>
      <c r="E351" s="9"/>
      <c r="F351" s="9"/>
      <c r="G351" s="9"/>
      <c r="H351" s="9"/>
      <c r="N351" s="9"/>
    </row>
    <row r="352" spans="2:14" x14ac:dyDescent="0.25">
      <c r="B352" s="9"/>
      <c r="C352" s="9"/>
      <c r="D352" s="9"/>
      <c r="E352" s="9"/>
      <c r="F352" s="9"/>
      <c r="G352" s="9"/>
      <c r="H352" s="9"/>
      <c r="N352" s="9"/>
    </row>
    <row r="353" spans="2:14" x14ac:dyDescent="0.25">
      <c r="B353" s="9"/>
      <c r="C353" s="9"/>
      <c r="D353" s="9"/>
      <c r="E353" s="9"/>
      <c r="F353" s="9"/>
      <c r="G353" s="9"/>
      <c r="H353" s="9"/>
      <c r="N353" s="9"/>
    </row>
    <row r="354" spans="2:14" x14ac:dyDescent="0.25">
      <c r="B354" s="9"/>
      <c r="C354" s="9"/>
      <c r="D354" s="9"/>
      <c r="E354" s="9"/>
      <c r="F354" s="9"/>
      <c r="G354" s="9"/>
      <c r="H354" s="9"/>
      <c r="N354" s="9"/>
    </row>
    <row r="355" spans="2:14" x14ac:dyDescent="0.25">
      <c r="B355" s="9"/>
      <c r="C355" s="9"/>
      <c r="D355" s="9"/>
      <c r="E355" s="9"/>
      <c r="F355" s="9"/>
      <c r="G355" s="9"/>
      <c r="H355" s="9"/>
      <c r="N355" s="9"/>
    </row>
    <row r="356" spans="2:14" x14ac:dyDescent="0.25">
      <c r="B356" s="9"/>
      <c r="C356" s="9"/>
      <c r="D356" s="9"/>
      <c r="E356" s="9"/>
      <c r="F356" s="9"/>
      <c r="G356" s="9"/>
      <c r="H356" s="9"/>
      <c r="N356" s="9"/>
    </row>
    <row r="357" spans="2:14" x14ac:dyDescent="0.25">
      <c r="B357" s="9"/>
      <c r="C357" s="9"/>
      <c r="D357" s="9"/>
      <c r="E357" s="9"/>
      <c r="F357" s="9"/>
      <c r="G357" s="9"/>
      <c r="H357" s="9"/>
      <c r="N357" s="9"/>
    </row>
    <row r="358" spans="2:14" x14ac:dyDescent="0.25">
      <c r="B358" s="9"/>
      <c r="C358" s="9"/>
      <c r="D358" s="9"/>
      <c r="E358" s="9"/>
      <c r="F358" s="9"/>
      <c r="G358" s="9"/>
      <c r="H358" s="9"/>
      <c r="N358" s="9"/>
    </row>
    <row r="359" spans="2:14" x14ac:dyDescent="0.25">
      <c r="B359" s="9"/>
      <c r="C359" s="9"/>
      <c r="D359" s="9"/>
      <c r="E359" s="9"/>
      <c r="F359" s="9"/>
      <c r="G359" s="9"/>
      <c r="H359" s="9"/>
      <c r="N359" s="9"/>
    </row>
    <row r="360" spans="2:14" x14ac:dyDescent="0.25">
      <c r="B360" s="9"/>
      <c r="C360" s="9"/>
      <c r="D360" s="9"/>
      <c r="E360" s="9"/>
      <c r="F360" s="9"/>
      <c r="G360" s="9"/>
      <c r="H360" s="9"/>
      <c r="N360" s="9"/>
    </row>
    <row r="361" spans="2:14" x14ac:dyDescent="0.25">
      <c r="B361" s="9"/>
      <c r="C361" s="9"/>
      <c r="D361" s="9"/>
      <c r="E361" s="9"/>
      <c r="F361" s="9"/>
      <c r="G361" s="9"/>
      <c r="H361" s="9"/>
      <c r="N361" s="9"/>
    </row>
    <row r="362" spans="2:14" x14ac:dyDescent="0.25">
      <c r="B362" s="9"/>
      <c r="C362" s="9"/>
      <c r="D362" s="9"/>
      <c r="E362" s="9"/>
      <c r="F362" s="9"/>
      <c r="G362" s="9"/>
      <c r="H362" s="9"/>
      <c r="N362" s="9"/>
    </row>
    <row r="363" spans="2:14" x14ac:dyDescent="0.25">
      <c r="B363" s="9"/>
      <c r="C363" s="9"/>
      <c r="D363" s="9"/>
      <c r="E363" s="9"/>
      <c r="F363" s="9"/>
      <c r="G363" s="9"/>
      <c r="H363" s="9"/>
      <c r="N363" s="9"/>
    </row>
    <row r="364" spans="2:14" x14ac:dyDescent="0.25">
      <c r="B364" s="9"/>
      <c r="C364" s="9"/>
      <c r="D364" s="9"/>
      <c r="E364" s="9"/>
      <c r="F364" s="9"/>
      <c r="G364" s="9"/>
      <c r="H364" s="9"/>
      <c r="N364" s="9"/>
    </row>
    <row r="365" spans="2:14" x14ac:dyDescent="0.25">
      <c r="B365" s="9"/>
      <c r="C365" s="9"/>
      <c r="D365" s="9"/>
      <c r="E365" s="9"/>
      <c r="F365" s="9"/>
      <c r="G365" s="9"/>
      <c r="H365" s="9"/>
      <c r="N365" s="9"/>
    </row>
    <row r="366" spans="2:14" x14ac:dyDescent="0.25">
      <c r="B366" s="9"/>
      <c r="C366" s="9"/>
      <c r="D366" s="9"/>
      <c r="E366" s="9"/>
      <c r="F366" s="9"/>
      <c r="G366" s="9"/>
      <c r="H366" s="9"/>
      <c r="N366" s="9"/>
    </row>
    <row r="367" spans="2:14" x14ac:dyDescent="0.25">
      <c r="B367" s="9"/>
      <c r="C367" s="9"/>
      <c r="D367" s="9"/>
      <c r="E367" s="9"/>
      <c r="F367" s="9"/>
      <c r="G367" s="9"/>
      <c r="H367" s="9"/>
      <c r="N367" s="9"/>
    </row>
    <row r="368" spans="2:14" x14ac:dyDescent="0.25">
      <c r="B368" s="9"/>
      <c r="C368" s="9"/>
      <c r="D368" s="9"/>
      <c r="E368" s="9"/>
      <c r="F368" s="9"/>
      <c r="G368" s="9"/>
      <c r="H368" s="9"/>
      <c r="N368" s="9"/>
    </row>
    <row r="370" spans="2:15" x14ac:dyDescent="0.25">
      <c r="B370" s="47"/>
      <c r="N370" s="44"/>
      <c r="O370" s="33"/>
    </row>
    <row r="371" spans="2:15" x14ac:dyDescent="0.25">
      <c r="B371" s="9"/>
      <c r="C371" s="9"/>
      <c r="F371" s="9"/>
      <c r="G371" s="9"/>
      <c r="H371" s="9"/>
      <c r="I371" s="9"/>
      <c r="J371" s="9"/>
      <c r="K371" s="9"/>
      <c r="L371" s="9"/>
      <c r="M371" s="9"/>
      <c r="N371" s="9"/>
      <c r="O371" s="44"/>
    </row>
    <row r="372" spans="2:15" x14ac:dyDescent="0.25">
      <c r="B372" s="34"/>
      <c r="C372" s="33"/>
      <c r="D372" s="33"/>
      <c r="E372" s="33"/>
      <c r="F372" s="34"/>
      <c r="G372" s="34"/>
      <c r="H372" s="34"/>
      <c r="I372" s="33"/>
      <c r="J372" s="33"/>
      <c r="K372" s="33"/>
      <c r="L372" s="33"/>
      <c r="M372" s="33"/>
      <c r="N372" s="34"/>
      <c r="O372" s="34"/>
    </row>
    <row r="373" spans="2:15" x14ac:dyDescent="0.25">
      <c r="B373" s="33"/>
      <c r="C373" s="33"/>
      <c r="D373" s="33"/>
      <c r="E373" s="33"/>
      <c r="F373" s="33"/>
      <c r="G373" s="34"/>
      <c r="H373" s="33"/>
      <c r="I373" s="33"/>
      <c r="J373" s="33"/>
      <c r="K373" s="33"/>
      <c r="L373" s="33"/>
      <c r="M373" s="33"/>
      <c r="N373" s="44"/>
      <c r="O373" s="33"/>
    </row>
    <row r="374" spans="2:15" x14ac:dyDescent="0.25">
      <c r="B374" s="33"/>
      <c r="C374" s="33"/>
      <c r="D374" s="33"/>
      <c r="E374" s="33"/>
      <c r="F374" s="33"/>
      <c r="G374" s="34"/>
      <c r="H374" s="33"/>
      <c r="I374" s="33"/>
      <c r="J374" s="33"/>
      <c r="K374" s="33"/>
      <c r="L374" s="33"/>
      <c r="M374" s="33"/>
      <c r="N374" s="44"/>
      <c r="O374" s="33"/>
    </row>
    <row r="375" spans="2:15" x14ac:dyDescent="0.25">
      <c r="B375" s="34"/>
      <c r="C375" s="34"/>
      <c r="D375" s="34"/>
      <c r="E375" s="34"/>
      <c r="F375" s="34"/>
      <c r="G375" s="34"/>
      <c r="H375" s="34"/>
      <c r="I375" s="33"/>
      <c r="J375" s="33"/>
      <c r="K375" s="33"/>
      <c r="L375" s="33"/>
      <c r="M375" s="33"/>
      <c r="N375" s="44"/>
      <c r="O375" s="33"/>
    </row>
    <row r="376" spans="2:15" x14ac:dyDescent="0.25"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33"/>
    </row>
    <row r="377" spans="2:15" x14ac:dyDescent="0.25">
      <c r="B377" s="45"/>
      <c r="C377" s="33"/>
      <c r="D377" s="33"/>
      <c r="E377" s="33"/>
      <c r="F377" s="33"/>
      <c r="G377" s="34"/>
      <c r="H377" s="33"/>
      <c r="I377" s="33"/>
      <c r="J377" s="33"/>
      <c r="K377" s="33"/>
      <c r="L377" s="33"/>
      <c r="M377" s="33"/>
      <c r="N377" s="44"/>
      <c r="O377" s="33"/>
    </row>
    <row r="378" spans="2:15" x14ac:dyDescent="0.25">
      <c r="B378" s="45"/>
      <c r="C378" s="33"/>
      <c r="D378" s="33"/>
      <c r="E378" s="33"/>
      <c r="F378" s="33"/>
      <c r="G378" s="34"/>
      <c r="H378" s="33"/>
      <c r="I378" s="40"/>
      <c r="J378" s="40"/>
      <c r="K378" s="40"/>
      <c r="L378" s="40"/>
      <c r="M378" s="40"/>
      <c r="N378" s="44"/>
      <c r="O378" s="40"/>
    </row>
    <row r="379" spans="2:15" x14ac:dyDescent="0.25">
      <c r="B379" s="45"/>
      <c r="C379" s="33"/>
      <c r="D379" s="33"/>
      <c r="E379" s="33"/>
      <c r="F379" s="33"/>
      <c r="G379" s="34"/>
      <c r="H379" s="33"/>
      <c r="I379" s="33"/>
      <c r="J379" s="33"/>
      <c r="K379" s="33"/>
      <c r="L379" s="33"/>
      <c r="M379" s="33"/>
      <c r="N379" s="44"/>
      <c r="O379" s="33"/>
    </row>
    <row r="380" spans="2:15" x14ac:dyDescent="0.25">
      <c r="B380" s="45"/>
      <c r="C380" s="33"/>
      <c r="D380" s="33"/>
      <c r="E380" s="33"/>
      <c r="F380" s="33"/>
      <c r="G380" s="34"/>
      <c r="H380" s="33"/>
      <c r="I380" s="33"/>
      <c r="J380" s="33"/>
      <c r="K380" s="33"/>
      <c r="L380" s="33"/>
      <c r="M380" s="33"/>
      <c r="N380" s="44"/>
      <c r="O380" s="33"/>
    </row>
    <row r="381" spans="2:15" x14ac:dyDescent="0.25"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33"/>
    </row>
    <row r="382" spans="2:15" x14ac:dyDescent="0.25">
      <c r="B382" s="45"/>
      <c r="C382" s="33"/>
      <c r="D382" s="33"/>
      <c r="E382" s="33"/>
      <c r="F382" s="33"/>
      <c r="G382" s="34"/>
      <c r="H382" s="33"/>
      <c r="I382" s="33"/>
      <c r="J382" s="33"/>
      <c r="K382" s="33"/>
      <c r="L382" s="33"/>
      <c r="M382" s="33"/>
      <c r="N382" s="44"/>
      <c r="O382" s="33"/>
    </row>
    <row r="383" spans="2:15" x14ac:dyDescent="0.25">
      <c r="B383" s="34"/>
      <c r="C383" s="34"/>
      <c r="D383" s="34"/>
      <c r="E383" s="34"/>
      <c r="F383" s="34"/>
      <c r="G383" s="34"/>
      <c r="H383" s="34"/>
      <c r="I383" s="40"/>
      <c r="J383" s="40"/>
      <c r="K383" s="40"/>
      <c r="L383" s="40"/>
      <c r="M383" s="40"/>
      <c r="N383" s="44"/>
      <c r="O383" s="33"/>
    </row>
    <row r="384" spans="2:15" x14ac:dyDescent="0.25">
      <c r="B384" s="45"/>
      <c r="C384" s="33"/>
      <c r="D384" s="33"/>
      <c r="E384" s="33"/>
      <c r="F384" s="33"/>
      <c r="G384" s="34"/>
      <c r="H384" s="33"/>
      <c r="I384" s="33"/>
      <c r="J384" s="33"/>
      <c r="K384" s="33"/>
      <c r="L384" s="33"/>
      <c r="M384" s="33"/>
      <c r="N384" s="44"/>
      <c r="O384" s="33"/>
    </row>
    <row r="385" spans="2:15" x14ac:dyDescent="0.25">
      <c r="B385" s="45"/>
      <c r="C385" s="33"/>
      <c r="D385" s="33"/>
      <c r="E385" s="33"/>
      <c r="F385" s="33"/>
      <c r="G385" s="34"/>
      <c r="H385" s="33"/>
      <c r="I385" s="33"/>
      <c r="J385" s="33"/>
      <c r="K385" s="33"/>
      <c r="L385" s="33"/>
      <c r="M385" s="33"/>
      <c r="N385" s="44"/>
      <c r="O385" s="33"/>
    </row>
    <row r="386" spans="2:15" x14ac:dyDescent="0.25">
      <c r="B386" s="45"/>
      <c r="C386" s="33"/>
      <c r="D386" s="33"/>
      <c r="E386" s="33"/>
      <c r="F386" s="33"/>
      <c r="G386" s="34"/>
      <c r="H386" s="33"/>
      <c r="I386" s="33"/>
      <c r="J386" s="33"/>
      <c r="K386" s="33"/>
      <c r="L386" s="33"/>
      <c r="M386" s="33"/>
      <c r="N386" s="44"/>
      <c r="O386" s="33"/>
    </row>
    <row r="387" spans="2:15" x14ac:dyDescent="0.25">
      <c r="B387" s="45"/>
      <c r="C387" s="33"/>
      <c r="D387" s="33"/>
      <c r="E387" s="33"/>
      <c r="F387" s="33"/>
      <c r="G387" s="34"/>
      <c r="H387" s="33"/>
      <c r="I387" s="33"/>
      <c r="J387" s="33"/>
      <c r="K387" s="33"/>
      <c r="L387" s="33"/>
      <c r="M387" s="33"/>
      <c r="N387" s="44"/>
      <c r="O387" s="33"/>
    </row>
    <row r="388" spans="2:15" x14ac:dyDescent="0.25">
      <c r="B388" s="45"/>
      <c r="C388" s="33"/>
      <c r="D388" s="33"/>
      <c r="E388" s="33"/>
      <c r="F388" s="33"/>
      <c r="G388" s="34"/>
      <c r="H388" s="33"/>
      <c r="I388" s="33"/>
      <c r="J388" s="33"/>
      <c r="K388" s="33"/>
      <c r="L388" s="33"/>
      <c r="M388" s="33"/>
      <c r="N388" s="44"/>
      <c r="O388" s="33"/>
    </row>
    <row r="389" spans="2:15" x14ac:dyDescent="0.25"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33"/>
    </row>
    <row r="390" spans="2:15" x14ac:dyDescent="0.25">
      <c r="B390" s="45"/>
      <c r="C390" s="33"/>
      <c r="D390" s="33"/>
      <c r="E390" s="33"/>
      <c r="F390" s="33"/>
      <c r="G390" s="34"/>
      <c r="H390" s="33"/>
      <c r="I390" s="33"/>
      <c r="J390" s="33"/>
      <c r="K390" s="33"/>
      <c r="L390" s="33"/>
      <c r="M390" s="33"/>
      <c r="N390" s="44"/>
      <c r="O390" s="33"/>
    </row>
    <row r="391" spans="2:15" x14ac:dyDescent="0.25">
      <c r="B391" s="45"/>
      <c r="C391" s="33"/>
      <c r="D391" s="33"/>
      <c r="E391" s="33"/>
      <c r="F391" s="33"/>
      <c r="G391" s="34"/>
      <c r="H391" s="33"/>
      <c r="I391" s="40"/>
      <c r="J391" s="40"/>
      <c r="K391" s="40"/>
      <c r="L391" s="40"/>
      <c r="M391" s="40"/>
      <c r="N391" s="44"/>
      <c r="O391" s="33"/>
    </row>
    <row r="392" spans="2:15" x14ac:dyDescent="0.25">
      <c r="B392" s="45"/>
      <c r="C392" s="33"/>
      <c r="D392" s="33"/>
      <c r="E392" s="33"/>
      <c r="F392" s="33"/>
      <c r="G392" s="34"/>
      <c r="H392" s="33"/>
      <c r="I392" s="33"/>
      <c r="J392" s="33"/>
      <c r="K392" s="33"/>
      <c r="L392" s="33"/>
      <c r="M392" s="33"/>
      <c r="N392" s="44"/>
      <c r="O392" s="33"/>
    </row>
    <row r="393" spans="2:15" x14ac:dyDescent="0.25">
      <c r="B393" s="45"/>
      <c r="C393" s="33"/>
      <c r="D393" s="33"/>
      <c r="E393" s="33"/>
      <c r="F393" s="33"/>
      <c r="G393" s="34"/>
      <c r="H393" s="33"/>
      <c r="I393" s="33"/>
      <c r="J393" s="33"/>
      <c r="K393" s="33"/>
      <c r="L393" s="33"/>
      <c r="M393" s="33"/>
      <c r="N393" s="44"/>
      <c r="O393" s="33"/>
    </row>
    <row r="394" spans="2:15" x14ac:dyDescent="0.25"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33"/>
    </row>
    <row r="395" spans="2:15" x14ac:dyDescent="0.25">
      <c r="B395" s="46"/>
      <c r="C395" s="33"/>
      <c r="D395" s="33"/>
      <c r="E395" s="33"/>
      <c r="F395" s="33"/>
      <c r="G395" s="34"/>
      <c r="H395" s="33"/>
      <c r="I395" s="33"/>
      <c r="J395" s="33"/>
      <c r="K395" s="33"/>
      <c r="L395" s="33"/>
      <c r="M395" s="33"/>
      <c r="N395" s="44"/>
      <c r="O395" s="33"/>
    </row>
    <row r="396" spans="2:15" x14ac:dyDescent="0.25"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33"/>
    </row>
    <row r="397" spans="2:15" x14ac:dyDescent="0.25">
      <c r="B397" s="33"/>
      <c r="C397" s="33"/>
      <c r="D397" s="33"/>
      <c r="E397" s="33"/>
      <c r="F397" s="33"/>
      <c r="G397" s="34"/>
      <c r="H397" s="33"/>
      <c r="I397" s="33"/>
      <c r="J397" s="33"/>
      <c r="K397" s="33"/>
      <c r="L397" s="33"/>
      <c r="M397" s="33"/>
      <c r="N397" s="44"/>
      <c r="O397" s="33"/>
    </row>
    <row r="398" spans="2:15" x14ac:dyDescent="0.25">
      <c r="B398" s="33"/>
      <c r="C398" s="33"/>
      <c r="D398" s="33"/>
      <c r="E398" s="33"/>
      <c r="F398" s="33"/>
      <c r="G398" s="34"/>
      <c r="H398" s="33"/>
      <c r="I398" s="40"/>
      <c r="J398" s="40"/>
      <c r="K398" s="40"/>
      <c r="L398" s="40"/>
      <c r="M398" s="40"/>
      <c r="N398" s="44"/>
      <c r="O398" s="33"/>
    </row>
    <row r="399" spans="2:15" x14ac:dyDescent="0.25">
      <c r="B399" s="33"/>
      <c r="C399" s="33"/>
      <c r="D399" s="33"/>
      <c r="E399" s="33"/>
      <c r="F399" s="33"/>
      <c r="G399" s="34"/>
      <c r="H399" s="33"/>
      <c r="I399" s="33"/>
      <c r="J399" s="33"/>
      <c r="K399" s="33"/>
      <c r="L399" s="33"/>
      <c r="M399" s="33"/>
      <c r="N399" s="44"/>
      <c r="O399" s="33"/>
    </row>
    <row r="400" spans="2:15" x14ac:dyDescent="0.25">
      <c r="B400" s="33"/>
      <c r="C400" s="33"/>
      <c r="D400" s="33"/>
      <c r="E400" s="33"/>
      <c r="F400" s="33"/>
      <c r="G400" s="34"/>
      <c r="H400" s="33"/>
      <c r="I400" s="33"/>
      <c r="J400" s="33"/>
      <c r="K400" s="33"/>
      <c r="L400" s="33"/>
      <c r="M400" s="33"/>
      <c r="N400" s="44"/>
      <c r="O400" s="33"/>
    </row>
    <row r="401" spans="2:15" x14ac:dyDescent="0.25"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33"/>
    </row>
    <row r="402" spans="2:15" x14ac:dyDescent="0.25">
      <c r="B402" s="33"/>
      <c r="C402" s="33"/>
      <c r="D402" s="33"/>
      <c r="E402" s="33"/>
      <c r="F402" s="33"/>
      <c r="G402" s="34"/>
      <c r="H402" s="33"/>
      <c r="I402" s="33"/>
      <c r="J402" s="33"/>
      <c r="K402" s="33"/>
      <c r="L402" s="33"/>
      <c r="M402" s="33"/>
      <c r="N402" s="44"/>
      <c r="O402" s="33"/>
    </row>
    <row r="403" spans="2:15" x14ac:dyDescent="0.25">
      <c r="B403" s="34"/>
      <c r="C403" s="34"/>
      <c r="D403" s="34"/>
      <c r="E403" s="34"/>
      <c r="F403" s="34"/>
      <c r="G403" s="34"/>
      <c r="H403" s="34"/>
      <c r="I403" s="40"/>
      <c r="J403" s="40"/>
      <c r="K403" s="40"/>
      <c r="L403" s="40"/>
      <c r="M403" s="40"/>
      <c r="N403" s="44"/>
      <c r="O403" s="33"/>
    </row>
    <row r="404" spans="2:15" x14ac:dyDescent="0.25"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33"/>
    </row>
    <row r="405" spans="2:15" x14ac:dyDescent="0.25">
      <c r="B405" s="33"/>
      <c r="C405" s="33"/>
      <c r="D405" s="33"/>
      <c r="E405" s="33"/>
      <c r="F405" s="33"/>
      <c r="G405" s="34"/>
      <c r="H405" s="33"/>
      <c r="I405" s="33"/>
      <c r="J405" s="33"/>
      <c r="K405" s="33"/>
      <c r="L405" s="33"/>
      <c r="M405" s="33"/>
      <c r="N405" s="44"/>
      <c r="O405" s="33"/>
    </row>
    <row r="406" spans="2:15" x14ac:dyDescent="0.25"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33"/>
    </row>
    <row r="407" spans="2:15" x14ac:dyDescent="0.25">
      <c r="B407" s="34"/>
      <c r="C407" s="34"/>
      <c r="D407" s="34"/>
      <c r="E407" s="34"/>
      <c r="F407" s="34"/>
      <c r="G407" s="34"/>
      <c r="H407" s="34"/>
      <c r="I407" s="33"/>
      <c r="J407" s="33"/>
      <c r="K407" s="33"/>
      <c r="L407" s="33"/>
      <c r="M407" s="33"/>
      <c r="N407" s="44"/>
      <c r="O407" s="33"/>
    </row>
    <row r="408" spans="2:15" x14ac:dyDescent="0.25">
      <c r="B408" s="34"/>
      <c r="C408" s="34"/>
      <c r="D408" s="34"/>
      <c r="E408" s="34"/>
      <c r="F408" s="34"/>
      <c r="G408" s="34"/>
      <c r="H408" s="34"/>
      <c r="I408" s="40"/>
      <c r="J408" s="40"/>
      <c r="K408" s="40"/>
      <c r="L408" s="40"/>
      <c r="M408" s="40"/>
      <c r="N408" s="44"/>
      <c r="O408" s="33"/>
    </row>
    <row r="409" spans="2:15" x14ac:dyDescent="0.25">
      <c r="B409" s="4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3"/>
    </row>
    <row r="410" spans="2:15" x14ac:dyDescent="0.25">
      <c r="B410" s="34"/>
      <c r="C410" s="34"/>
      <c r="D410" s="34"/>
      <c r="E410" s="34"/>
      <c r="F410" s="34"/>
      <c r="G410" s="34"/>
      <c r="H410" s="34"/>
      <c r="I410" s="33"/>
      <c r="J410" s="33"/>
      <c r="K410" s="33"/>
      <c r="L410" s="33"/>
      <c r="M410" s="33"/>
      <c r="N410" s="44"/>
      <c r="O410" s="33"/>
    </row>
    <row r="411" spans="2:15" x14ac:dyDescent="0.25"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33"/>
    </row>
    <row r="412" spans="2:15" x14ac:dyDescent="0.25">
      <c r="B412" s="33"/>
      <c r="C412" s="33"/>
      <c r="D412" s="33"/>
      <c r="E412" s="33"/>
      <c r="F412" s="33"/>
      <c r="G412" s="34"/>
      <c r="H412" s="33"/>
      <c r="I412" s="33"/>
      <c r="J412" s="33"/>
      <c r="K412" s="33"/>
      <c r="L412" s="33"/>
      <c r="M412" s="33"/>
      <c r="N412" s="44"/>
      <c r="O412" s="33"/>
    </row>
    <row r="413" spans="2:15" x14ac:dyDescent="0.25">
      <c r="B413" s="34"/>
      <c r="C413" s="34"/>
      <c r="D413" s="34"/>
      <c r="E413" s="34"/>
      <c r="F413" s="34"/>
      <c r="G413" s="34"/>
      <c r="H413" s="34"/>
      <c r="I413" s="40"/>
      <c r="J413" s="40"/>
      <c r="K413" s="40"/>
      <c r="L413" s="40"/>
      <c r="M413" s="40"/>
      <c r="N413" s="44"/>
      <c r="O413" s="33"/>
    </row>
    <row r="414" spans="2:15" x14ac:dyDescent="0.25"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33"/>
    </row>
    <row r="415" spans="2:15" x14ac:dyDescent="0.25">
      <c r="B415" s="33"/>
      <c r="C415" s="33"/>
      <c r="D415" s="33"/>
      <c r="E415" s="33"/>
      <c r="F415" s="33"/>
      <c r="G415" s="34"/>
      <c r="H415" s="33"/>
      <c r="I415" s="33"/>
      <c r="J415" s="33"/>
      <c r="K415" s="33"/>
      <c r="L415" s="33"/>
      <c r="M415" s="33"/>
      <c r="N415" s="44"/>
      <c r="O415" s="33"/>
    </row>
    <row r="416" spans="2:15" x14ac:dyDescent="0.25">
      <c r="B416" s="33"/>
      <c r="C416" s="33"/>
      <c r="D416" s="33"/>
      <c r="E416" s="33"/>
      <c r="F416" s="33"/>
      <c r="G416" s="34"/>
      <c r="H416" s="33"/>
      <c r="I416" s="40"/>
      <c r="J416" s="40"/>
      <c r="K416" s="40"/>
      <c r="L416" s="40"/>
      <c r="M416" s="40"/>
      <c r="N416" s="44"/>
      <c r="O416" s="33"/>
    </row>
    <row r="417" spans="2:15" x14ac:dyDescent="0.25">
      <c r="B417" s="33"/>
      <c r="C417" s="33"/>
      <c r="D417" s="33"/>
      <c r="E417" s="33"/>
      <c r="F417" s="33"/>
      <c r="G417" s="34"/>
      <c r="H417" s="33"/>
      <c r="I417" s="33"/>
      <c r="J417" s="33"/>
      <c r="K417" s="33"/>
      <c r="L417" s="33"/>
      <c r="M417" s="33"/>
      <c r="N417" s="44"/>
      <c r="O417" s="33"/>
    </row>
    <row r="418" spans="2:15" x14ac:dyDescent="0.25">
      <c r="B418" s="33"/>
      <c r="C418" s="33"/>
      <c r="D418" s="33"/>
      <c r="E418" s="33"/>
      <c r="F418" s="33"/>
      <c r="G418" s="34"/>
      <c r="H418" s="33"/>
      <c r="I418" s="33"/>
      <c r="J418" s="33"/>
      <c r="K418" s="33"/>
      <c r="L418" s="33"/>
      <c r="M418" s="33"/>
      <c r="N418" s="44"/>
      <c r="O418" s="33"/>
    </row>
    <row r="419" spans="2:15" x14ac:dyDescent="0.25"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33"/>
    </row>
    <row r="420" spans="2:15" x14ac:dyDescent="0.25">
      <c r="B420" s="34"/>
      <c r="C420" s="43"/>
      <c r="D420" s="34"/>
      <c r="E420" s="34"/>
      <c r="F420" s="43"/>
      <c r="G420" s="43"/>
      <c r="H420" s="43"/>
      <c r="I420" s="33"/>
      <c r="J420" s="33"/>
      <c r="K420" s="33"/>
      <c r="L420" s="33"/>
      <c r="M420" s="33"/>
      <c r="N420" s="44"/>
      <c r="O420" s="33"/>
    </row>
    <row r="421" spans="2:15" x14ac:dyDescent="0.25">
      <c r="B421" s="34"/>
      <c r="C421" s="34"/>
      <c r="D421" s="34"/>
      <c r="E421" s="34"/>
      <c r="F421" s="34"/>
      <c r="G421" s="43"/>
      <c r="H421" s="34"/>
      <c r="I421" s="40"/>
      <c r="J421" s="40"/>
      <c r="K421" s="40"/>
      <c r="L421" s="40"/>
      <c r="M421" s="40"/>
      <c r="N421" s="44"/>
      <c r="O421" s="40"/>
    </row>
    <row r="422" spans="2:15" x14ac:dyDescent="0.25">
      <c r="B422" s="34"/>
      <c r="C422" s="34"/>
      <c r="D422" s="34"/>
      <c r="E422" s="34"/>
      <c r="F422" s="34"/>
      <c r="G422" s="43"/>
      <c r="H422" s="34"/>
      <c r="I422" s="33"/>
      <c r="J422" s="33"/>
      <c r="K422" s="33"/>
      <c r="L422" s="33"/>
      <c r="M422" s="33"/>
      <c r="N422" s="44"/>
      <c r="O422" s="33"/>
    </row>
    <row r="423" spans="2:15" x14ac:dyDescent="0.25">
      <c r="B423" s="34"/>
      <c r="C423" s="34"/>
      <c r="D423" s="34"/>
      <c r="E423" s="34"/>
      <c r="F423" s="34"/>
      <c r="G423" s="34"/>
      <c r="H423" s="34"/>
      <c r="I423" s="33"/>
      <c r="J423" s="33"/>
      <c r="K423" s="33"/>
      <c r="L423" s="33"/>
      <c r="M423" s="33"/>
      <c r="N423" s="34"/>
      <c r="O423" s="33"/>
    </row>
    <row r="424" spans="2:15" x14ac:dyDescent="0.25">
      <c r="B424" s="34"/>
      <c r="C424" s="34"/>
      <c r="D424" s="34"/>
      <c r="E424" s="34"/>
      <c r="F424" s="34"/>
      <c r="G424" s="34"/>
      <c r="H424" s="34"/>
      <c r="I424" s="33"/>
      <c r="J424" s="33"/>
      <c r="K424" s="33"/>
      <c r="L424" s="33"/>
      <c r="M424" s="33"/>
      <c r="N424" s="34"/>
      <c r="O424" s="33"/>
    </row>
    <row r="425" spans="2:15" x14ac:dyDescent="0.25"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</row>
    <row r="426" spans="2:15" x14ac:dyDescent="0.25"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</row>
    <row r="427" spans="2:15" x14ac:dyDescent="0.25"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</row>
    <row r="428" spans="2:15" x14ac:dyDescent="0.25"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</row>
    <row r="429" spans="2:15" x14ac:dyDescent="0.25"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</row>
    <row r="430" spans="2:15" x14ac:dyDescent="0.25"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</row>
    <row r="431" spans="2:15" x14ac:dyDescent="0.25"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</row>
    <row r="432" spans="2:15" x14ac:dyDescent="0.25"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</row>
    <row r="433" spans="2:15" x14ac:dyDescent="0.25"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</row>
    <row r="434" spans="2:15" x14ac:dyDescent="0.25"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</row>
    <row r="435" spans="2:15" x14ac:dyDescent="0.25"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</row>
    <row r="436" spans="2:15" x14ac:dyDescent="0.25"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</row>
    <row r="437" spans="2:15" x14ac:dyDescent="0.25"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</row>
    <row r="438" spans="2:15" x14ac:dyDescent="0.25"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</row>
    <row r="439" spans="2:15" x14ac:dyDescent="0.25"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</row>
    <row r="440" spans="2:15" x14ac:dyDescent="0.25"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</row>
    <row r="441" spans="2:15" x14ac:dyDescent="0.25"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</row>
    <row r="442" spans="2:15" x14ac:dyDescent="0.25"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selection activeCell="H16" sqref="H16"/>
    </sheetView>
  </sheetViews>
  <sheetFormatPr defaultRowHeight="15" x14ac:dyDescent="0.25"/>
  <cols>
    <col min="1" max="1" width="21.85546875" bestFit="1" customWidth="1"/>
  </cols>
  <sheetData>
    <row r="1" spans="1:7" x14ac:dyDescent="0.25">
      <c r="A1" s="1" t="s">
        <v>126</v>
      </c>
      <c r="B1" s="1" t="s">
        <v>1</v>
      </c>
      <c r="C1" s="1" t="s">
        <v>2</v>
      </c>
      <c r="D1" s="1" t="s">
        <v>3</v>
      </c>
      <c r="E1" s="1" t="s">
        <v>9</v>
      </c>
    </row>
    <row r="2" spans="1:7" x14ac:dyDescent="0.25">
      <c r="A2" t="s">
        <v>224</v>
      </c>
      <c r="B2" t="s">
        <v>110</v>
      </c>
      <c r="C2" t="s">
        <v>11</v>
      </c>
      <c r="D2">
        <v>1</v>
      </c>
      <c r="E2">
        <f>(1+0.2137)*G2</f>
        <v>1.2137</v>
      </c>
      <c r="G2">
        <v>1</v>
      </c>
    </row>
    <row r="3" spans="1:7" x14ac:dyDescent="0.25">
      <c r="A3" t="s">
        <v>225</v>
      </c>
      <c r="B3" t="s">
        <v>110</v>
      </c>
      <c r="C3" t="s">
        <v>11</v>
      </c>
      <c r="D3">
        <v>1</v>
      </c>
      <c r="E3">
        <f>(1-0.032)</f>
        <v>0.96799999999999997</v>
      </c>
    </row>
    <row r="4" spans="1:7" x14ac:dyDescent="0.25">
      <c r="A4" t="s">
        <v>226</v>
      </c>
      <c r="B4" t="s">
        <v>110</v>
      </c>
      <c r="C4" t="s">
        <v>11</v>
      </c>
      <c r="D4">
        <v>1</v>
      </c>
      <c r="E4">
        <f>(1+0.3845)*G2</f>
        <v>1.3845000000000001</v>
      </c>
    </row>
    <row r="5" spans="1:7" x14ac:dyDescent="0.25">
      <c r="A5" t="s">
        <v>227</v>
      </c>
      <c r="B5" t="s">
        <v>110</v>
      </c>
      <c r="C5" t="s">
        <v>11</v>
      </c>
      <c r="D5">
        <v>1</v>
      </c>
      <c r="E5">
        <f>(1+0.2833)*G2</f>
        <v>1.2833000000000001</v>
      </c>
    </row>
    <row r="6" spans="1:7" x14ac:dyDescent="0.25">
      <c r="A6" t="s">
        <v>228</v>
      </c>
      <c r="B6" t="s">
        <v>110</v>
      </c>
      <c r="C6" t="s">
        <v>11</v>
      </c>
      <c r="D6">
        <v>1</v>
      </c>
      <c r="E6">
        <f>(1+0.2535)*G2</f>
        <v>1.2535000000000001</v>
      </c>
    </row>
    <row r="7" spans="1:7" x14ac:dyDescent="0.25">
      <c r="A7" t="s">
        <v>229</v>
      </c>
      <c r="B7" t="s">
        <v>110</v>
      </c>
      <c r="C7" t="s">
        <v>11</v>
      </c>
      <c r="D7">
        <v>1</v>
      </c>
      <c r="E7">
        <f>(1+0.2004)*G2</f>
        <v>1.2003999999999999</v>
      </c>
    </row>
    <row r="8" spans="1:7" x14ac:dyDescent="0.25">
      <c r="A8" t="s">
        <v>230</v>
      </c>
      <c r="B8" t="s">
        <v>110</v>
      </c>
      <c r="C8" t="s">
        <v>11</v>
      </c>
      <c r="D8">
        <v>1</v>
      </c>
      <c r="E8">
        <f>(1+0.0828)*G2</f>
        <v>1.0828</v>
      </c>
    </row>
    <row r="9" spans="1:7" x14ac:dyDescent="0.25">
      <c r="A9" t="s">
        <v>231</v>
      </c>
      <c r="B9" t="s">
        <v>110</v>
      </c>
      <c r="C9" t="s">
        <v>11</v>
      </c>
      <c r="D9">
        <v>1</v>
      </c>
      <c r="E9">
        <f>(1+0.23353)*G2</f>
        <v>1.23353</v>
      </c>
    </row>
    <row r="10" spans="1:7" x14ac:dyDescent="0.25">
      <c r="A10" t="s">
        <v>232</v>
      </c>
      <c r="B10" t="s">
        <v>110</v>
      </c>
      <c r="C10" t="s">
        <v>11</v>
      </c>
      <c r="D10">
        <v>1</v>
      </c>
      <c r="E10">
        <f>(1+0.2385)*G2</f>
        <v>1.2384999999999999</v>
      </c>
    </row>
    <row r="11" spans="1:7" x14ac:dyDescent="0.25">
      <c r="A11" t="s">
        <v>233</v>
      </c>
      <c r="B11" t="s">
        <v>110</v>
      </c>
      <c r="C11" t="s">
        <v>11</v>
      </c>
      <c r="D11">
        <v>1</v>
      </c>
      <c r="E11">
        <f>(1+0.1027)*G2</f>
        <v>1.1027</v>
      </c>
    </row>
    <row r="12" spans="1:7" x14ac:dyDescent="0.25">
      <c r="A12" t="s">
        <v>68</v>
      </c>
      <c r="B12" t="s">
        <v>110</v>
      </c>
      <c r="C12" t="s">
        <v>11</v>
      </c>
      <c r="D12">
        <v>1</v>
      </c>
      <c r="E12">
        <f>(1+0.1387)*G2</f>
        <v>1.1387</v>
      </c>
    </row>
    <row r="13" spans="1:7" x14ac:dyDescent="0.25">
      <c r="A13" t="s">
        <v>38</v>
      </c>
      <c r="B13" t="s">
        <v>110</v>
      </c>
      <c r="C13" t="s">
        <v>11</v>
      </c>
      <c r="D13">
        <v>1</v>
      </c>
      <c r="E13">
        <f>(1+0.1387)*G2</f>
        <v>1.1387</v>
      </c>
    </row>
    <row r="14" spans="1:7" x14ac:dyDescent="0.25">
      <c r="A14" t="s">
        <v>69</v>
      </c>
      <c r="B14" t="s">
        <v>110</v>
      </c>
      <c r="C14" t="s">
        <v>11</v>
      </c>
      <c r="D14">
        <v>1</v>
      </c>
      <c r="E14">
        <f>(1+0.69)*G2</f>
        <v>1.69</v>
      </c>
    </row>
    <row r="15" spans="1:7" x14ac:dyDescent="0.25">
      <c r="A15" t="s">
        <v>70</v>
      </c>
      <c r="B15" t="s">
        <v>110</v>
      </c>
      <c r="C15" t="s">
        <v>11</v>
      </c>
      <c r="D15">
        <v>1</v>
      </c>
      <c r="E15">
        <f>(1+0.195)*G2</f>
        <v>1.1950000000000001</v>
      </c>
    </row>
    <row r="16" spans="1:7" x14ac:dyDescent="0.25">
      <c r="A16" t="s">
        <v>234</v>
      </c>
      <c r="B16" t="s">
        <v>110</v>
      </c>
      <c r="C16" t="s">
        <v>11</v>
      </c>
      <c r="D16">
        <v>1</v>
      </c>
      <c r="E16">
        <f>(1+0.370317)*G2</f>
        <v>1.370317</v>
      </c>
    </row>
    <row r="17" spans="1:5" x14ac:dyDescent="0.25">
      <c r="A17" t="s">
        <v>235</v>
      </c>
      <c r="B17" t="s">
        <v>110</v>
      </c>
      <c r="C17" t="s">
        <v>11</v>
      </c>
      <c r="D17">
        <v>1</v>
      </c>
      <c r="E17">
        <f>(1+0.189)*G2</f>
        <v>1.1890000000000001</v>
      </c>
    </row>
    <row r="18" spans="1:5" x14ac:dyDescent="0.25">
      <c r="A18" t="s">
        <v>236</v>
      </c>
      <c r="B18" t="s">
        <v>110</v>
      </c>
      <c r="C18" t="s">
        <v>11</v>
      </c>
      <c r="D18">
        <v>1</v>
      </c>
      <c r="E18">
        <f>(1+0.29187)*G2</f>
        <v>1.2918700000000001</v>
      </c>
    </row>
    <row r="19" spans="1:5" x14ac:dyDescent="0.25">
      <c r="A19" t="s">
        <v>237</v>
      </c>
      <c r="B19" t="s">
        <v>110</v>
      </c>
      <c r="C19" t="s">
        <v>11</v>
      </c>
      <c r="D19">
        <v>1</v>
      </c>
      <c r="E19">
        <f>(1+0.256)*G2</f>
        <v>1.256</v>
      </c>
    </row>
    <row r="20" spans="1:5" x14ac:dyDescent="0.25">
      <c r="A20" t="s">
        <v>238</v>
      </c>
      <c r="B20" t="s">
        <v>110</v>
      </c>
      <c r="C20" t="s">
        <v>11</v>
      </c>
      <c r="D20">
        <v>1</v>
      </c>
      <c r="E20">
        <f>(1+0.396)*G2</f>
        <v>1.3959999999999999</v>
      </c>
    </row>
    <row r="21" spans="1:5" x14ac:dyDescent="0.25">
      <c r="A21" t="s">
        <v>239</v>
      </c>
      <c r="B21" t="s">
        <v>110</v>
      </c>
      <c r="C21" t="s">
        <v>11</v>
      </c>
      <c r="D21">
        <v>1</v>
      </c>
      <c r="E21">
        <f>1*G2</f>
        <v>1</v>
      </c>
    </row>
    <row r="22" spans="1:5" x14ac:dyDescent="0.25">
      <c r="A22" t="s">
        <v>240</v>
      </c>
      <c r="B22" t="s">
        <v>110</v>
      </c>
      <c r="C22" t="s">
        <v>11</v>
      </c>
      <c r="D22">
        <v>1</v>
      </c>
      <c r="E22">
        <f>1*G2</f>
        <v>1</v>
      </c>
    </row>
    <row r="23" spans="1:5" x14ac:dyDescent="0.25">
      <c r="A23" t="s">
        <v>241</v>
      </c>
      <c r="B23" t="s">
        <v>110</v>
      </c>
      <c r="C23" t="s">
        <v>11</v>
      </c>
      <c r="D23">
        <v>1</v>
      </c>
      <c r="E23">
        <f>(1+0.195)*G2</f>
        <v>1.1950000000000001</v>
      </c>
    </row>
    <row r="24" spans="1:5" x14ac:dyDescent="0.25">
      <c r="A24" t="s">
        <v>242</v>
      </c>
      <c r="B24" t="s">
        <v>110</v>
      </c>
      <c r="C24" t="s">
        <v>11</v>
      </c>
      <c r="D24">
        <v>1</v>
      </c>
      <c r="E24">
        <f>(1+0.195)*G2</f>
        <v>1.1950000000000001</v>
      </c>
    </row>
    <row r="25" spans="1:5" x14ac:dyDescent="0.25">
      <c r="A25" t="s">
        <v>243</v>
      </c>
      <c r="B25" t="s">
        <v>110</v>
      </c>
      <c r="C25" t="s">
        <v>11</v>
      </c>
      <c r="D25">
        <v>1</v>
      </c>
      <c r="E25">
        <f>(1+0.195)*G2</f>
        <v>1.1950000000000001</v>
      </c>
    </row>
    <row r="26" spans="1:5" x14ac:dyDescent="0.25">
      <c r="A26" t="s">
        <v>244</v>
      </c>
      <c r="B26" t="s">
        <v>110</v>
      </c>
      <c r="C26" t="s">
        <v>11</v>
      </c>
      <c r="D26">
        <v>1</v>
      </c>
      <c r="E26">
        <f>1*G2</f>
        <v>1</v>
      </c>
    </row>
    <row r="27" spans="1:5" x14ac:dyDescent="0.25">
      <c r="A27" t="s">
        <v>245</v>
      </c>
      <c r="B27" t="s">
        <v>110</v>
      </c>
      <c r="C27" t="s">
        <v>11</v>
      </c>
      <c r="D27">
        <v>1</v>
      </c>
      <c r="E27">
        <f>1*G2</f>
        <v>1</v>
      </c>
    </row>
    <row r="28" spans="1:5" x14ac:dyDescent="0.25">
      <c r="A28" t="s">
        <v>246</v>
      </c>
      <c r="B28" t="s">
        <v>110</v>
      </c>
      <c r="C28" t="s">
        <v>11</v>
      </c>
      <c r="D28">
        <v>1</v>
      </c>
      <c r="E28">
        <f>1*G2</f>
        <v>1</v>
      </c>
    </row>
    <row r="29" spans="1:5" x14ac:dyDescent="0.25">
      <c r="A29" t="s">
        <v>247</v>
      </c>
      <c r="B29" t="s">
        <v>110</v>
      </c>
      <c r="C29" t="s">
        <v>11</v>
      </c>
      <c r="D29">
        <v>1</v>
      </c>
      <c r="E29">
        <f>(1+0.2467)*G2</f>
        <v>1.2466999999999999</v>
      </c>
    </row>
    <row r="30" spans="1:5" x14ac:dyDescent="0.25">
      <c r="A30" t="s">
        <v>248</v>
      </c>
      <c r="B30" t="s">
        <v>110</v>
      </c>
      <c r="C30" t="s">
        <v>11</v>
      </c>
      <c r="D30">
        <v>1</v>
      </c>
      <c r="E30">
        <f>1*G2</f>
        <v>1</v>
      </c>
    </row>
    <row r="31" spans="1:5" x14ac:dyDescent="0.25">
      <c r="A31" t="s">
        <v>249</v>
      </c>
      <c r="B31" t="s">
        <v>110</v>
      </c>
      <c r="C31" t="s">
        <v>11</v>
      </c>
      <c r="D31">
        <v>1</v>
      </c>
      <c r="E31">
        <f>1*G2</f>
        <v>1</v>
      </c>
    </row>
    <row r="32" spans="1:5" x14ac:dyDescent="0.25">
      <c r="A32" t="s">
        <v>250</v>
      </c>
      <c r="B32" t="s">
        <v>110</v>
      </c>
      <c r="C32" t="s">
        <v>11</v>
      </c>
      <c r="D32">
        <v>1</v>
      </c>
      <c r="E32">
        <f>(1+0.195)*$G$2</f>
        <v>1.1950000000000001</v>
      </c>
    </row>
    <row r="33" spans="1:5" x14ac:dyDescent="0.25">
      <c r="A33" t="s">
        <v>251</v>
      </c>
      <c r="B33" t="s">
        <v>110</v>
      </c>
      <c r="C33" t="s">
        <v>11</v>
      </c>
      <c r="D33">
        <v>1</v>
      </c>
      <c r="E33">
        <f t="shared" ref="E33:E60" si="0">(1+0.195)*$G$2</f>
        <v>1.1950000000000001</v>
      </c>
    </row>
    <row r="34" spans="1:5" x14ac:dyDescent="0.25">
      <c r="A34" t="s">
        <v>252</v>
      </c>
      <c r="B34" t="s">
        <v>110</v>
      </c>
      <c r="C34" t="s">
        <v>11</v>
      </c>
      <c r="D34">
        <v>1</v>
      </c>
      <c r="E34">
        <f t="shared" si="0"/>
        <v>1.1950000000000001</v>
      </c>
    </row>
    <row r="35" spans="1:5" x14ac:dyDescent="0.25">
      <c r="A35" t="s">
        <v>36</v>
      </c>
      <c r="B35" t="s">
        <v>110</v>
      </c>
      <c r="C35" t="s">
        <v>11</v>
      </c>
      <c r="D35">
        <v>1</v>
      </c>
      <c r="E35">
        <f t="shared" si="0"/>
        <v>1.1950000000000001</v>
      </c>
    </row>
    <row r="36" spans="1:5" x14ac:dyDescent="0.25">
      <c r="A36" t="s">
        <v>253</v>
      </c>
      <c r="B36" t="s">
        <v>110</v>
      </c>
      <c r="C36" t="s">
        <v>11</v>
      </c>
      <c r="D36">
        <v>1</v>
      </c>
      <c r="E36">
        <f t="shared" si="0"/>
        <v>1.1950000000000001</v>
      </c>
    </row>
    <row r="37" spans="1:5" x14ac:dyDescent="0.25">
      <c r="A37" t="s">
        <v>254</v>
      </c>
      <c r="B37" t="s">
        <v>110</v>
      </c>
      <c r="C37" t="s">
        <v>11</v>
      </c>
      <c r="D37">
        <v>1</v>
      </c>
      <c r="E37">
        <f t="shared" si="0"/>
        <v>1.1950000000000001</v>
      </c>
    </row>
    <row r="38" spans="1:5" x14ac:dyDescent="0.25">
      <c r="A38" t="s">
        <v>255</v>
      </c>
      <c r="B38" t="s">
        <v>110</v>
      </c>
      <c r="C38" t="s">
        <v>11</v>
      </c>
      <c r="D38">
        <v>1</v>
      </c>
      <c r="E38">
        <f t="shared" si="0"/>
        <v>1.1950000000000001</v>
      </c>
    </row>
    <row r="39" spans="1:5" x14ac:dyDescent="0.25">
      <c r="A39" t="s">
        <v>256</v>
      </c>
      <c r="B39" t="s">
        <v>110</v>
      </c>
      <c r="C39" t="s">
        <v>11</v>
      </c>
      <c r="D39">
        <v>1</v>
      </c>
      <c r="E39">
        <f t="shared" si="0"/>
        <v>1.1950000000000001</v>
      </c>
    </row>
    <row r="40" spans="1:5" x14ac:dyDescent="0.25">
      <c r="A40" t="s">
        <v>42</v>
      </c>
      <c r="B40" t="s">
        <v>110</v>
      </c>
      <c r="C40" t="s">
        <v>11</v>
      </c>
      <c r="D40">
        <v>1</v>
      </c>
      <c r="E40">
        <f t="shared" si="0"/>
        <v>1.1950000000000001</v>
      </c>
    </row>
    <row r="41" spans="1:5" x14ac:dyDescent="0.25">
      <c r="A41" t="s">
        <v>49</v>
      </c>
      <c r="B41" t="s">
        <v>110</v>
      </c>
      <c r="C41" t="s">
        <v>11</v>
      </c>
      <c r="D41">
        <v>1</v>
      </c>
      <c r="E41">
        <f t="shared" si="0"/>
        <v>1.1950000000000001</v>
      </c>
    </row>
    <row r="42" spans="1:5" x14ac:dyDescent="0.25">
      <c r="A42" t="s">
        <v>50</v>
      </c>
      <c r="B42" t="s">
        <v>110</v>
      </c>
      <c r="C42" t="s">
        <v>11</v>
      </c>
      <c r="D42">
        <v>1</v>
      </c>
      <c r="E42">
        <f t="shared" si="0"/>
        <v>1.1950000000000001</v>
      </c>
    </row>
    <row r="43" spans="1:5" x14ac:dyDescent="0.25">
      <c r="A43" t="s">
        <v>51</v>
      </c>
      <c r="B43" t="s">
        <v>110</v>
      </c>
      <c r="C43" t="s">
        <v>11</v>
      </c>
      <c r="D43">
        <v>1</v>
      </c>
      <c r="E43">
        <f t="shared" si="0"/>
        <v>1.1950000000000001</v>
      </c>
    </row>
    <row r="44" spans="1:5" x14ac:dyDescent="0.25">
      <c r="A44" t="s">
        <v>44</v>
      </c>
      <c r="B44" t="s">
        <v>110</v>
      </c>
      <c r="C44" t="s">
        <v>11</v>
      </c>
      <c r="D44">
        <v>1</v>
      </c>
      <c r="E44">
        <f t="shared" si="0"/>
        <v>1.1950000000000001</v>
      </c>
    </row>
    <row r="45" spans="1:5" x14ac:dyDescent="0.25">
      <c r="A45" t="s">
        <v>47</v>
      </c>
      <c r="B45" t="s">
        <v>110</v>
      </c>
      <c r="C45" t="s">
        <v>11</v>
      </c>
      <c r="D45">
        <v>1</v>
      </c>
      <c r="E45">
        <f t="shared" si="0"/>
        <v>1.1950000000000001</v>
      </c>
    </row>
    <row r="46" spans="1:5" x14ac:dyDescent="0.25">
      <c r="A46" t="s">
        <v>48</v>
      </c>
      <c r="B46" t="s">
        <v>110</v>
      </c>
      <c r="C46" t="s">
        <v>11</v>
      </c>
      <c r="D46">
        <v>1</v>
      </c>
      <c r="E46">
        <f t="shared" si="0"/>
        <v>1.1950000000000001</v>
      </c>
    </row>
    <row r="47" spans="1:5" x14ac:dyDescent="0.25">
      <c r="A47" t="s">
        <v>257</v>
      </c>
      <c r="B47" t="s">
        <v>110</v>
      </c>
      <c r="C47" t="s">
        <v>11</v>
      </c>
      <c r="D47">
        <v>1</v>
      </c>
      <c r="E47">
        <f t="shared" si="0"/>
        <v>1.1950000000000001</v>
      </c>
    </row>
    <row r="48" spans="1:5" x14ac:dyDescent="0.25">
      <c r="A48" t="s">
        <v>258</v>
      </c>
      <c r="B48" t="s">
        <v>110</v>
      </c>
      <c r="C48" t="s">
        <v>11</v>
      </c>
      <c r="D48">
        <v>1</v>
      </c>
      <c r="E48">
        <f t="shared" si="0"/>
        <v>1.1950000000000001</v>
      </c>
    </row>
    <row r="49" spans="1:5" x14ac:dyDescent="0.25">
      <c r="A49" t="s">
        <v>259</v>
      </c>
      <c r="B49" t="s">
        <v>110</v>
      </c>
      <c r="C49" t="s">
        <v>11</v>
      </c>
      <c r="D49">
        <v>1</v>
      </c>
      <c r="E49">
        <f t="shared" si="0"/>
        <v>1.1950000000000001</v>
      </c>
    </row>
    <row r="50" spans="1:5" x14ac:dyDescent="0.25">
      <c r="A50" t="s">
        <v>260</v>
      </c>
      <c r="B50" t="s">
        <v>110</v>
      </c>
      <c r="C50" t="s">
        <v>11</v>
      </c>
      <c r="D50">
        <v>1</v>
      </c>
      <c r="E50">
        <f t="shared" si="0"/>
        <v>1.1950000000000001</v>
      </c>
    </row>
    <row r="51" spans="1:5" x14ac:dyDescent="0.25">
      <c r="A51" t="s">
        <v>261</v>
      </c>
      <c r="B51" t="s">
        <v>110</v>
      </c>
      <c r="C51" t="s">
        <v>11</v>
      </c>
      <c r="D51">
        <v>1</v>
      </c>
      <c r="E51">
        <f t="shared" si="0"/>
        <v>1.1950000000000001</v>
      </c>
    </row>
    <row r="52" spans="1:5" x14ac:dyDescent="0.25">
      <c r="A52" t="s">
        <v>262</v>
      </c>
      <c r="B52" t="s">
        <v>110</v>
      </c>
      <c r="C52" t="s">
        <v>11</v>
      </c>
      <c r="D52">
        <v>1</v>
      </c>
      <c r="E52">
        <f t="shared" si="0"/>
        <v>1.1950000000000001</v>
      </c>
    </row>
    <row r="53" spans="1:5" x14ac:dyDescent="0.25">
      <c r="A53" t="s">
        <v>263</v>
      </c>
      <c r="B53" t="s">
        <v>110</v>
      </c>
      <c r="C53" t="s">
        <v>11</v>
      </c>
      <c r="D53">
        <v>1</v>
      </c>
      <c r="E53">
        <f t="shared" si="0"/>
        <v>1.1950000000000001</v>
      </c>
    </row>
    <row r="54" spans="1:5" x14ac:dyDescent="0.25">
      <c r="A54" t="s">
        <v>135</v>
      </c>
      <c r="B54" t="s">
        <v>110</v>
      </c>
      <c r="C54" t="s">
        <v>11</v>
      </c>
      <c r="D54">
        <v>1</v>
      </c>
      <c r="E54">
        <f t="shared" si="0"/>
        <v>1.1950000000000001</v>
      </c>
    </row>
    <row r="55" spans="1:5" x14ac:dyDescent="0.25">
      <c r="A55" t="s">
        <v>137</v>
      </c>
      <c r="B55" t="s">
        <v>110</v>
      </c>
      <c r="C55" t="s">
        <v>11</v>
      </c>
      <c r="D55">
        <v>1</v>
      </c>
      <c r="E55">
        <f t="shared" si="0"/>
        <v>1.1950000000000001</v>
      </c>
    </row>
    <row r="56" spans="1:5" x14ac:dyDescent="0.25">
      <c r="A56" t="s">
        <v>138</v>
      </c>
      <c r="B56" t="s">
        <v>110</v>
      </c>
      <c r="C56" t="s">
        <v>11</v>
      </c>
      <c r="D56">
        <v>1</v>
      </c>
      <c r="E56">
        <f t="shared" si="0"/>
        <v>1.1950000000000001</v>
      </c>
    </row>
    <row r="57" spans="1:5" x14ac:dyDescent="0.25">
      <c r="A57" t="s">
        <v>142</v>
      </c>
      <c r="B57" t="s">
        <v>110</v>
      </c>
      <c r="C57" t="s">
        <v>11</v>
      </c>
      <c r="D57">
        <v>1</v>
      </c>
      <c r="E57">
        <f t="shared" si="0"/>
        <v>1.1950000000000001</v>
      </c>
    </row>
    <row r="58" spans="1:5" x14ac:dyDescent="0.25">
      <c r="A58" t="s">
        <v>72</v>
      </c>
      <c r="B58" t="s">
        <v>110</v>
      </c>
      <c r="C58" t="s">
        <v>11</v>
      </c>
      <c r="D58">
        <v>1</v>
      </c>
      <c r="E58">
        <f t="shared" si="0"/>
        <v>1.1950000000000001</v>
      </c>
    </row>
    <row r="59" spans="1:5" x14ac:dyDescent="0.25">
      <c r="A59" t="s">
        <v>139</v>
      </c>
      <c r="B59" t="s">
        <v>110</v>
      </c>
      <c r="C59" t="s">
        <v>11</v>
      </c>
      <c r="D59">
        <v>1</v>
      </c>
      <c r="E59">
        <f t="shared" si="0"/>
        <v>1.1950000000000001</v>
      </c>
    </row>
    <row r="60" spans="1:5" x14ac:dyDescent="0.25">
      <c r="A60" t="s">
        <v>140</v>
      </c>
      <c r="B60" t="s">
        <v>110</v>
      </c>
      <c r="C60" t="s">
        <v>11</v>
      </c>
      <c r="D60">
        <v>1</v>
      </c>
      <c r="E60">
        <f t="shared" si="0"/>
        <v>1.1950000000000001</v>
      </c>
    </row>
    <row r="61" spans="1:5" x14ac:dyDescent="0.25">
      <c r="A61" t="s">
        <v>264</v>
      </c>
      <c r="B61" t="s">
        <v>110</v>
      </c>
      <c r="C61" t="s">
        <v>11</v>
      </c>
      <c r="D61">
        <v>1</v>
      </c>
      <c r="E61">
        <v>1</v>
      </c>
    </row>
    <row r="62" spans="1:5" x14ac:dyDescent="0.25">
      <c r="A62" t="s">
        <v>265</v>
      </c>
      <c r="B62" t="s">
        <v>110</v>
      </c>
      <c r="C62" t="s">
        <v>11</v>
      </c>
      <c r="D62">
        <v>1</v>
      </c>
      <c r="E6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M11" sqref="M11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8.7109375" bestFit="1" customWidth="1"/>
    <col min="4" max="4" width="8.7109375" customWidth="1"/>
    <col min="5" max="5" width="30.5703125" bestFit="1" customWidth="1"/>
    <col min="6" max="6" width="6" bestFit="1" customWidth="1"/>
    <col min="7" max="13" width="7" bestFit="1" customWidth="1"/>
  </cols>
  <sheetData>
    <row r="1" spans="1:13" x14ac:dyDescent="0.25">
      <c r="A1" s="1" t="s">
        <v>97</v>
      </c>
      <c r="B1" s="1" t="s">
        <v>125</v>
      </c>
      <c r="C1" s="1" t="s">
        <v>104</v>
      </c>
      <c r="D1" s="1" t="s">
        <v>160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t="s">
        <v>98</v>
      </c>
      <c r="E2" t="s">
        <v>99</v>
      </c>
      <c r="F2" t="s">
        <v>11</v>
      </c>
      <c r="G2">
        <v>1</v>
      </c>
      <c r="H2" s="3"/>
      <c r="I2" s="3"/>
      <c r="J2" s="3"/>
      <c r="K2" s="3"/>
      <c r="L2" s="3"/>
      <c r="M2" s="3">
        <v>1.22</v>
      </c>
    </row>
    <row r="4" spans="1:13" x14ac:dyDescent="0.25">
      <c r="A4" t="s">
        <v>98</v>
      </c>
      <c r="B4" t="s">
        <v>167</v>
      </c>
      <c r="E4" t="s">
        <v>124</v>
      </c>
      <c r="F4" t="s">
        <v>96</v>
      </c>
      <c r="G4" s="31">
        <v>14.798145933014354</v>
      </c>
      <c r="M4">
        <v>100</v>
      </c>
    </row>
    <row r="5" spans="1:13" x14ac:dyDescent="0.25">
      <c r="A5" t="s">
        <v>98</v>
      </c>
      <c r="B5" t="s">
        <v>168</v>
      </c>
      <c r="E5" t="s">
        <v>124</v>
      </c>
      <c r="F5" t="s">
        <v>96</v>
      </c>
      <c r="G5" s="31">
        <v>65.534646274777856</v>
      </c>
      <c r="M5">
        <v>100</v>
      </c>
    </row>
    <row r="6" spans="1:13" x14ac:dyDescent="0.25">
      <c r="A6" t="s">
        <v>123</v>
      </c>
      <c r="B6" t="s">
        <v>167</v>
      </c>
      <c r="E6" t="s">
        <v>124</v>
      </c>
      <c r="F6" t="s">
        <v>96</v>
      </c>
      <c r="G6" s="31">
        <v>9.2748685002842954</v>
      </c>
      <c r="M6">
        <v>100</v>
      </c>
    </row>
    <row r="7" spans="1:13" x14ac:dyDescent="0.25">
      <c r="A7" t="s">
        <v>123</v>
      </c>
      <c r="B7" t="s">
        <v>168</v>
      </c>
      <c r="E7" t="s">
        <v>124</v>
      </c>
      <c r="F7" t="s">
        <v>96</v>
      </c>
      <c r="G7" s="31">
        <v>35.940115438601644</v>
      </c>
      <c r="M7">
        <v>100</v>
      </c>
    </row>
    <row r="9" spans="1:13" x14ac:dyDescent="0.25">
      <c r="A9" t="s">
        <v>98</v>
      </c>
      <c r="C9" t="s">
        <v>122</v>
      </c>
      <c r="E9" t="s">
        <v>174</v>
      </c>
      <c r="F9" t="s">
        <v>11</v>
      </c>
      <c r="G9">
        <v>1</v>
      </c>
      <c r="M9">
        <v>1.1000000000000001</v>
      </c>
    </row>
    <row r="10" spans="1:13" x14ac:dyDescent="0.25">
      <c r="A10" t="s">
        <v>123</v>
      </c>
      <c r="C10" t="s">
        <v>122</v>
      </c>
      <c r="E10" t="s">
        <v>174</v>
      </c>
      <c r="F10" t="s">
        <v>11</v>
      </c>
      <c r="G10">
        <v>1</v>
      </c>
      <c r="M10">
        <v>1.1000000000000001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workbookViewId="0">
      <selection activeCell="R2" sqref="R2:R74"/>
    </sheetView>
  </sheetViews>
  <sheetFormatPr defaultRowHeight="15" x14ac:dyDescent="0.25"/>
  <sheetData>
    <row r="1" spans="1:18" x14ac:dyDescent="0.25">
      <c r="A1" s="1" t="s">
        <v>121</v>
      </c>
      <c r="B1" s="1" t="s">
        <v>125</v>
      </c>
      <c r="C1" s="1" t="s">
        <v>97</v>
      </c>
      <c r="D1" s="1" t="s">
        <v>104</v>
      </c>
      <c r="E1" s="1" t="s">
        <v>205</v>
      </c>
      <c r="F1" s="1" t="s">
        <v>206</v>
      </c>
      <c r="G1" s="1" t="s">
        <v>207</v>
      </c>
      <c r="H1" s="1" t="s">
        <v>170</v>
      </c>
      <c r="I1" s="1" t="s">
        <v>160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</row>
    <row r="2" spans="1:18" x14ac:dyDescent="0.25">
      <c r="A2" t="s">
        <v>131</v>
      </c>
      <c r="C2" t="s">
        <v>98</v>
      </c>
      <c r="D2" t="s">
        <v>132</v>
      </c>
      <c r="F2" t="s">
        <v>208</v>
      </c>
      <c r="J2" t="s">
        <v>223</v>
      </c>
      <c r="K2" t="s">
        <v>96</v>
      </c>
      <c r="L2">
        <v>83.800623052959494</v>
      </c>
      <c r="R2">
        <v>30</v>
      </c>
    </row>
    <row r="3" spans="1:18" x14ac:dyDescent="0.25">
      <c r="A3" t="s">
        <v>131</v>
      </c>
      <c r="C3" t="s">
        <v>98</v>
      </c>
      <c r="D3" t="s">
        <v>132</v>
      </c>
      <c r="F3" t="s">
        <v>209</v>
      </c>
      <c r="J3" t="s">
        <v>223</v>
      </c>
      <c r="K3" t="s">
        <v>96</v>
      </c>
      <c r="L3">
        <v>9.3457943925233611</v>
      </c>
      <c r="R3">
        <v>0</v>
      </c>
    </row>
    <row r="4" spans="1:18" x14ac:dyDescent="0.25">
      <c r="A4" t="s">
        <v>131</v>
      </c>
      <c r="C4" t="s">
        <v>98</v>
      </c>
      <c r="D4" t="s">
        <v>132</v>
      </c>
      <c r="F4" t="s">
        <v>210</v>
      </c>
      <c r="J4" t="s">
        <v>223</v>
      </c>
      <c r="K4" t="s">
        <v>96</v>
      </c>
      <c r="L4">
        <v>1.2906097018246547</v>
      </c>
      <c r="R4">
        <v>0</v>
      </c>
    </row>
    <row r="5" spans="1:18" x14ac:dyDescent="0.25">
      <c r="A5" t="s">
        <v>131</v>
      </c>
      <c r="C5" t="s">
        <v>98</v>
      </c>
      <c r="D5" t="s">
        <v>132</v>
      </c>
      <c r="F5" t="s">
        <v>211</v>
      </c>
      <c r="J5" t="s">
        <v>223</v>
      </c>
      <c r="K5" t="s">
        <v>96</v>
      </c>
      <c r="L5">
        <v>5.562972852692476</v>
      </c>
      <c r="R5">
        <v>70</v>
      </c>
    </row>
    <row r="6" spans="1:18" x14ac:dyDescent="0.25">
      <c r="A6" t="s">
        <v>131</v>
      </c>
      <c r="C6" t="s">
        <v>98</v>
      </c>
      <c r="D6" t="s">
        <v>132</v>
      </c>
      <c r="F6" t="s">
        <v>212</v>
      </c>
      <c r="J6" t="s">
        <v>223</v>
      </c>
      <c r="K6" t="s">
        <v>96</v>
      </c>
      <c r="L6">
        <v>0</v>
      </c>
      <c r="R6">
        <v>0</v>
      </c>
    </row>
    <row r="7" spans="1:18" x14ac:dyDescent="0.25">
      <c r="A7" t="s">
        <v>131</v>
      </c>
      <c r="C7" t="s">
        <v>123</v>
      </c>
      <c r="D7" t="s">
        <v>132</v>
      </c>
      <c r="F7" t="s">
        <v>208</v>
      </c>
      <c r="J7" t="s">
        <v>223</v>
      </c>
      <c r="K7" t="s">
        <v>96</v>
      </c>
      <c r="L7">
        <v>22.222222222222225</v>
      </c>
      <c r="R7">
        <v>0</v>
      </c>
    </row>
    <row r="8" spans="1:18" x14ac:dyDescent="0.25">
      <c r="A8" t="s">
        <v>131</v>
      </c>
      <c r="C8" t="s">
        <v>123</v>
      </c>
      <c r="D8" t="s">
        <v>132</v>
      </c>
      <c r="F8" t="s">
        <v>209</v>
      </c>
      <c r="J8" t="s">
        <v>223</v>
      </c>
      <c r="K8" t="s">
        <v>96</v>
      </c>
      <c r="L8">
        <v>30.405405405405407</v>
      </c>
      <c r="R8">
        <v>0</v>
      </c>
    </row>
    <row r="9" spans="1:18" x14ac:dyDescent="0.25">
      <c r="A9" t="s">
        <v>131</v>
      </c>
      <c r="C9" t="s">
        <v>123</v>
      </c>
      <c r="D9" t="s">
        <v>132</v>
      </c>
      <c r="F9" t="s">
        <v>210</v>
      </c>
      <c r="J9" t="s">
        <v>223</v>
      </c>
      <c r="K9" t="s">
        <v>96</v>
      </c>
      <c r="L9">
        <v>44.819819819819827</v>
      </c>
      <c r="R9">
        <v>30</v>
      </c>
    </row>
    <row r="10" spans="1:18" x14ac:dyDescent="0.25">
      <c r="A10" t="s">
        <v>131</v>
      </c>
      <c r="C10" t="s">
        <v>123</v>
      </c>
      <c r="D10" t="s">
        <v>132</v>
      </c>
      <c r="F10" t="s">
        <v>211</v>
      </c>
      <c r="J10" t="s">
        <v>223</v>
      </c>
      <c r="K10" t="s">
        <v>96</v>
      </c>
      <c r="L10">
        <v>2.5525525525525525</v>
      </c>
      <c r="R10">
        <v>70</v>
      </c>
    </row>
    <row r="11" spans="1:18" x14ac:dyDescent="0.25">
      <c r="A11" t="s">
        <v>131</v>
      </c>
      <c r="C11" t="s">
        <v>123</v>
      </c>
      <c r="D11" t="s">
        <v>132</v>
      </c>
      <c r="F11" t="s">
        <v>212</v>
      </c>
      <c r="J11" t="s">
        <v>223</v>
      </c>
      <c r="K11" t="s">
        <v>96</v>
      </c>
      <c r="L11">
        <v>0</v>
      </c>
      <c r="R11">
        <v>0</v>
      </c>
    </row>
    <row r="12" spans="1:18" x14ac:dyDescent="0.25">
      <c r="A12" t="s">
        <v>131</v>
      </c>
      <c r="D12" t="s">
        <v>217</v>
      </c>
      <c r="F12" t="s">
        <v>208</v>
      </c>
      <c r="J12" t="s">
        <v>223</v>
      </c>
      <c r="K12" t="s">
        <v>96</v>
      </c>
      <c r="L12">
        <v>50.379048931771194</v>
      </c>
      <c r="R12">
        <v>30</v>
      </c>
    </row>
    <row r="13" spans="1:18" x14ac:dyDescent="0.25">
      <c r="A13" t="s">
        <v>131</v>
      </c>
      <c r="D13" t="s">
        <v>217</v>
      </c>
      <c r="F13" t="s">
        <v>209</v>
      </c>
      <c r="J13" t="s">
        <v>223</v>
      </c>
      <c r="K13" t="s">
        <v>96</v>
      </c>
      <c r="L13">
        <v>19.090282563749142</v>
      </c>
      <c r="R13">
        <v>0</v>
      </c>
    </row>
    <row r="14" spans="1:18" x14ac:dyDescent="0.25">
      <c r="A14" t="s">
        <v>131</v>
      </c>
      <c r="D14" t="s">
        <v>217</v>
      </c>
      <c r="F14" t="s">
        <v>210</v>
      </c>
      <c r="J14" t="s">
        <v>223</v>
      </c>
      <c r="K14" t="s">
        <v>96</v>
      </c>
      <c r="L14">
        <v>26.533425223983464</v>
      </c>
      <c r="R14">
        <v>0</v>
      </c>
    </row>
    <row r="15" spans="1:18" x14ac:dyDescent="0.25">
      <c r="A15" t="s">
        <v>131</v>
      </c>
      <c r="D15" t="s">
        <v>217</v>
      </c>
      <c r="F15" t="s">
        <v>211</v>
      </c>
      <c r="J15" t="s">
        <v>223</v>
      </c>
      <c r="K15" t="s">
        <v>96</v>
      </c>
      <c r="L15">
        <v>3.9972432804962108</v>
      </c>
      <c r="R15">
        <v>70</v>
      </c>
    </row>
    <row r="16" spans="1:18" x14ac:dyDescent="0.25">
      <c r="A16" t="s">
        <v>131</v>
      </c>
      <c r="D16" t="s">
        <v>217</v>
      </c>
      <c r="F16" t="s">
        <v>212</v>
      </c>
      <c r="J16" t="s">
        <v>223</v>
      </c>
      <c r="K16" t="s">
        <v>96</v>
      </c>
      <c r="L16">
        <v>0</v>
      </c>
      <c r="R16">
        <v>0</v>
      </c>
    </row>
    <row r="17" spans="1:18" x14ac:dyDescent="0.25">
      <c r="A17" t="s">
        <v>131</v>
      </c>
      <c r="D17" t="s">
        <v>218</v>
      </c>
      <c r="F17" t="s">
        <v>208</v>
      </c>
      <c r="J17" t="s">
        <v>223</v>
      </c>
      <c r="K17" t="s">
        <v>96</v>
      </c>
      <c r="L17">
        <v>50.379048931771194</v>
      </c>
      <c r="R17">
        <v>30</v>
      </c>
    </row>
    <row r="18" spans="1:18" x14ac:dyDescent="0.25">
      <c r="A18" t="s">
        <v>131</v>
      </c>
      <c r="D18" t="s">
        <v>218</v>
      </c>
      <c r="F18" t="s">
        <v>209</v>
      </c>
      <c r="J18" t="s">
        <v>223</v>
      </c>
      <c r="K18" t="s">
        <v>96</v>
      </c>
      <c r="L18">
        <v>19.090282563749142</v>
      </c>
      <c r="R18">
        <v>0</v>
      </c>
    </row>
    <row r="19" spans="1:18" x14ac:dyDescent="0.25">
      <c r="A19" t="s">
        <v>131</v>
      </c>
      <c r="D19" t="s">
        <v>218</v>
      </c>
      <c r="F19" t="s">
        <v>210</v>
      </c>
      <c r="J19" t="s">
        <v>223</v>
      </c>
      <c r="K19" t="s">
        <v>96</v>
      </c>
      <c r="L19">
        <v>26.533425223983464</v>
      </c>
      <c r="R19">
        <v>0</v>
      </c>
    </row>
    <row r="20" spans="1:18" x14ac:dyDescent="0.25">
      <c r="A20" t="s">
        <v>131</v>
      </c>
      <c r="D20" t="s">
        <v>218</v>
      </c>
      <c r="F20" t="s">
        <v>211</v>
      </c>
      <c r="J20" t="s">
        <v>223</v>
      </c>
      <c r="K20" t="s">
        <v>96</v>
      </c>
      <c r="L20">
        <v>3.9972432804962108</v>
      </c>
      <c r="R20">
        <v>70</v>
      </c>
    </row>
    <row r="21" spans="1:18" x14ac:dyDescent="0.25">
      <c r="A21" t="s">
        <v>131</v>
      </c>
      <c r="D21" t="s">
        <v>218</v>
      </c>
      <c r="F21" t="s">
        <v>212</v>
      </c>
      <c r="J21" t="s">
        <v>223</v>
      </c>
      <c r="K21" t="s">
        <v>96</v>
      </c>
      <c r="L21">
        <v>0</v>
      </c>
      <c r="R21">
        <v>0</v>
      </c>
    </row>
    <row r="22" spans="1:18" x14ac:dyDescent="0.25">
      <c r="A22" t="s">
        <v>131</v>
      </c>
      <c r="D22" t="s">
        <v>122</v>
      </c>
      <c r="F22" t="s">
        <v>208</v>
      </c>
      <c r="J22" t="s">
        <v>223</v>
      </c>
      <c r="K22" t="s">
        <v>96</v>
      </c>
      <c r="L22">
        <v>44.83940042826552</v>
      </c>
      <c r="R22">
        <v>30</v>
      </c>
    </row>
    <row r="23" spans="1:18" x14ac:dyDescent="0.25">
      <c r="A23" t="s">
        <v>131</v>
      </c>
      <c r="D23" t="s">
        <v>122</v>
      </c>
      <c r="F23" t="s">
        <v>209</v>
      </c>
      <c r="J23" t="s">
        <v>223</v>
      </c>
      <c r="K23" t="s">
        <v>96</v>
      </c>
      <c r="L23">
        <v>19.914346895074946</v>
      </c>
      <c r="R23">
        <v>0</v>
      </c>
    </row>
    <row r="24" spans="1:18" x14ac:dyDescent="0.25">
      <c r="A24" t="s">
        <v>131</v>
      </c>
      <c r="D24" t="s">
        <v>122</v>
      </c>
      <c r="F24" t="s">
        <v>210</v>
      </c>
      <c r="J24" t="s">
        <v>223</v>
      </c>
      <c r="K24" t="s">
        <v>96</v>
      </c>
      <c r="L24">
        <v>31.520342612419693</v>
      </c>
      <c r="R24">
        <v>0</v>
      </c>
    </row>
    <row r="25" spans="1:18" x14ac:dyDescent="0.25">
      <c r="A25" t="s">
        <v>131</v>
      </c>
      <c r="D25" t="s">
        <v>122</v>
      </c>
      <c r="F25" t="s">
        <v>211</v>
      </c>
      <c r="J25" t="s">
        <v>223</v>
      </c>
      <c r="K25" t="s">
        <v>96</v>
      </c>
      <c r="L25">
        <v>3.7259100642398284</v>
      </c>
      <c r="R25">
        <v>70</v>
      </c>
    </row>
    <row r="26" spans="1:18" x14ac:dyDescent="0.25">
      <c r="A26" t="s">
        <v>131</v>
      </c>
      <c r="D26" t="s">
        <v>122</v>
      </c>
      <c r="F26" t="s">
        <v>212</v>
      </c>
      <c r="J26" t="s">
        <v>223</v>
      </c>
      <c r="K26" t="s">
        <v>96</v>
      </c>
      <c r="L26">
        <v>0</v>
      </c>
      <c r="R26">
        <v>0</v>
      </c>
    </row>
    <row r="27" spans="1:18" x14ac:dyDescent="0.25">
      <c r="A27" t="s">
        <v>131</v>
      </c>
      <c r="D27" t="s">
        <v>219</v>
      </c>
      <c r="F27" t="s">
        <v>208</v>
      </c>
      <c r="J27" t="s">
        <v>223</v>
      </c>
      <c r="K27" t="s">
        <v>96</v>
      </c>
      <c r="L27">
        <v>25.355691056910569</v>
      </c>
      <c r="R27">
        <v>0</v>
      </c>
    </row>
    <row r="28" spans="1:18" x14ac:dyDescent="0.25">
      <c r="A28" t="s">
        <v>131</v>
      </c>
      <c r="D28" t="s">
        <v>219</v>
      </c>
      <c r="F28" t="s">
        <v>209</v>
      </c>
      <c r="J28" t="s">
        <v>223</v>
      </c>
      <c r="K28" t="s">
        <v>96</v>
      </c>
      <c r="L28">
        <v>20.325203252032519</v>
      </c>
      <c r="R28">
        <v>0</v>
      </c>
    </row>
    <row r="29" spans="1:18" x14ac:dyDescent="0.25">
      <c r="A29" t="s">
        <v>131</v>
      </c>
      <c r="D29" t="s">
        <v>219</v>
      </c>
      <c r="F29" t="s">
        <v>210</v>
      </c>
      <c r="J29" t="s">
        <v>223</v>
      </c>
      <c r="K29" t="s">
        <v>96</v>
      </c>
      <c r="L29">
        <v>51.575203252032523</v>
      </c>
      <c r="R29">
        <v>30</v>
      </c>
    </row>
    <row r="30" spans="1:18" x14ac:dyDescent="0.25">
      <c r="A30" t="s">
        <v>131</v>
      </c>
      <c r="D30" t="s">
        <v>219</v>
      </c>
      <c r="F30" t="s">
        <v>211</v>
      </c>
      <c r="J30" t="s">
        <v>223</v>
      </c>
      <c r="K30" t="s">
        <v>96</v>
      </c>
      <c r="L30">
        <v>2.7439024390243896</v>
      </c>
      <c r="R30">
        <v>70</v>
      </c>
    </row>
    <row r="31" spans="1:18" x14ac:dyDescent="0.25">
      <c r="A31" t="s">
        <v>131</v>
      </c>
      <c r="D31" t="s">
        <v>219</v>
      </c>
      <c r="F31" t="s">
        <v>212</v>
      </c>
      <c r="J31" t="s">
        <v>223</v>
      </c>
      <c r="K31" t="s">
        <v>96</v>
      </c>
      <c r="L31">
        <v>0</v>
      </c>
      <c r="R31">
        <v>0</v>
      </c>
    </row>
    <row r="32" spans="1:18" x14ac:dyDescent="0.25">
      <c r="A32" t="s">
        <v>131</v>
      </c>
      <c r="D32" t="s">
        <v>220</v>
      </c>
      <c r="F32" t="s">
        <v>208</v>
      </c>
      <c r="J32" t="s">
        <v>223</v>
      </c>
      <c r="K32" t="s">
        <v>96</v>
      </c>
      <c r="L32">
        <v>44.83940042826552</v>
      </c>
      <c r="R32">
        <v>30</v>
      </c>
    </row>
    <row r="33" spans="1:18" x14ac:dyDescent="0.25">
      <c r="A33" t="s">
        <v>131</v>
      </c>
      <c r="D33" t="s">
        <v>220</v>
      </c>
      <c r="F33" t="s">
        <v>209</v>
      </c>
      <c r="J33" t="s">
        <v>223</v>
      </c>
      <c r="K33" t="s">
        <v>96</v>
      </c>
      <c r="L33">
        <v>19.914346895074946</v>
      </c>
      <c r="R33">
        <v>0</v>
      </c>
    </row>
    <row r="34" spans="1:18" x14ac:dyDescent="0.25">
      <c r="A34" t="s">
        <v>131</v>
      </c>
      <c r="D34" t="s">
        <v>220</v>
      </c>
      <c r="F34" t="s">
        <v>210</v>
      </c>
      <c r="J34" t="s">
        <v>223</v>
      </c>
      <c r="K34" t="s">
        <v>96</v>
      </c>
      <c r="L34">
        <v>31.520342612419693</v>
      </c>
      <c r="R34">
        <v>0</v>
      </c>
    </row>
    <row r="35" spans="1:18" x14ac:dyDescent="0.25">
      <c r="A35" t="s">
        <v>131</v>
      </c>
      <c r="D35" t="s">
        <v>220</v>
      </c>
      <c r="F35" t="s">
        <v>211</v>
      </c>
      <c r="J35" t="s">
        <v>223</v>
      </c>
      <c r="K35" t="s">
        <v>96</v>
      </c>
      <c r="L35">
        <v>3.7259100642398284</v>
      </c>
      <c r="R35">
        <v>70</v>
      </c>
    </row>
    <row r="36" spans="1:18" x14ac:dyDescent="0.25">
      <c r="A36" t="s">
        <v>131</v>
      </c>
      <c r="D36" t="s">
        <v>220</v>
      </c>
      <c r="F36" t="s">
        <v>212</v>
      </c>
      <c r="J36" t="s">
        <v>223</v>
      </c>
      <c r="K36" t="s">
        <v>96</v>
      </c>
      <c r="L36">
        <v>0</v>
      </c>
      <c r="R36">
        <v>0</v>
      </c>
    </row>
    <row r="37" spans="1:18" x14ac:dyDescent="0.25">
      <c r="A37" t="s">
        <v>213</v>
      </c>
      <c r="F37" t="s">
        <v>208</v>
      </c>
      <c r="J37" t="s">
        <v>223</v>
      </c>
      <c r="K37" t="s">
        <v>96</v>
      </c>
      <c r="L37">
        <v>0</v>
      </c>
      <c r="R37">
        <v>0</v>
      </c>
    </row>
    <row r="38" spans="1:18" x14ac:dyDescent="0.25">
      <c r="A38" t="s">
        <v>213</v>
      </c>
      <c r="F38" t="s">
        <v>209</v>
      </c>
      <c r="J38" t="s">
        <v>223</v>
      </c>
      <c r="K38" t="s">
        <v>96</v>
      </c>
      <c r="L38">
        <v>66</v>
      </c>
      <c r="R38">
        <v>30</v>
      </c>
    </row>
    <row r="39" spans="1:18" x14ac:dyDescent="0.25">
      <c r="A39" t="s">
        <v>213</v>
      </c>
      <c r="F39" t="s">
        <v>210</v>
      </c>
      <c r="J39" t="s">
        <v>223</v>
      </c>
      <c r="K39" t="s">
        <v>96</v>
      </c>
      <c r="L39">
        <v>4</v>
      </c>
      <c r="R39">
        <v>0</v>
      </c>
    </row>
    <row r="40" spans="1:18" x14ac:dyDescent="0.25">
      <c r="A40" t="s">
        <v>213</v>
      </c>
      <c r="F40" t="s">
        <v>211</v>
      </c>
      <c r="J40" t="s">
        <v>223</v>
      </c>
      <c r="K40" t="s">
        <v>96</v>
      </c>
      <c r="L40">
        <v>0</v>
      </c>
      <c r="R40">
        <v>70</v>
      </c>
    </row>
    <row r="41" spans="1:18" x14ac:dyDescent="0.25">
      <c r="A41" t="s">
        <v>213</v>
      </c>
      <c r="F41" t="s">
        <v>212</v>
      </c>
      <c r="J41" t="s">
        <v>223</v>
      </c>
      <c r="K41" t="s">
        <v>96</v>
      </c>
      <c r="L41">
        <v>30</v>
      </c>
      <c r="R41">
        <v>0</v>
      </c>
    </row>
    <row r="42" spans="1:18" x14ac:dyDescent="0.25">
      <c r="A42" t="s">
        <v>214</v>
      </c>
      <c r="F42" t="s">
        <v>208</v>
      </c>
      <c r="J42" t="s">
        <v>223</v>
      </c>
      <c r="K42" t="s">
        <v>96</v>
      </c>
      <c r="L42">
        <v>0</v>
      </c>
      <c r="R42">
        <v>0</v>
      </c>
    </row>
    <row r="43" spans="1:18" x14ac:dyDescent="0.25">
      <c r="A43" t="s">
        <v>214</v>
      </c>
      <c r="F43" t="s">
        <v>209</v>
      </c>
      <c r="J43" t="s">
        <v>223</v>
      </c>
      <c r="K43" t="s">
        <v>96</v>
      </c>
      <c r="L43">
        <v>100</v>
      </c>
      <c r="R43">
        <v>30</v>
      </c>
    </row>
    <row r="44" spans="1:18" x14ac:dyDescent="0.25">
      <c r="A44" t="s">
        <v>214</v>
      </c>
      <c r="F44" t="s">
        <v>210</v>
      </c>
      <c r="J44" t="s">
        <v>223</v>
      </c>
      <c r="K44" t="s">
        <v>96</v>
      </c>
      <c r="L44">
        <v>0</v>
      </c>
      <c r="R44">
        <v>0</v>
      </c>
    </row>
    <row r="45" spans="1:18" x14ac:dyDescent="0.25">
      <c r="A45" t="s">
        <v>214</v>
      </c>
      <c r="F45" t="s">
        <v>211</v>
      </c>
      <c r="J45" t="s">
        <v>223</v>
      </c>
      <c r="K45" t="s">
        <v>96</v>
      </c>
      <c r="L45">
        <v>0</v>
      </c>
      <c r="R45">
        <v>70</v>
      </c>
    </row>
    <row r="46" spans="1:18" x14ac:dyDescent="0.25">
      <c r="A46" t="s">
        <v>214</v>
      </c>
      <c r="F46" t="s">
        <v>212</v>
      </c>
      <c r="J46" t="s">
        <v>223</v>
      </c>
      <c r="K46" t="s">
        <v>96</v>
      </c>
      <c r="L46">
        <v>0</v>
      </c>
      <c r="R46">
        <v>0</v>
      </c>
    </row>
    <row r="47" spans="1:18" x14ac:dyDescent="0.25">
      <c r="A47" t="s">
        <v>215</v>
      </c>
      <c r="F47" t="s">
        <v>208</v>
      </c>
      <c r="J47" t="s">
        <v>223</v>
      </c>
      <c r="K47" t="s">
        <v>96</v>
      </c>
      <c r="L47">
        <v>47.115705235078359</v>
      </c>
      <c r="R47">
        <v>30</v>
      </c>
    </row>
    <row r="48" spans="1:18" x14ac:dyDescent="0.25">
      <c r="A48" t="s">
        <v>215</v>
      </c>
      <c r="F48" t="s">
        <v>209</v>
      </c>
      <c r="J48" t="s">
        <v>223</v>
      </c>
      <c r="K48" t="s">
        <v>96</v>
      </c>
      <c r="L48">
        <v>27.875958652884293</v>
      </c>
      <c r="R48">
        <v>0</v>
      </c>
    </row>
    <row r="49" spans="1:18" x14ac:dyDescent="0.25">
      <c r="A49" t="s">
        <v>215</v>
      </c>
      <c r="F49" t="s">
        <v>210</v>
      </c>
      <c r="J49" t="s">
        <v>223</v>
      </c>
      <c r="K49" t="s">
        <v>96</v>
      </c>
      <c r="L49">
        <v>15.205068356118707</v>
      </c>
      <c r="R49">
        <v>0</v>
      </c>
    </row>
    <row r="50" spans="1:18" x14ac:dyDescent="0.25">
      <c r="A50" t="s">
        <v>215</v>
      </c>
      <c r="F50" t="s">
        <v>211</v>
      </c>
      <c r="J50" t="s">
        <v>223</v>
      </c>
      <c r="K50" t="s">
        <v>96</v>
      </c>
      <c r="L50">
        <v>9.8032677559186379</v>
      </c>
      <c r="R50">
        <v>70</v>
      </c>
    </row>
    <row r="51" spans="1:18" x14ac:dyDescent="0.25">
      <c r="A51" t="s">
        <v>215</v>
      </c>
      <c r="F51" t="s">
        <v>212</v>
      </c>
      <c r="J51" t="s">
        <v>223</v>
      </c>
      <c r="K51" t="s">
        <v>96</v>
      </c>
      <c r="L51">
        <v>0</v>
      </c>
      <c r="R51">
        <v>0</v>
      </c>
    </row>
    <row r="52" spans="1:18" x14ac:dyDescent="0.25">
      <c r="A52" t="s">
        <v>215</v>
      </c>
      <c r="D52" t="s">
        <v>101</v>
      </c>
      <c r="F52" t="s">
        <v>208</v>
      </c>
      <c r="J52" t="s">
        <v>223</v>
      </c>
      <c r="K52" t="s">
        <v>96</v>
      </c>
      <c r="L52">
        <v>79.533333333333317</v>
      </c>
      <c r="R52">
        <v>30</v>
      </c>
    </row>
    <row r="53" spans="1:18" x14ac:dyDescent="0.25">
      <c r="A53" t="s">
        <v>215</v>
      </c>
      <c r="D53" t="s">
        <v>101</v>
      </c>
      <c r="F53" t="s">
        <v>209</v>
      </c>
      <c r="J53" t="s">
        <v>223</v>
      </c>
      <c r="K53" t="s">
        <v>96</v>
      </c>
      <c r="L53">
        <v>2.6666666666666656</v>
      </c>
      <c r="R53">
        <v>0</v>
      </c>
    </row>
    <row r="54" spans="1:18" x14ac:dyDescent="0.25">
      <c r="A54" t="s">
        <v>215</v>
      </c>
      <c r="D54" t="s">
        <v>101</v>
      </c>
      <c r="F54" t="s">
        <v>210</v>
      </c>
      <c r="J54" t="s">
        <v>223</v>
      </c>
      <c r="K54" t="s">
        <v>96</v>
      </c>
      <c r="L54">
        <v>1.1666666666666663</v>
      </c>
      <c r="R54">
        <v>0</v>
      </c>
    </row>
    <row r="55" spans="1:18" x14ac:dyDescent="0.25">
      <c r="A55" t="s">
        <v>215</v>
      </c>
      <c r="D55" t="s">
        <v>101</v>
      </c>
      <c r="F55" t="s">
        <v>211</v>
      </c>
      <c r="J55" t="s">
        <v>223</v>
      </c>
      <c r="K55" t="s">
        <v>96</v>
      </c>
      <c r="L55">
        <v>16.633333333333329</v>
      </c>
      <c r="R55">
        <v>70</v>
      </c>
    </row>
    <row r="56" spans="1:18" x14ac:dyDescent="0.25">
      <c r="A56" t="s">
        <v>215</v>
      </c>
      <c r="D56" t="s">
        <v>101</v>
      </c>
      <c r="F56" t="s">
        <v>212</v>
      </c>
      <c r="J56" t="s">
        <v>223</v>
      </c>
      <c r="K56" t="s">
        <v>96</v>
      </c>
      <c r="L56">
        <v>0</v>
      </c>
      <c r="R56">
        <v>0</v>
      </c>
    </row>
    <row r="57" spans="1:18" x14ac:dyDescent="0.25">
      <c r="A57" t="s">
        <v>215</v>
      </c>
      <c r="D57" t="s">
        <v>103</v>
      </c>
      <c r="F57" t="s">
        <v>208</v>
      </c>
      <c r="J57" t="s">
        <v>223</v>
      </c>
      <c r="K57" t="s">
        <v>96</v>
      </c>
      <c r="L57">
        <v>79.533333333333317</v>
      </c>
      <c r="R57">
        <v>30</v>
      </c>
    </row>
    <row r="58" spans="1:18" x14ac:dyDescent="0.25">
      <c r="A58" t="s">
        <v>215</v>
      </c>
      <c r="D58" t="s">
        <v>103</v>
      </c>
      <c r="F58" t="s">
        <v>209</v>
      </c>
      <c r="J58" t="s">
        <v>223</v>
      </c>
      <c r="K58" t="s">
        <v>96</v>
      </c>
      <c r="L58">
        <v>2.6666666666666656</v>
      </c>
      <c r="R58">
        <v>0</v>
      </c>
    </row>
    <row r="59" spans="1:18" x14ac:dyDescent="0.25">
      <c r="A59" t="s">
        <v>215</v>
      </c>
      <c r="D59" t="s">
        <v>103</v>
      </c>
      <c r="F59" t="s">
        <v>210</v>
      </c>
      <c r="J59" t="s">
        <v>223</v>
      </c>
      <c r="K59" t="s">
        <v>96</v>
      </c>
      <c r="L59">
        <v>1.1666666666666663</v>
      </c>
      <c r="R59">
        <v>0</v>
      </c>
    </row>
    <row r="60" spans="1:18" x14ac:dyDescent="0.25">
      <c r="A60" t="s">
        <v>215</v>
      </c>
      <c r="D60" t="s">
        <v>103</v>
      </c>
      <c r="F60" t="s">
        <v>211</v>
      </c>
      <c r="J60" t="s">
        <v>223</v>
      </c>
      <c r="K60" t="s">
        <v>96</v>
      </c>
      <c r="L60">
        <v>16.633333333333329</v>
      </c>
      <c r="R60">
        <v>70</v>
      </c>
    </row>
    <row r="61" spans="1:18" x14ac:dyDescent="0.25">
      <c r="A61" t="s">
        <v>215</v>
      </c>
      <c r="D61" t="s">
        <v>103</v>
      </c>
      <c r="F61" t="s">
        <v>212</v>
      </c>
      <c r="J61" t="s">
        <v>223</v>
      </c>
      <c r="K61" t="s">
        <v>96</v>
      </c>
      <c r="L61">
        <v>0</v>
      </c>
      <c r="R61">
        <v>0</v>
      </c>
    </row>
    <row r="62" spans="1:18" x14ac:dyDescent="0.25">
      <c r="A62" t="s">
        <v>216</v>
      </c>
      <c r="F62" t="s">
        <v>208</v>
      </c>
      <c r="J62" t="s">
        <v>223</v>
      </c>
      <c r="K62" t="s">
        <v>96</v>
      </c>
      <c r="L62">
        <v>7.7000000000000011</v>
      </c>
      <c r="R62">
        <v>0</v>
      </c>
    </row>
    <row r="63" spans="1:18" x14ac:dyDescent="0.25">
      <c r="A63" t="s">
        <v>216</v>
      </c>
      <c r="F63" t="s">
        <v>209</v>
      </c>
      <c r="J63" t="s">
        <v>223</v>
      </c>
      <c r="K63" t="s">
        <v>96</v>
      </c>
      <c r="L63">
        <v>85.966666666666669</v>
      </c>
      <c r="R63">
        <v>30</v>
      </c>
    </row>
    <row r="64" spans="1:18" x14ac:dyDescent="0.25">
      <c r="A64" t="s">
        <v>216</v>
      </c>
      <c r="F64" t="s">
        <v>210</v>
      </c>
      <c r="J64" t="s">
        <v>223</v>
      </c>
      <c r="K64" t="s">
        <v>96</v>
      </c>
      <c r="L64">
        <v>6.3333333333333339</v>
      </c>
      <c r="R64">
        <v>0</v>
      </c>
    </row>
    <row r="65" spans="1:18" x14ac:dyDescent="0.25">
      <c r="A65" t="s">
        <v>216</v>
      </c>
      <c r="F65" t="s">
        <v>211</v>
      </c>
      <c r="J65" t="s">
        <v>223</v>
      </c>
      <c r="K65" t="s">
        <v>96</v>
      </c>
      <c r="L65">
        <v>0</v>
      </c>
      <c r="R65">
        <v>70</v>
      </c>
    </row>
    <row r="66" spans="1:18" x14ac:dyDescent="0.25">
      <c r="A66" t="s">
        <v>216</v>
      </c>
      <c r="F66" t="s">
        <v>212</v>
      </c>
      <c r="J66" t="s">
        <v>223</v>
      </c>
      <c r="K66" t="s">
        <v>96</v>
      </c>
      <c r="L66">
        <v>0</v>
      </c>
      <c r="R66">
        <v>0</v>
      </c>
    </row>
    <row r="67" spans="1:18" x14ac:dyDescent="0.25">
      <c r="A67" t="s">
        <v>216</v>
      </c>
      <c r="C67" t="s">
        <v>221</v>
      </c>
      <c r="D67" t="s">
        <v>222</v>
      </c>
      <c r="F67" t="s">
        <v>208</v>
      </c>
      <c r="J67" t="s">
        <v>223</v>
      </c>
      <c r="K67" t="s">
        <v>96</v>
      </c>
      <c r="L67">
        <v>0</v>
      </c>
      <c r="R67">
        <v>0</v>
      </c>
    </row>
    <row r="68" spans="1:18" x14ac:dyDescent="0.25">
      <c r="A68" t="s">
        <v>216</v>
      </c>
      <c r="C68" t="s">
        <v>221</v>
      </c>
      <c r="D68" t="s">
        <v>222</v>
      </c>
      <c r="F68" t="s">
        <v>209</v>
      </c>
      <c r="J68" t="s">
        <v>223</v>
      </c>
      <c r="K68" t="s">
        <v>96</v>
      </c>
      <c r="L68">
        <v>0</v>
      </c>
      <c r="R68">
        <v>0</v>
      </c>
    </row>
    <row r="69" spans="1:18" x14ac:dyDescent="0.25">
      <c r="A69" t="s">
        <v>216</v>
      </c>
      <c r="C69" t="s">
        <v>221</v>
      </c>
      <c r="D69" t="s">
        <v>222</v>
      </c>
      <c r="F69" t="s">
        <v>210</v>
      </c>
      <c r="J69" t="s">
        <v>223</v>
      </c>
      <c r="K69" t="s">
        <v>96</v>
      </c>
      <c r="L69">
        <v>100</v>
      </c>
      <c r="R69">
        <v>30</v>
      </c>
    </row>
    <row r="70" spans="1:18" x14ac:dyDescent="0.25">
      <c r="A70" t="s">
        <v>216</v>
      </c>
      <c r="C70" t="s">
        <v>221</v>
      </c>
      <c r="D70" t="s">
        <v>222</v>
      </c>
      <c r="F70" t="s">
        <v>211</v>
      </c>
      <c r="J70" t="s">
        <v>223</v>
      </c>
      <c r="K70" t="s">
        <v>96</v>
      </c>
      <c r="L70">
        <v>0</v>
      </c>
      <c r="R70">
        <v>70</v>
      </c>
    </row>
    <row r="71" spans="1:18" x14ac:dyDescent="0.25">
      <c r="A71" t="s">
        <v>216</v>
      </c>
      <c r="C71" t="s">
        <v>221</v>
      </c>
      <c r="D71" t="s">
        <v>222</v>
      </c>
      <c r="F71" t="s">
        <v>212</v>
      </c>
      <c r="J71" t="s">
        <v>223</v>
      </c>
      <c r="K71" t="s">
        <v>96</v>
      </c>
      <c r="L71">
        <v>0</v>
      </c>
      <c r="R7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4" sqref="J4"/>
    </sheetView>
  </sheetViews>
  <sheetFormatPr defaultRowHeight="15" x14ac:dyDescent="0.25"/>
  <cols>
    <col min="1" max="1" width="12.7109375" bestFit="1" customWidth="1"/>
    <col min="2" max="2" width="24" bestFit="1" customWidth="1"/>
    <col min="3" max="3" width="6" bestFit="1" customWidth="1"/>
    <col min="4" max="10" width="7" bestFit="1" customWidth="1"/>
  </cols>
  <sheetData>
    <row r="1" spans="1:10" x14ac:dyDescent="0.25">
      <c r="A1" s="1" t="s">
        <v>104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101</v>
      </c>
      <c r="B2" t="s">
        <v>102</v>
      </c>
      <c r="C2" t="s">
        <v>11</v>
      </c>
      <c r="D2">
        <v>1</v>
      </c>
      <c r="F2">
        <v>1</v>
      </c>
      <c r="H2" s="3">
        <v>1</v>
      </c>
      <c r="I2" s="3"/>
      <c r="J2" s="3">
        <v>1</v>
      </c>
    </row>
    <row r="3" spans="1:10" x14ac:dyDescent="0.25">
      <c r="A3" t="s">
        <v>103</v>
      </c>
      <c r="B3" t="s">
        <v>102</v>
      </c>
      <c r="C3" t="s">
        <v>11</v>
      </c>
      <c r="D3">
        <v>1</v>
      </c>
      <c r="F3">
        <v>1</v>
      </c>
      <c r="H3" s="3">
        <v>1</v>
      </c>
      <c r="I3" s="3"/>
      <c r="J3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H10" sqref="H10"/>
    </sheetView>
  </sheetViews>
  <sheetFormatPr defaultRowHeight="15" x14ac:dyDescent="0.25"/>
  <cols>
    <col min="1" max="1" width="9.28515625" bestFit="1" customWidth="1"/>
    <col min="2" max="2" width="8" bestFit="1" customWidth="1"/>
    <col min="3" max="3" width="8.7109375" bestFit="1" customWidth="1"/>
    <col min="4" max="4" width="11" bestFit="1" customWidth="1"/>
    <col min="5" max="5" width="6" bestFit="1" customWidth="1"/>
    <col min="6" max="7" width="7" bestFit="1" customWidth="1"/>
  </cols>
  <sheetData>
    <row r="1" spans="1:7" x14ac:dyDescent="0.25">
      <c r="A1" s="1" t="s">
        <v>121</v>
      </c>
      <c r="B1" s="1" t="s">
        <v>97</v>
      </c>
      <c r="C1" s="1" t="s">
        <v>104</v>
      </c>
      <c r="D1" s="1" t="s">
        <v>1</v>
      </c>
      <c r="E1" s="1" t="s">
        <v>2</v>
      </c>
      <c r="F1" s="1" t="s">
        <v>3</v>
      </c>
      <c r="G1" s="1" t="s">
        <v>9</v>
      </c>
    </row>
    <row r="2" spans="1:7" x14ac:dyDescent="0.25">
      <c r="A2" t="s">
        <v>131</v>
      </c>
      <c r="B2" t="s">
        <v>98</v>
      </c>
      <c r="C2" t="s">
        <v>132</v>
      </c>
      <c r="D2" t="s">
        <v>120</v>
      </c>
      <c r="E2" t="s">
        <v>11</v>
      </c>
      <c r="F2" s="31">
        <v>1</v>
      </c>
      <c r="G2" s="31">
        <v>0.8</v>
      </c>
    </row>
    <row r="3" spans="1:7" x14ac:dyDescent="0.25">
      <c r="A3" t="s">
        <v>131</v>
      </c>
      <c r="C3" t="s">
        <v>122</v>
      </c>
      <c r="D3" t="s">
        <v>120</v>
      </c>
      <c r="E3" t="s">
        <v>11</v>
      </c>
      <c r="F3" s="31">
        <v>1</v>
      </c>
      <c r="G3" s="31">
        <v>0.8</v>
      </c>
    </row>
    <row r="4" spans="1:7" x14ac:dyDescent="0.25">
      <c r="F4" s="31"/>
      <c r="G4" s="3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selection activeCell="Q2" sqref="Q2:Q6"/>
    </sheetView>
  </sheetViews>
  <sheetFormatPr defaultRowHeight="15" x14ac:dyDescent="0.25"/>
  <sheetData>
    <row r="1" spans="1:14" x14ac:dyDescent="0.25">
      <c r="A1" s="41" t="s">
        <v>97</v>
      </c>
      <c r="B1" s="41" t="s">
        <v>125</v>
      </c>
      <c r="C1" s="41" t="s">
        <v>161</v>
      </c>
      <c r="D1" s="41" t="s">
        <v>104</v>
      </c>
      <c r="E1" s="41" t="s">
        <v>160</v>
      </c>
      <c r="F1" s="41" t="s">
        <v>1</v>
      </c>
      <c r="G1" s="4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25">
      <c r="C2" s="42" t="s">
        <v>162</v>
      </c>
      <c r="F2" s="42" t="s">
        <v>166</v>
      </c>
      <c r="G2" t="s">
        <v>11</v>
      </c>
      <c r="H2">
        <v>1</v>
      </c>
      <c r="N2">
        <v>1</v>
      </c>
    </row>
    <row r="3" spans="1:14" x14ac:dyDescent="0.25">
      <c r="C3" s="42" t="s">
        <v>163</v>
      </c>
      <c r="F3" s="42" t="s">
        <v>166</v>
      </c>
      <c r="G3" t="s">
        <v>11</v>
      </c>
      <c r="H3">
        <v>1</v>
      </c>
      <c r="N3">
        <v>1</v>
      </c>
    </row>
    <row r="4" spans="1:14" x14ac:dyDescent="0.25">
      <c r="C4" s="42" t="s">
        <v>164</v>
      </c>
      <c r="F4" s="42" t="s">
        <v>166</v>
      </c>
      <c r="G4" t="s">
        <v>11</v>
      </c>
      <c r="H4">
        <v>1</v>
      </c>
      <c r="N4">
        <v>1</v>
      </c>
    </row>
    <row r="5" spans="1:14" x14ac:dyDescent="0.25">
      <c r="C5" s="42" t="s">
        <v>165</v>
      </c>
      <c r="F5" s="42" t="s">
        <v>166</v>
      </c>
      <c r="G5" t="s">
        <v>11</v>
      </c>
      <c r="H5">
        <v>1</v>
      </c>
      <c r="N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G5" sqref="G5"/>
    </sheetView>
  </sheetViews>
  <sheetFormatPr defaultRowHeight="15" x14ac:dyDescent="0.25"/>
  <cols>
    <col min="1" max="1" width="15" bestFit="1" customWidth="1"/>
    <col min="2" max="2" width="15.85546875" bestFit="1" customWidth="1"/>
    <col min="3" max="3" width="20.140625" bestFit="1" customWidth="1"/>
    <col min="4" max="4" width="6" bestFit="1" customWidth="1"/>
    <col min="5" max="6" width="7" bestFit="1" customWidth="1"/>
  </cols>
  <sheetData>
    <row r="1" spans="1:9" x14ac:dyDescent="0.25">
      <c r="A1" s="1" t="s">
        <v>116</v>
      </c>
      <c r="B1" s="1" t="s">
        <v>117</v>
      </c>
      <c r="C1" s="1" t="s">
        <v>1</v>
      </c>
      <c r="D1" s="1" t="s">
        <v>2</v>
      </c>
      <c r="E1" s="1" t="s">
        <v>3</v>
      </c>
      <c r="F1" s="1" t="s">
        <v>9</v>
      </c>
      <c r="I1" s="1"/>
    </row>
    <row r="2" spans="1:9" x14ac:dyDescent="0.25">
      <c r="A2" t="s">
        <v>114</v>
      </c>
      <c r="B2" s="18" t="s">
        <v>127</v>
      </c>
      <c r="C2" s="29" t="s">
        <v>115</v>
      </c>
      <c r="D2" t="s">
        <v>96</v>
      </c>
      <c r="E2" s="32">
        <f>(241822577+237201100)/(241822577+237201100+5856000+8368914)*100</f>
        <v>97.116076100458642</v>
      </c>
      <c r="F2" s="31">
        <v>0</v>
      </c>
    </row>
    <row r="3" spans="1:9" x14ac:dyDescent="0.25">
      <c r="A3" t="s">
        <v>114</v>
      </c>
      <c r="B3" s="18" t="s">
        <v>128</v>
      </c>
      <c r="C3" s="29" t="s">
        <v>115</v>
      </c>
      <c r="D3" t="s">
        <v>96</v>
      </c>
      <c r="E3" s="32">
        <f>100-E2</f>
        <v>2.8839238995413581</v>
      </c>
      <c r="F3" s="31">
        <v>25</v>
      </c>
    </row>
    <row r="4" spans="1:9" x14ac:dyDescent="0.25">
      <c r="A4" t="s">
        <v>114</v>
      </c>
      <c r="B4" s="18" t="s">
        <v>129</v>
      </c>
      <c r="C4" s="29" t="s">
        <v>115</v>
      </c>
      <c r="D4" t="s">
        <v>96</v>
      </c>
      <c r="E4" s="32">
        <v>0</v>
      </c>
      <c r="F4" s="31">
        <v>0</v>
      </c>
    </row>
    <row r="5" spans="1:9" x14ac:dyDescent="0.25">
      <c r="A5" t="s">
        <v>114</v>
      </c>
      <c r="B5" s="29" t="s">
        <v>130</v>
      </c>
      <c r="C5" s="29" t="s">
        <v>115</v>
      </c>
      <c r="D5" t="s">
        <v>96</v>
      </c>
      <c r="E5" s="32">
        <v>0</v>
      </c>
      <c r="F5" s="31">
        <v>75</v>
      </c>
    </row>
    <row r="6" spans="1:9" x14ac:dyDescent="0.25">
      <c r="E6" s="30"/>
      <c r="F6" s="3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D13" sqref="D13"/>
    </sheetView>
  </sheetViews>
  <sheetFormatPr defaultRowHeight="15" x14ac:dyDescent="0.25"/>
  <sheetData>
    <row r="1" spans="1:5" x14ac:dyDescent="0.25">
      <c r="A1" s="1" t="s">
        <v>170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5" x14ac:dyDescent="0.25">
      <c r="A2" t="s">
        <v>171</v>
      </c>
      <c r="B2" t="s">
        <v>172</v>
      </c>
      <c r="C2" t="s">
        <v>11</v>
      </c>
      <c r="D2">
        <v>1</v>
      </c>
      <c r="E2">
        <f>1-0.3</f>
        <v>0.7</v>
      </c>
    </row>
    <row r="3" spans="1:5" x14ac:dyDescent="0.25">
      <c r="A3" t="s">
        <v>171</v>
      </c>
      <c r="B3" t="s">
        <v>173</v>
      </c>
      <c r="C3" t="s">
        <v>11</v>
      </c>
      <c r="D3">
        <v>1</v>
      </c>
      <c r="E3">
        <f>1-0.3</f>
        <v>0.7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8"/>
  <sheetViews>
    <sheetView workbookViewId="0">
      <selection activeCell="O30" sqref="O30"/>
    </sheetView>
  </sheetViews>
  <sheetFormatPr defaultRowHeight="15" x14ac:dyDescent="0.25"/>
  <sheetData>
    <row r="2" spans="2:22" x14ac:dyDescent="0.25">
      <c r="B2" s="27" t="s">
        <v>106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2:22" ht="15.75" thickBot="1" x14ac:dyDescent="0.3"/>
    <row r="4" spans="2:22" x14ac:dyDescent="0.25">
      <c r="B4" s="14" t="s">
        <v>108</v>
      </c>
      <c r="C4" s="15"/>
      <c r="D4" s="15"/>
      <c r="E4" s="15"/>
      <c r="F4" s="15"/>
      <c r="G4" s="15"/>
      <c r="H4" s="16"/>
      <c r="J4" s="14" t="s">
        <v>107</v>
      </c>
      <c r="K4" s="15"/>
      <c r="L4" s="15"/>
      <c r="M4" s="15"/>
      <c r="N4" s="15"/>
      <c r="O4" s="15"/>
      <c r="P4" s="16"/>
    </row>
    <row r="5" spans="2:22" x14ac:dyDescent="0.25">
      <c r="B5" s="17"/>
      <c r="C5" s="18"/>
      <c r="D5" s="18"/>
      <c r="E5" s="18"/>
      <c r="F5" s="18"/>
      <c r="G5" s="18"/>
      <c r="H5" s="19"/>
      <c r="J5" s="17"/>
      <c r="K5" s="18"/>
      <c r="L5" s="18"/>
      <c r="M5" s="18"/>
      <c r="N5" s="18"/>
      <c r="O5" s="18"/>
      <c r="P5" s="19"/>
    </row>
    <row r="6" spans="2:22" x14ac:dyDescent="0.25">
      <c r="B6" s="17"/>
      <c r="C6" s="18" t="s">
        <v>105</v>
      </c>
      <c r="D6" s="18"/>
      <c r="E6" s="18"/>
      <c r="F6" s="18"/>
      <c r="G6" s="18"/>
      <c r="H6" s="19"/>
      <c r="J6" s="17"/>
      <c r="K6" s="18" t="s">
        <v>109</v>
      </c>
      <c r="L6" s="18"/>
      <c r="M6" s="18"/>
      <c r="N6" s="18"/>
      <c r="O6" s="18"/>
      <c r="P6" s="19"/>
    </row>
    <row r="7" spans="2:22" x14ac:dyDescent="0.25">
      <c r="B7" s="17">
        <v>2012</v>
      </c>
      <c r="C7" s="18">
        <v>26.2</v>
      </c>
      <c r="D7" s="18"/>
      <c r="E7" s="18"/>
      <c r="F7" s="18"/>
      <c r="G7" s="18"/>
      <c r="H7" s="19"/>
      <c r="J7" s="17">
        <v>2012</v>
      </c>
      <c r="K7" s="18">
        <v>1.7</v>
      </c>
      <c r="L7" s="18"/>
      <c r="M7" s="18"/>
      <c r="N7" s="18"/>
      <c r="O7" s="18"/>
      <c r="P7" s="19"/>
    </row>
    <row r="8" spans="2:22" x14ac:dyDescent="0.25">
      <c r="B8" s="17">
        <v>2013</v>
      </c>
      <c r="C8" s="18">
        <v>26.1</v>
      </c>
      <c r="D8" s="20"/>
      <c r="E8" s="18"/>
      <c r="F8" s="18"/>
      <c r="G8" s="18"/>
      <c r="H8" s="19"/>
      <c r="J8" s="17">
        <v>2013</v>
      </c>
      <c r="K8" s="18">
        <v>1.6</v>
      </c>
      <c r="L8" s="18"/>
      <c r="M8" s="18"/>
      <c r="N8" s="18"/>
      <c r="O8" s="18"/>
      <c r="P8" s="19"/>
    </row>
    <row r="9" spans="2:22" x14ac:dyDescent="0.25">
      <c r="B9" s="17">
        <v>2014</v>
      </c>
      <c r="C9" s="18">
        <v>26.7</v>
      </c>
      <c r="D9" s="20"/>
      <c r="E9" s="18"/>
      <c r="F9" s="18"/>
      <c r="G9" s="18"/>
      <c r="H9" s="19"/>
      <c r="J9" s="17">
        <v>2014</v>
      </c>
      <c r="K9" s="18">
        <v>1.6</v>
      </c>
      <c r="L9" s="18"/>
      <c r="M9" s="18"/>
      <c r="N9" s="18"/>
      <c r="O9" s="18"/>
      <c r="P9" s="19"/>
    </row>
    <row r="10" spans="2:22" x14ac:dyDescent="0.25">
      <c r="B10" s="17">
        <v>2015</v>
      </c>
      <c r="C10" s="18">
        <v>26.6</v>
      </c>
      <c r="D10" s="20"/>
      <c r="E10" s="18"/>
      <c r="F10" s="18"/>
      <c r="G10" s="18"/>
      <c r="H10" s="19"/>
      <c r="J10" s="17">
        <v>2015</v>
      </c>
      <c r="K10" s="18">
        <v>1.5</v>
      </c>
      <c r="L10" s="18"/>
      <c r="M10" s="18"/>
      <c r="N10" s="18"/>
      <c r="O10" s="18"/>
      <c r="P10" s="19"/>
    </row>
    <row r="11" spans="2:22" x14ac:dyDescent="0.25">
      <c r="B11" s="17">
        <v>2016</v>
      </c>
      <c r="C11" s="18">
        <v>27</v>
      </c>
      <c r="D11" s="20"/>
      <c r="E11" s="18"/>
      <c r="F11" s="18"/>
      <c r="G11" s="18"/>
      <c r="H11" s="19"/>
      <c r="J11" s="17">
        <v>2016</v>
      </c>
      <c r="K11" s="18">
        <v>1.7</v>
      </c>
      <c r="L11" s="18"/>
      <c r="M11" s="18"/>
      <c r="N11" s="18"/>
      <c r="O11" s="18"/>
      <c r="P11" s="19"/>
    </row>
    <row r="12" spans="2:22" x14ac:dyDescent="0.25">
      <c r="B12" s="17">
        <v>2017</v>
      </c>
      <c r="C12" s="18">
        <v>25.7</v>
      </c>
      <c r="D12" s="20"/>
      <c r="E12" s="18"/>
      <c r="F12" s="18"/>
      <c r="G12" s="18"/>
      <c r="H12" s="19"/>
      <c r="J12" s="17">
        <v>2017</v>
      </c>
      <c r="K12" s="18">
        <v>1.6</v>
      </c>
      <c r="L12" s="18"/>
      <c r="M12" s="18"/>
      <c r="N12" s="18"/>
      <c r="O12" s="18"/>
      <c r="P12" s="19"/>
    </row>
    <row r="13" spans="2:22" x14ac:dyDescent="0.25">
      <c r="B13" s="17">
        <v>2018</v>
      </c>
      <c r="C13" s="18">
        <v>25.4</v>
      </c>
      <c r="D13" s="20"/>
      <c r="E13" s="18"/>
      <c r="F13" s="18"/>
      <c r="G13" s="18"/>
      <c r="H13" s="19"/>
      <c r="J13" s="17">
        <v>2018</v>
      </c>
      <c r="K13" s="18">
        <v>1.8</v>
      </c>
      <c r="L13" s="18"/>
      <c r="M13" s="18"/>
      <c r="N13" s="18"/>
      <c r="O13" s="18"/>
      <c r="P13" s="19"/>
    </row>
    <row r="14" spans="2:22" x14ac:dyDescent="0.25">
      <c r="B14" s="17">
        <v>2019</v>
      </c>
      <c r="C14" s="18">
        <v>25.8</v>
      </c>
      <c r="D14" s="20"/>
      <c r="E14" s="18"/>
      <c r="F14" s="18"/>
      <c r="G14" s="18"/>
      <c r="H14" s="19"/>
      <c r="J14" s="17">
        <v>2019</v>
      </c>
      <c r="K14" s="18">
        <v>1.7</v>
      </c>
      <c r="L14" s="18"/>
      <c r="M14" s="18"/>
      <c r="N14" s="18"/>
      <c r="O14" s="18"/>
      <c r="P14" s="19"/>
    </row>
    <row r="15" spans="2:22" x14ac:dyDescent="0.25">
      <c r="B15" s="17">
        <v>2020</v>
      </c>
      <c r="C15" s="18">
        <v>25.3</v>
      </c>
      <c r="D15" s="20"/>
      <c r="E15" s="18"/>
      <c r="F15" s="18"/>
      <c r="G15" s="18"/>
      <c r="H15" s="19"/>
      <c r="J15" s="17">
        <v>2020</v>
      </c>
      <c r="K15" s="18">
        <v>1.7</v>
      </c>
      <c r="L15" s="18"/>
      <c r="M15" s="18"/>
      <c r="N15" s="18"/>
      <c r="O15" s="18"/>
      <c r="P15" s="19"/>
    </row>
    <row r="16" spans="2:22" x14ac:dyDescent="0.25">
      <c r="B16" s="17">
        <v>2021</v>
      </c>
      <c r="C16" s="18">
        <v>24.8</v>
      </c>
      <c r="D16" s="20"/>
      <c r="E16" s="18"/>
      <c r="F16" s="18"/>
      <c r="G16" s="18"/>
      <c r="H16" s="19"/>
      <c r="J16" s="17">
        <v>2021</v>
      </c>
      <c r="K16" s="18">
        <v>1.7</v>
      </c>
      <c r="L16" s="18"/>
      <c r="M16" s="18"/>
      <c r="N16" s="18"/>
      <c r="O16" s="18"/>
      <c r="P16" s="19"/>
    </row>
    <row r="17" spans="2:16" x14ac:dyDescent="0.25">
      <c r="B17" s="17">
        <v>2022</v>
      </c>
      <c r="C17" s="18">
        <v>24.6</v>
      </c>
      <c r="D17" s="20"/>
      <c r="E17" s="24">
        <f>(C17-C7)/C7</f>
        <v>-6.1068702290076257E-2</v>
      </c>
      <c r="F17" s="25" t="s">
        <v>100</v>
      </c>
      <c r="G17" s="26"/>
      <c r="H17" s="19"/>
      <c r="J17" s="17">
        <v>2022</v>
      </c>
      <c r="K17" s="18">
        <v>1.7</v>
      </c>
      <c r="L17" s="18"/>
      <c r="M17" s="18"/>
      <c r="N17" s="18"/>
      <c r="O17" s="18"/>
      <c r="P17" s="19"/>
    </row>
    <row r="18" spans="2:16" ht="15.75" thickBot="1" x14ac:dyDescent="0.3">
      <c r="B18" s="21"/>
      <c r="C18" s="22"/>
      <c r="D18" s="22"/>
      <c r="E18" s="22"/>
      <c r="F18" s="22"/>
      <c r="G18" s="22"/>
      <c r="H18" s="23"/>
      <c r="J18" s="21"/>
      <c r="K18" s="22"/>
      <c r="L18" s="22"/>
      <c r="M18" s="22"/>
      <c r="N18" s="22"/>
      <c r="O18" s="22"/>
      <c r="P18" s="2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Regions</vt:lpstr>
      <vt:lpstr>DemandAndConversions</vt:lpstr>
      <vt:lpstr>CropProduction</vt:lpstr>
      <vt:lpstr>CattleHerd</vt:lpstr>
      <vt:lpstr>ManureMgmt</vt:lpstr>
      <vt:lpstr>PigHerd</vt:lpstr>
      <vt:lpstr>FeedMgmt</vt:lpstr>
      <vt:lpstr>SheepHerd</vt:lpstr>
      <vt:lpstr>MachineryAndEnergyMgmt</vt:lpstr>
      <vt:lpstr>PlantNutrientMgmt</vt:lpstr>
      <vt:lpstr>motivations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2024-09-05T11:25:50Z</dcterms:modified>
</cp:coreProperties>
</file>