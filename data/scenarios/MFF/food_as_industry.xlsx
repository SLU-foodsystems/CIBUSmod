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360" windowHeight="6615" activeTab="1"/>
  </bookViews>
  <sheets>
    <sheet name="Regions" sheetId="7" r:id="rId1"/>
    <sheet name="DemandAndConversions" sheetId="2" r:id="rId2"/>
    <sheet name="CropProduction" sheetId="6" r:id="rId3"/>
    <sheet name="CattleHerd" sheetId="3" r:id="rId4"/>
    <sheet name="ManureMgmt" sheetId="12" r:id="rId5"/>
    <sheet name="PigHerd" sheetId="4" r:id="rId6"/>
    <sheet name="FeedMgmt" sheetId="9" r:id="rId7"/>
    <sheet name="MachineryAndEnergyMgmt" sheetId="8" r:id="rId8"/>
    <sheet name="PlantNutrientMgmt" sheetId="10" r:id="rId9"/>
    <sheet name="motivations" sheetId="5" r:id="rId10"/>
    <sheet name="regionstest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6" l="1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 l="1"/>
  <c r="E12" i="6"/>
  <c r="E11" i="6"/>
  <c r="E10" i="6"/>
  <c r="E9" i="6"/>
  <c r="E8" i="6"/>
  <c r="E7" i="6"/>
  <c r="E6" i="6"/>
  <c r="E4" i="6"/>
  <c r="E3" i="6"/>
  <c r="E2" i="6"/>
  <c r="E5" i="6"/>
  <c r="K214" i="2" l="1"/>
  <c r="K215" i="2"/>
  <c r="K216" i="2"/>
  <c r="K217" i="2"/>
  <c r="K218" i="2"/>
  <c r="K219" i="2"/>
  <c r="K220" i="2"/>
  <c r="K221" i="2"/>
  <c r="K222" i="2"/>
  <c r="K223" i="2"/>
  <c r="K225" i="2"/>
  <c r="K226" i="2"/>
  <c r="K227" i="2"/>
  <c r="K228" i="2"/>
  <c r="K230" i="2"/>
  <c r="K231" i="2"/>
  <c r="K232" i="2"/>
  <c r="K233" i="2"/>
  <c r="K234" i="2"/>
  <c r="K235" i="2"/>
  <c r="K236" i="2"/>
  <c r="K238" i="2"/>
  <c r="K239" i="2"/>
  <c r="K240" i="2"/>
  <c r="K241" i="2"/>
  <c r="K243" i="2"/>
  <c r="K245" i="2"/>
  <c r="K246" i="2"/>
  <c r="K247" i="2"/>
  <c r="K248" i="2"/>
  <c r="K250" i="2"/>
  <c r="K251" i="2"/>
  <c r="K253" i="2"/>
  <c r="K255" i="2"/>
  <c r="K256" i="2"/>
  <c r="K258" i="2"/>
  <c r="K260" i="2"/>
  <c r="K261" i="2"/>
  <c r="K263" i="2"/>
  <c r="K264" i="2"/>
  <c r="K265" i="2"/>
  <c r="K266" i="2"/>
  <c r="K268" i="2"/>
  <c r="K269" i="2"/>
  <c r="K270" i="2"/>
  <c r="K213" i="2"/>
  <c r="K204" i="2" l="1"/>
  <c r="E2" i="11" l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3" i="11"/>
  <c r="E24" i="11"/>
  <c r="E25" i="11"/>
  <c r="E29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K3" i="2" l="1"/>
  <c r="J3" i="2" l="1"/>
  <c r="I3" i="2"/>
  <c r="H3" i="2"/>
  <c r="G3" i="2"/>
  <c r="F3" i="2"/>
  <c r="K163" i="2" l="1"/>
  <c r="K162" i="2"/>
  <c r="K147" i="2"/>
  <c r="K146" i="2"/>
  <c r="K132" i="2"/>
  <c r="K133" i="2"/>
  <c r="K134" i="2"/>
  <c r="K135" i="2"/>
  <c r="K136" i="2"/>
  <c r="K137" i="2"/>
  <c r="K138" i="2"/>
  <c r="K131" i="2"/>
  <c r="K80" i="2"/>
  <c r="K86" i="2" l="1"/>
  <c r="K85" i="2"/>
  <c r="K84" i="2"/>
  <c r="K63" i="2"/>
  <c r="E2" i="8" l="1"/>
  <c r="E3" i="8" s="1"/>
  <c r="F3" i="4" l="1"/>
  <c r="H3" i="4" s="1"/>
  <c r="J3" i="4" s="1"/>
  <c r="F2" i="4"/>
  <c r="H2" i="4" s="1"/>
  <c r="J2" i="4" s="1"/>
  <c r="E17" i="5"/>
  <c r="K62" i="2" l="1"/>
  <c r="K185" i="2" l="1"/>
  <c r="K184" i="2"/>
  <c r="K180" i="2"/>
  <c r="K178" i="2"/>
  <c r="K176" i="2"/>
  <c r="K172" i="2"/>
  <c r="K149" i="2"/>
  <c r="K148" i="2"/>
  <c r="K145" i="2"/>
  <c r="K144" i="2"/>
  <c r="K143" i="2"/>
  <c r="K142" i="2"/>
  <c r="K141" i="2"/>
  <c r="K129" i="2"/>
  <c r="K128" i="2"/>
  <c r="K127" i="2"/>
  <c r="K126" i="2"/>
  <c r="K123" i="2"/>
  <c r="K118" i="2"/>
  <c r="K113" i="2"/>
  <c r="E179" i="2"/>
  <c r="K179" i="2" s="1"/>
  <c r="E159" i="2"/>
  <c r="E154" i="2"/>
  <c r="K154" i="2" s="1"/>
  <c r="E153" i="2"/>
  <c r="E152" i="2"/>
  <c r="E151" i="2"/>
  <c r="E124" i="2"/>
  <c r="K124" i="2" s="1"/>
  <c r="E122" i="2"/>
  <c r="E120" i="2"/>
  <c r="E117" i="2"/>
  <c r="E114" i="2"/>
  <c r="K114" i="2" s="1"/>
  <c r="K91" i="2" l="1"/>
  <c r="K90" i="2"/>
  <c r="K89" i="2"/>
  <c r="K88" i="2"/>
  <c r="K49" i="2"/>
  <c r="K50" i="2"/>
  <c r="K51" i="2"/>
  <c r="K52" i="2"/>
  <c r="K53" i="2"/>
  <c r="K54" i="2"/>
  <c r="K55" i="2"/>
  <c r="K56" i="2"/>
  <c r="K48" i="2"/>
</calcChain>
</file>

<file path=xl/sharedStrings.xml><?xml version="1.0" encoding="utf-8"?>
<sst xmlns="http://schemas.openxmlformats.org/spreadsheetml/2006/main" count="1576" uniqueCount="243">
  <si>
    <t>f_food</t>
  </si>
  <si>
    <t>parameter</t>
  </si>
  <si>
    <t>val_is</t>
  </si>
  <si>
    <t>y_2020</t>
  </si>
  <si>
    <t>y_2025</t>
  </si>
  <si>
    <t>y_2030</t>
  </si>
  <si>
    <t>y_2035</t>
  </si>
  <si>
    <t>y_2040</t>
  </si>
  <si>
    <t>y_2045</t>
  </si>
  <si>
    <t>y_2050</t>
  </si>
  <si>
    <t>population</t>
  </si>
  <si>
    <t>rel</t>
  </si>
  <si>
    <t>consumption</t>
  </si>
  <si>
    <t>Pig meat and products</t>
  </si>
  <si>
    <t>DIET</t>
  </si>
  <si>
    <t>Cereals (excl. beer)</t>
  </si>
  <si>
    <t>Wheat and products, refined</t>
  </si>
  <si>
    <t>Wheat and products, whole grain</t>
  </si>
  <si>
    <t>Barley and products, refined</t>
  </si>
  <si>
    <t>Barley and products, whole grain</t>
  </si>
  <si>
    <t>Maize and products</t>
  </si>
  <si>
    <t>Rye and products, refined</t>
  </si>
  <si>
    <t>Rye and products, whole grain</t>
  </si>
  <si>
    <t>Oats and products, refined</t>
  </si>
  <si>
    <t>Oats and products, whole grain</t>
  </si>
  <si>
    <t>Other cereals and products, refined</t>
  </si>
  <si>
    <t>Other cereals and products, whole grain</t>
  </si>
  <si>
    <t>Tubers or starchy vegetables</t>
  </si>
  <si>
    <t>Potatoes, fresh</t>
  </si>
  <si>
    <t>Potatoes, frozen</t>
  </si>
  <si>
    <t>Potato flour</t>
  </si>
  <si>
    <t>Starch of potatoes</t>
  </si>
  <si>
    <t>Vegetables DONE!</t>
  </si>
  <si>
    <t>Carrots and turnips</t>
  </si>
  <si>
    <t>Onions, dry</t>
  </si>
  <si>
    <t>Cabbages (and cauliflower &amp; broccoli)</t>
  </si>
  <si>
    <t>Lettuce and spinach</t>
  </si>
  <si>
    <t>Pumpkins, squash and gourds</t>
  </si>
  <si>
    <t>Peas, green</t>
  </si>
  <si>
    <t>Tomatoes and products</t>
  </si>
  <si>
    <t>Cucumbers and gherkins</t>
  </si>
  <si>
    <t>Mushrooms and truffles</t>
  </si>
  <si>
    <t>Other vegetables</t>
  </si>
  <si>
    <t>Fruits and berries (excl. wine)</t>
  </si>
  <si>
    <t>Apples</t>
  </si>
  <si>
    <t>Apple juice</t>
  </si>
  <si>
    <t>Apple juice concentrate</t>
  </si>
  <si>
    <t>Pears</t>
  </si>
  <si>
    <t>Other fruit</t>
  </si>
  <si>
    <t>Strawberries</t>
  </si>
  <si>
    <t>Currants</t>
  </si>
  <si>
    <t>Other berries</t>
  </si>
  <si>
    <t>Dairy foods</t>
  </si>
  <si>
    <t>Milk and products less than 1% fat</t>
  </si>
  <si>
    <t>Milk and products 1-2% fat</t>
  </si>
  <si>
    <t>Milk and products more than 2% fat</t>
  </si>
  <si>
    <t>Cheese</t>
  </si>
  <si>
    <t>Icecream</t>
  </si>
  <si>
    <t>Sourcream</t>
  </si>
  <si>
    <t>Cream low fat</t>
  </si>
  <si>
    <t>Cream high fat</t>
  </si>
  <si>
    <t>Butter</t>
  </si>
  <si>
    <t>Meat, offals and animal fats</t>
  </si>
  <si>
    <t>Bovine meat and products</t>
  </si>
  <si>
    <t>Poultry meat and products</t>
  </si>
  <si>
    <t>Eggs</t>
  </si>
  <si>
    <t>Fish</t>
  </si>
  <si>
    <t>Pulses and oil seeds</t>
  </si>
  <si>
    <t>Peas, dry</t>
  </si>
  <si>
    <t>Broad beans and horse beans, dry</t>
  </si>
  <si>
    <t>Beans, dry</t>
  </si>
  <si>
    <t>Chick peas, dry</t>
  </si>
  <si>
    <t>Lentils, dry</t>
  </si>
  <si>
    <t>Treenuts</t>
  </si>
  <si>
    <t>Vegetable oils</t>
  </si>
  <si>
    <t>Rape and mustard oil and products</t>
  </si>
  <si>
    <t>Sunflowerseed oil and products</t>
  </si>
  <si>
    <t>Olive oil and products</t>
  </si>
  <si>
    <t>Sweeteners</t>
  </si>
  <si>
    <t>Sugar and products</t>
  </si>
  <si>
    <t>Other sweeteners</t>
  </si>
  <si>
    <t>Honey</t>
  </si>
  <si>
    <t>Alcoholic beverages</t>
  </si>
  <si>
    <t>Wine and products</t>
  </si>
  <si>
    <t>Barley beer</t>
  </si>
  <si>
    <t>Beverages, fermented and products</t>
  </si>
  <si>
    <t>Beverages, alcoholic</t>
  </si>
  <si>
    <t>Stimulants</t>
  </si>
  <si>
    <t>Spices</t>
  </si>
  <si>
    <t>Wild food</t>
  </si>
  <si>
    <t>Novel foods</t>
  </si>
  <si>
    <t>POPULATION</t>
  </si>
  <si>
    <t>IMPORT SHARES</t>
  </si>
  <si>
    <t>Fruits (excl. wine)</t>
  </si>
  <si>
    <t>Vegetables</t>
  </si>
  <si>
    <t>share_imported</t>
  </si>
  <si>
    <t>abs</t>
  </si>
  <si>
    <t>f_breed</t>
  </si>
  <si>
    <t>dairy</t>
  </si>
  <si>
    <t>milk_prod</t>
  </si>
  <si>
    <t>over 10 years</t>
  </si>
  <si>
    <t>growing pigs</t>
  </si>
  <si>
    <t>feed_energy_per_growth</t>
  </si>
  <si>
    <t>finishing pigs</t>
  </si>
  <si>
    <t>f_animal</t>
  </si>
  <si>
    <t>MJ NE/kg w.g.</t>
  </si>
  <si>
    <t>PIGS</t>
  </si>
  <si>
    <t>Mortality</t>
  </si>
  <si>
    <t>Growing/finishing pigs energy per kg weight gain</t>
  </si>
  <si>
    <t>growing/finishing</t>
  </si>
  <si>
    <t>yield</t>
  </si>
  <si>
    <t>field machinery</t>
  </si>
  <si>
    <t>energy_source_share</t>
  </si>
  <si>
    <t>f_activity</t>
  </si>
  <si>
    <t>f_energy_source</t>
  </si>
  <si>
    <t>enteric_adj</t>
  </si>
  <si>
    <t>f_species</t>
  </si>
  <si>
    <t>bulls</t>
  </si>
  <si>
    <t>beef</t>
  </si>
  <si>
    <t>slaughter_share_male_as_steers</t>
  </si>
  <si>
    <t>f_prod_system</t>
  </si>
  <si>
    <t>slaughter_weight</t>
  </si>
  <si>
    <t>f_crop</t>
  </si>
  <si>
    <t>Semi-natural pastures</t>
  </si>
  <si>
    <t>Semi-natural meadows</t>
  </si>
  <si>
    <t>Diesel</t>
  </si>
  <si>
    <t>Biodiesel</t>
  </si>
  <si>
    <t>Hydrogen</t>
  </si>
  <si>
    <t>Electricity</t>
  </si>
  <si>
    <t>cattle</t>
  </si>
  <si>
    <t>cows</t>
  </si>
  <si>
    <t>Pea protein product</t>
  </si>
  <si>
    <t>Wheat protein product</t>
  </si>
  <si>
    <t>Quinoa</t>
  </si>
  <si>
    <t>Eggs novel foods</t>
  </si>
  <si>
    <t>Sweet lupin</t>
  </si>
  <si>
    <t>Grey pea</t>
  </si>
  <si>
    <t>Hazelnuts</t>
  </si>
  <si>
    <t>Walnuts</t>
  </si>
  <si>
    <t>Seeds</t>
  </si>
  <si>
    <t>Sunflower seeds</t>
  </si>
  <si>
    <t>Rapeseed oil novel foods</t>
  </si>
  <si>
    <t>Soy protein product</t>
  </si>
  <si>
    <t>Oat drink</t>
  </si>
  <si>
    <t>Cellbased meat</t>
  </si>
  <si>
    <t>Cellbased dairy</t>
  </si>
  <si>
    <t>Quorn</t>
  </si>
  <si>
    <t>Tempeh faba bean</t>
  </si>
  <si>
    <t>Tofu faba beans</t>
  </si>
  <si>
    <t>Cellbased fish</t>
  </si>
  <si>
    <t>Microbial fats (yeast)</t>
  </si>
  <si>
    <t>Microbial fats (algae)</t>
  </si>
  <si>
    <t>Microbial eggs</t>
  </si>
  <si>
    <t>Beetroot</t>
  </si>
  <si>
    <t>obs ändra ej här</t>
  </si>
  <si>
    <t>Mutton/goat meat</t>
  </si>
  <si>
    <t>f_compound</t>
  </si>
  <si>
    <t>N2O-N</t>
  </si>
  <si>
    <t>soil_losses_mineral</t>
  </si>
  <si>
    <t>soil_losses_manure</t>
  </si>
  <si>
    <t>Wheat, winter</t>
  </si>
  <si>
    <t>Wheat, spring</t>
  </si>
  <si>
    <t>Rye</t>
  </si>
  <si>
    <t>Barley, winter</t>
  </si>
  <si>
    <t>Barley, spring</t>
  </si>
  <si>
    <t>Oats</t>
  </si>
  <si>
    <t>Triticale, winter</t>
  </si>
  <si>
    <t>Triticale, spring</t>
  </si>
  <si>
    <t>Maize (corn)</t>
  </si>
  <si>
    <t>Mixed cereals</t>
  </si>
  <si>
    <t>Rapeseed, winter</t>
  </si>
  <si>
    <t>Rapeseed, spring</t>
  </si>
  <si>
    <t>Potatoes, table</t>
  </si>
  <si>
    <t>Potatoes, starch</t>
  </si>
  <si>
    <t>Sugar beet</t>
  </si>
  <si>
    <t>Ley for seed</t>
  </si>
  <si>
    <t>Fallow</t>
  </si>
  <si>
    <t>Energy grass</t>
  </si>
  <si>
    <t>Short rotation coppice</t>
  </si>
  <si>
    <t>Green manure</t>
  </si>
  <si>
    <t>Ley for fodder</t>
  </si>
  <si>
    <t>Ley for grazing</t>
  </si>
  <si>
    <t>Ley not harvested</t>
  </si>
  <si>
    <t>Maize for forage and silage</t>
  </si>
  <si>
    <t>Cereals for fodder</t>
  </si>
  <si>
    <t>Other crops for fodder</t>
  </si>
  <si>
    <t>Onions</t>
  </si>
  <si>
    <t>Carrots</t>
  </si>
  <si>
    <t>Other root vegetables</t>
  </si>
  <si>
    <t>Cabbages, cauliflowers and broccoli</t>
  </si>
  <si>
    <t>Cucumbers</t>
  </si>
  <si>
    <t>Pumpkins and squash</t>
  </si>
  <si>
    <t>Herbs</t>
  </si>
  <si>
    <t>Tomatoes, greenhouse</t>
  </si>
  <si>
    <t>Cucumbers, greenhouse</t>
  </si>
  <si>
    <t>Lettuce, greenhouse</t>
  </si>
  <si>
    <t>Other vegetables, greenhouse</t>
  </si>
  <si>
    <t>Herbs, greenhouse</t>
  </si>
  <si>
    <t>Strawberries, greenhouse</t>
  </si>
  <si>
    <t>Other berries, greenhouse</t>
  </si>
  <si>
    <t>f_land_use</t>
  </si>
  <si>
    <t>cropland</t>
  </si>
  <si>
    <t>max_land_use_factor</t>
  </si>
  <si>
    <t>greenhouse</t>
  </si>
  <si>
    <t>semi-natural grasslands</t>
  </si>
  <si>
    <t>Exports</t>
  </si>
  <si>
    <t>export_demand</t>
  </si>
  <si>
    <t>conventional</t>
  </si>
  <si>
    <t>organic</t>
  </si>
  <si>
    <t>assumed to be with bones (but model calculates with bones, so correct), double export as there is 0 exprot in the model for current situation.</t>
  </si>
  <si>
    <t>doubling because the conventional export is still there</t>
  </si>
  <si>
    <t>assumed to be the same as cheese for now</t>
  </si>
  <si>
    <t>share_in_prod_system</t>
  </si>
  <si>
    <r>
      <t>PRODUCTION SYSTEM SHARES</t>
    </r>
    <r>
      <rPr>
        <sz val="11"/>
        <color rgb="FF7030A0"/>
        <rFont val="Calibri"/>
        <family val="2"/>
        <scheme val="minor"/>
      </rPr>
      <t xml:space="preserve"> (shares can be different for 'domestic' and 'imported' by specifying 'f_origin')</t>
    </r>
  </si>
  <si>
    <t>BIOENERGY AND OTHER NON-FOOD DEMAND</t>
  </si>
  <si>
    <t>Biofuel, ethanol</t>
  </si>
  <si>
    <t>non_food_demand</t>
  </si>
  <si>
    <t>Biofuel, RME</t>
  </si>
  <si>
    <t>Biofuel, ethanol straw</t>
  </si>
  <si>
    <t>Rice and products, whole grain</t>
  </si>
  <si>
    <t>f_animal_prod</t>
  </si>
  <si>
    <t>f_MMS</t>
  </si>
  <si>
    <t>f_element</t>
  </si>
  <si>
    <t>f_feed</t>
  </si>
  <si>
    <t>liquid</t>
  </si>
  <si>
    <t>mms_share</t>
  </si>
  <si>
    <t>solid</t>
  </si>
  <si>
    <t>deep litter</t>
  </si>
  <si>
    <t>anaerobic digestion</t>
  </si>
  <si>
    <t>composting</t>
  </si>
  <si>
    <t>heifers</t>
  </si>
  <si>
    <t>steers</t>
  </si>
  <si>
    <t>calves</t>
  </si>
  <si>
    <t>breeding bulls</t>
  </si>
  <si>
    <t>horses</t>
  </si>
  <si>
    <t>sheep</t>
  </si>
  <si>
    <t>pigs</t>
  </si>
  <si>
    <t>poultry</t>
  </si>
  <si>
    <t>broiler</t>
  </si>
  <si>
    <t>broilers</t>
  </si>
  <si>
    <t>från ylvas workshop</t>
  </si>
  <si>
    <t>assumes that biofuel production from straw increases to the current production of ethanol from wheat</t>
  </si>
  <si>
    <r>
      <rPr>
        <sz val="11"/>
        <color rgb="FFFF0000"/>
        <rFont val="Calibri"/>
        <family val="2"/>
        <scheme val="minor"/>
      </rPr>
      <t xml:space="preserve">JK: changed from 20kt org + 0kt conv --&gt; 10kt org + 10kt conv </t>
    </r>
    <r>
      <rPr>
        <sz val="11"/>
        <color rgb="FF7030A0"/>
        <rFont val="Calibri"/>
        <family val="2"/>
        <scheme val="minor"/>
      </rPr>
      <t xml:space="preserve"> | HKP: doubling because the conventional export is still there??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</si>
</sst>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u/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0" fillId="0" borderId="0" xfId="0" applyFont="1"/>
    <xf numFmtId="2" fontId="0" fillId="0" borderId="0" xfId="0" applyNumberFormat="1"/>
    <xf numFmtId="0" fontId="1" fillId="0" borderId="0" xfId="0" applyFont="1"/>
    <xf numFmtId="0" fontId="3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164" fontId="1" fillId="0" borderId="0" xfId="0" applyNumberFormat="1" applyFont="1"/>
    <xf numFmtId="1" fontId="4" fillId="0" borderId="0" xfId="0" applyNumberFormat="1" applyFont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10" fontId="0" fillId="0" borderId="0" xfId="1" applyNumberFormat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9" fillId="4" borderId="0" xfId="1" applyFont="1" applyFill="1" applyBorder="1"/>
    <xf numFmtId="0" fontId="9" fillId="4" borderId="0" xfId="0" applyFont="1" applyFill="1" applyBorder="1"/>
    <xf numFmtId="0" fontId="0" fillId="4" borderId="0" xfId="0" applyFill="1" applyBorder="1"/>
    <xf numFmtId="0" fontId="2" fillId="4" borderId="0" xfId="0" applyFont="1" applyFill="1"/>
    <xf numFmtId="0" fontId="0" fillId="4" borderId="0" xfId="0" applyFill="1"/>
    <xf numFmtId="0" fontId="0" fillId="0" borderId="0" xfId="0" applyFill="1" applyBorder="1"/>
    <xf numFmtId="1" fontId="0" fillId="0" borderId="0" xfId="0" applyNumberFormat="1"/>
    <xf numFmtId="164" fontId="0" fillId="0" borderId="0" xfId="0" applyNumberFormat="1"/>
    <xf numFmtId="164" fontId="4" fillId="0" borderId="0" xfId="0" applyNumberFormat="1" applyFont="1"/>
    <xf numFmtId="0" fontId="0" fillId="0" borderId="0" xfId="0" applyFill="1"/>
    <xf numFmtId="0" fontId="6" fillId="0" borderId="0" xfId="0" applyFont="1" applyFill="1"/>
    <xf numFmtId="2" fontId="6" fillId="0" borderId="0" xfId="0" applyNumberFormat="1" applyFont="1"/>
    <xf numFmtId="0" fontId="6" fillId="0" borderId="0" xfId="0" applyFont="1" applyFill="1" applyBorder="1"/>
    <xf numFmtId="0" fontId="6" fillId="3" borderId="0" xfId="0" applyFont="1" applyFill="1" applyBorder="1"/>
    <xf numFmtId="0" fontId="10" fillId="3" borderId="0" xfId="0" applyFont="1" applyFill="1" applyBorder="1"/>
    <xf numFmtId="164" fontId="6" fillId="0" borderId="0" xfId="0" applyNumberFormat="1" applyFont="1"/>
    <xf numFmtId="0" fontId="10" fillId="0" borderId="0" xfId="0" applyFont="1"/>
    <xf numFmtId="0" fontId="10" fillId="3" borderId="0" xfId="0" applyFont="1" applyFill="1"/>
    <xf numFmtId="0" fontId="11" fillId="2" borderId="0" xfId="0" applyFont="1" applyFill="1"/>
    <xf numFmtId="0" fontId="10" fillId="0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ysClr val="windowText" lastClr="0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866797900262469"/>
                  <c:y val="-0.480563331198078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motivations!$B$7:$B$17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xVal>
          <c:yVal>
            <c:numRef>
              <c:f>motivations!$C$7:$C$17</c:f>
              <c:numCache>
                <c:formatCode>General</c:formatCode>
                <c:ptCount val="11"/>
                <c:pt idx="0">
                  <c:v>26.2</c:v>
                </c:pt>
                <c:pt idx="1">
                  <c:v>26.1</c:v>
                </c:pt>
                <c:pt idx="2">
                  <c:v>26.7</c:v>
                </c:pt>
                <c:pt idx="3">
                  <c:v>26.6</c:v>
                </c:pt>
                <c:pt idx="4">
                  <c:v>27</c:v>
                </c:pt>
                <c:pt idx="5">
                  <c:v>25.7</c:v>
                </c:pt>
                <c:pt idx="6">
                  <c:v>25.4</c:v>
                </c:pt>
                <c:pt idx="7">
                  <c:v>25.8</c:v>
                </c:pt>
                <c:pt idx="8">
                  <c:v>25.3</c:v>
                </c:pt>
                <c:pt idx="9">
                  <c:v>24.8</c:v>
                </c:pt>
                <c:pt idx="10">
                  <c:v>24.6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CA-4A2A-8D5F-BE1A6CBCD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029615"/>
        <c:axId val="531027119"/>
      </c:scatterChart>
      <c:valAx>
        <c:axId val="531029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027119"/>
        <c:crosses val="autoZero"/>
        <c:crossBetween val="midCat"/>
      </c:valAx>
      <c:valAx>
        <c:axId val="53102711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029615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ysClr val="windowText" lastClr="0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866797900262469"/>
                  <c:y val="-0.480563331198078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motivations!$J$7:$J$17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xVal>
          <c:yVal>
            <c:numRef>
              <c:f>motivations!$K$7:$K$17</c:f>
              <c:numCache>
                <c:formatCode>General</c:formatCode>
                <c:ptCount val="11"/>
                <c:pt idx="0">
                  <c:v>1.7</c:v>
                </c:pt>
                <c:pt idx="1">
                  <c:v>1.6</c:v>
                </c:pt>
                <c:pt idx="2">
                  <c:v>1.6</c:v>
                </c:pt>
                <c:pt idx="3">
                  <c:v>1.5</c:v>
                </c:pt>
                <c:pt idx="4">
                  <c:v>1.7</c:v>
                </c:pt>
                <c:pt idx="5">
                  <c:v>1.6</c:v>
                </c:pt>
                <c:pt idx="6">
                  <c:v>1.8</c:v>
                </c:pt>
                <c:pt idx="7">
                  <c:v>1.7</c:v>
                </c:pt>
                <c:pt idx="8">
                  <c:v>1.7</c:v>
                </c:pt>
                <c:pt idx="9">
                  <c:v>1.7</c:v>
                </c:pt>
                <c:pt idx="10">
                  <c:v>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CD-4D7E-9A76-0223983CF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029615"/>
        <c:axId val="531027119"/>
      </c:scatterChart>
      <c:valAx>
        <c:axId val="531029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027119"/>
        <c:crosses val="autoZero"/>
        <c:crossBetween val="midCat"/>
      </c:valAx>
      <c:valAx>
        <c:axId val="531027119"/>
        <c:scaling>
          <c:orientation val="minMax"/>
          <c:max val="2"/>
          <c:min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029615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5</xdr:row>
      <xdr:rowOff>157163</xdr:rowOff>
    </xdr:from>
    <xdr:to>
      <xdr:col>7</xdr:col>
      <xdr:colOff>142875</xdr:colOff>
      <xdr:row>14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600075</xdr:colOff>
      <xdr:row>6</xdr:row>
      <xdr:rowOff>0</xdr:rowOff>
    </xdr:from>
    <xdr:to>
      <xdr:col>15</xdr:col>
      <xdr:colOff>142875</xdr:colOff>
      <xdr:row>14</xdr:row>
      <xdr:rowOff>71438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E15" sqref="E15"/>
    </sheetView>
  </sheetViews>
  <sheetFormatPr defaultRowHeight="15" x14ac:dyDescent="0.25"/>
  <cols>
    <col min="1" max="1" width="22.28515625" bestFit="1" customWidth="1"/>
    <col min="2" max="2" width="15.28515625" customWidth="1"/>
    <col min="3" max="3" width="6" bestFit="1" customWidth="1"/>
    <col min="4" max="5" width="7" bestFit="1" customWidth="1"/>
  </cols>
  <sheetData>
    <row r="1" spans="1:10" x14ac:dyDescent="0.25">
      <c r="A1" s="1" t="s">
        <v>200</v>
      </c>
      <c r="B1" s="1" t="s">
        <v>1</v>
      </c>
      <c r="C1" s="1" t="s">
        <v>2</v>
      </c>
      <c r="D1" s="1" t="s">
        <v>3</v>
      </c>
      <c r="E1" s="1" t="s">
        <v>9</v>
      </c>
      <c r="F1" s="1"/>
      <c r="G1" s="1"/>
      <c r="H1" s="1"/>
      <c r="I1" s="1"/>
      <c r="J1" s="1"/>
    </row>
    <row r="2" spans="1:10" x14ac:dyDescent="0.25">
      <c r="A2" t="s">
        <v>201</v>
      </c>
      <c r="B2" t="s">
        <v>202</v>
      </c>
      <c r="C2" t="s">
        <v>96</v>
      </c>
      <c r="D2">
        <v>1</v>
      </c>
      <c r="E2">
        <v>3</v>
      </c>
    </row>
    <row r="3" spans="1:10" x14ac:dyDescent="0.25">
      <c r="A3" t="s">
        <v>203</v>
      </c>
      <c r="B3" t="s">
        <v>202</v>
      </c>
      <c r="C3" t="s">
        <v>96</v>
      </c>
      <c r="D3">
        <v>1</v>
      </c>
      <c r="E3">
        <v>3</v>
      </c>
    </row>
    <row r="4" spans="1:10" x14ac:dyDescent="0.25">
      <c r="A4" t="s">
        <v>204</v>
      </c>
      <c r="B4" t="s">
        <v>202</v>
      </c>
      <c r="C4" t="s">
        <v>96</v>
      </c>
      <c r="D4">
        <v>1</v>
      </c>
      <c r="E4"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5"/>
  <sheetViews>
    <sheetView tabSelected="1" topLeftCell="A184" workbookViewId="0">
      <selection activeCell="M210" sqref="M210"/>
    </sheetView>
  </sheetViews>
  <sheetFormatPr defaultRowHeight="15" x14ac:dyDescent="0.25"/>
  <cols>
    <col min="1" max="1" width="37" bestFit="1" customWidth="1"/>
    <col min="2" max="2" width="17.5703125" customWidth="1"/>
    <col min="3" max="3" width="15.28515625" bestFit="1" customWidth="1"/>
    <col min="5" max="11" width="6.7109375" customWidth="1"/>
  </cols>
  <sheetData>
    <row r="1" spans="1:11" x14ac:dyDescent="0.25">
      <c r="A1" s="1" t="s">
        <v>0</v>
      </c>
      <c r="B1" s="1" t="s">
        <v>120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5" t="s">
        <v>91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1"/>
      <c r="B3" s="1"/>
      <c r="C3" t="s">
        <v>10</v>
      </c>
      <c r="D3" s="2" t="s">
        <v>11</v>
      </c>
      <c r="E3" s="2">
        <v>1</v>
      </c>
      <c r="F3" s="3">
        <f>10642196/(5222847+5156448)</f>
        <v>1.0253293696729884</v>
      </c>
      <c r="G3" s="3">
        <f>10884214/(5222847+5156448)</f>
        <v>1.048646752982741</v>
      </c>
      <c r="H3" s="3">
        <f>11101837/(5222847+5156448)</f>
        <v>1.0696137839805111</v>
      </c>
      <c r="I3" s="3">
        <f>11328285/(5222847+5156448)</f>
        <v>1.0914310654047312</v>
      </c>
      <c r="J3" s="3">
        <f>11557052/(5222847+5156448)</f>
        <v>1.1134717724084342</v>
      </c>
      <c r="K3" s="3">
        <f>11761182/(5222847+5156448)</f>
        <v>1.1331388114510668</v>
      </c>
    </row>
    <row r="4" spans="1:11" x14ac:dyDescent="0.25">
      <c r="A4" s="5" t="s">
        <v>14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"/>
      <c r="B5" s="1"/>
      <c r="C5" s="9" t="s">
        <v>12</v>
      </c>
      <c r="D5" s="9" t="s">
        <v>11</v>
      </c>
      <c r="E5" s="9">
        <v>1</v>
      </c>
      <c r="F5" s="2"/>
      <c r="G5" s="2"/>
      <c r="H5" s="2"/>
      <c r="I5" s="2"/>
      <c r="J5" s="2"/>
      <c r="K5" s="2"/>
    </row>
    <row r="6" spans="1:11" x14ac:dyDescent="0.25">
      <c r="A6" s="6" t="s">
        <v>15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25">
      <c r="A7" t="s">
        <v>16</v>
      </c>
      <c r="C7" t="s">
        <v>12</v>
      </c>
      <c r="D7" t="s">
        <v>11</v>
      </c>
      <c r="E7">
        <v>1</v>
      </c>
      <c r="F7" s="3"/>
      <c r="G7" s="3"/>
      <c r="H7" s="3"/>
      <c r="I7" s="3"/>
      <c r="J7" s="3"/>
      <c r="K7">
        <v>1</v>
      </c>
    </row>
    <row r="8" spans="1:11" x14ac:dyDescent="0.25">
      <c r="A8" t="s">
        <v>17</v>
      </c>
      <c r="C8" t="s">
        <v>12</v>
      </c>
      <c r="D8" t="s">
        <v>11</v>
      </c>
      <c r="E8">
        <v>1</v>
      </c>
      <c r="K8">
        <v>1</v>
      </c>
    </row>
    <row r="9" spans="1:11" x14ac:dyDescent="0.25">
      <c r="A9" t="s">
        <v>219</v>
      </c>
      <c r="C9" t="s">
        <v>12</v>
      </c>
      <c r="D9" t="s">
        <v>11</v>
      </c>
      <c r="E9">
        <v>1</v>
      </c>
      <c r="K9">
        <v>1</v>
      </c>
    </row>
    <row r="10" spans="1:11" x14ac:dyDescent="0.25">
      <c r="A10" t="s">
        <v>18</v>
      </c>
      <c r="C10" t="s">
        <v>12</v>
      </c>
      <c r="D10" t="s">
        <v>11</v>
      </c>
      <c r="E10">
        <v>1</v>
      </c>
      <c r="K10">
        <v>1</v>
      </c>
    </row>
    <row r="11" spans="1:11" x14ac:dyDescent="0.25">
      <c r="A11" t="s">
        <v>19</v>
      </c>
      <c r="C11" t="s">
        <v>12</v>
      </c>
      <c r="D11" t="s">
        <v>11</v>
      </c>
      <c r="E11">
        <v>1</v>
      </c>
      <c r="K11">
        <v>1</v>
      </c>
    </row>
    <row r="12" spans="1:11" x14ac:dyDescent="0.25">
      <c r="A12" t="s">
        <v>20</v>
      </c>
      <c r="C12" t="s">
        <v>12</v>
      </c>
      <c r="D12" t="s">
        <v>11</v>
      </c>
      <c r="E12">
        <v>1</v>
      </c>
      <c r="K12">
        <v>1</v>
      </c>
    </row>
    <row r="13" spans="1:11" x14ac:dyDescent="0.25">
      <c r="A13" t="s">
        <v>21</v>
      </c>
      <c r="C13" t="s">
        <v>12</v>
      </c>
      <c r="D13" t="s">
        <v>11</v>
      </c>
      <c r="E13">
        <v>1</v>
      </c>
      <c r="K13">
        <v>1</v>
      </c>
    </row>
    <row r="14" spans="1:11" x14ac:dyDescent="0.25">
      <c r="A14" t="s">
        <v>22</v>
      </c>
      <c r="C14" t="s">
        <v>12</v>
      </c>
      <c r="D14" t="s">
        <v>11</v>
      </c>
      <c r="E14">
        <v>1</v>
      </c>
      <c r="K14">
        <v>1</v>
      </c>
    </row>
    <row r="15" spans="1:11" x14ac:dyDescent="0.25">
      <c r="A15" t="s">
        <v>23</v>
      </c>
      <c r="C15" t="s">
        <v>12</v>
      </c>
      <c r="D15" t="s">
        <v>11</v>
      </c>
      <c r="E15">
        <v>1</v>
      </c>
      <c r="K15">
        <v>1</v>
      </c>
    </row>
    <row r="16" spans="1:11" x14ac:dyDescent="0.25">
      <c r="A16" t="s">
        <v>24</v>
      </c>
      <c r="C16" t="s">
        <v>12</v>
      </c>
      <c r="D16" t="s">
        <v>11</v>
      </c>
      <c r="E16">
        <v>1</v>
      </c>
      <c r="K16">
        <v>1</v>
      </c>
    </row>
    <row r="17" spans="1:11" x14ac:dyDescent="0.25">
      <c r="A17" s="4" t="s">
        <v>25</v>
      </c>
      <c r="B17" s="4"/>
      <c r="C17" t="s">
        <v>12</v>
      </c>
      <c r="D17" t="s">
        <v>11</v>
      </c>
      <c r="E17">
        <v>1</v>
      </c>
      <c r="K17">
        <v>1</v>
      </c>
    </row>
    <row r="18" spans="1:11" x14ac:dyDescent="0.25">
      <c r="A18" s="4" t="s">
        <v>26</v>
      </c>
      <c r="B18" s="4"/>
      <c r="C18" t="s">
        <v>12</v>
      </c>
      <c r="D18" t="s">
        <v>11</v>
      </c>
      <c r="E18">
        <v>1</v>
      </c>
      <c r="K18">
        <v>1</v>
      </c>
    </row>
    <row r="19" spans="1:11" x14ac:dyDescent="0.25">
      <c r="A19" s="4" t="s">
        <v>133</v>
      </c>
      <c r="B19" s="4"/>
      <c r="C19" t="s">
        <v>12</v>
      </c>
      <c r="D19" t="s">
        <v>96</v>
      </c>
      <c r="E19">
        <v>0</v>
      </c>
      <c r="K19">
        <v>0.5</v>
      </c>
    </row>
    <row r="20" spans="1:11" x14ac:dyDescent="0.25">
      <c r="A20" s="6" t="s">
        <v>27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5">
      <c r="A21" s="7" t="s">
        <v>28</v>
      </c>
      <c r="B21" s="7"/>
      <c r="C21" t="s">
        <v>12</v>
      </c>
      <c r="D21" t="s">
        <v>11</v>
      </c>
      <c r="E21">
        <v>1</v>
      </c>
      <c r="K21">
        <v>0.6</v>
      </c>
    </row>
    <row r="22" spans="1:11" x14ac:dyDescent="0.25">
      <c r="A22" s="7" t="s">
        <v>29</v>
      </c>
      <c r="B22" s="7"/>
      <c r="C22" t="s">
        <v>12</v>
      </c>
      <c r="D22" t="s">
        <v>11</v>
      </c>
      <c r="E22">
        <v>1</v>
      </c>
      <c r="K22">
        <v>2.7</v>
      </c>
    </row>
    <row r="23" spans="1:11" x14ac:dyDescent="0.25">
      <c r="A23" s="7" t="s">
        <v>30</v>
      </c>
      <c r="B23" s="7"/>
      <c r="C23" t="s">
        <v>12</v>
      </c>
      <c r="D23" t="s">
        <v>11</v>
      </c>
      <c r="E23">
        <v>1</v>
      </c>
      <c r="K23">
        <v>1</v>
      </c>
    </row>
    <row r="24" spans="1:11" x14ac:dyDescent="0.25">
      <c r="A24" s="7" t="s">
        <v>31</v>
      </c>
      <c r="B24" s="7"/>
      <c r="C24" t="s">
        <v>12</v>
      </c>
      <c r="D24" t="s">
        <v>11</v>
      </c>
      <c r="E24">
        <v>1</v>
      </c>
      <c r="K24">
        <v>1</v>
      </c>
    </row>
    <row r="25" spans="1:11" x14ac:dyDescent="0.25">
      <c r="A25" s="6" t="s">
        <v>32</v>
      </c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25">
      <c r="A26" s="7" t="s">
        <v>33</v>
      </c>
      <c r="B26" s="7"/>
      <c r="C26" t="s">
        <v>12</v>
      </c>
      <c r="D26" t="s">
        <v>11</v>
      </c>
      <c r="E26">
        <v>1</v>
      </c>
      <c r="K26">
        <v>3</v>
      </c>
    </row>
    <row r="27" spans="1:11" s="9" customFormat="1" x14ac:dyDescent="0.25">
      <c r="A27" s="9" t="s">
        <v>153</v>
      </c>
      <c r="C27" s="9" t="s">
        <v>12</v>
      </c>
      <c r="D27" s="9" t="s">
        <v>11</v>
      </c>
      <c r="E27" s="9">
        <v>1</v>
      </c>
      <c r="K27" s="9">
        <v>1</v>
      </c>
    </row>
    <row r="28" spans="1:11" x14ac:dyDescent="0.25">
      <c r="A28" s="7" t="s">
        <v>34</v>
      </c>
      <c r="B28" s="7"/>
      <c r="C28" t="s">
        <v>12</v>
      </c>
      <c r="D28" t="s">
        <v>11</v>
      </c>
      <c r="E28">
        <v>1</v>
      </c>
      <c r="K28">
        <v>1.5</v>
      </c>
    </row>
    <row r="29" spans="1:11" x14ac:dyDescent="0.25">
      <c r="A29" s="7" t="s">
        <v>35</v>
      </c>
      <c r="B29" s="7"/>
      <c r="C29" t="s">
        <v>12</v>
      </c>
      <c r="D29" t="s">
        <v>11</v>
      </c>
      <c r="E29">
        <v>1</v>
      </c>
      <c r="K29">
        <v>3</v>
      </c>
    </row>
    <row r="30" spans="1:11" x14ac:dyDescent="0.25">
      <c r="A30" s="7" t="s">
        <v>36</v>
      </c>
      <c r="B30" s="7"/>
      <c r="C30" t="s">
        <v>12</v>
      </c>
      <c r="D30" t="s">
        <v>11</v>
      </c>
      <c r="E30">
        <v>1</v>
      </c>
      <c r="K30">
        <v>3</v>
      </c>
    </row>
    <row r="31" spans="1:11" x14ac:dyDescent="0.25">
      <c r="A31" s="7" t="s">
        <v>37</v>
      </c>
      <c r="B31" s="7"/>
      <c r="C31" t="s">
        <v>12</v>
      </c>
      <c r="D31" t="s">
        <v>11</v>
      </c>
      <c r="E31">
        <v>1</v>
      </c>
      <c r="K31">
        <v>3</v>
      </c>
    </row>
    <row r="32" spans="1:11" x14ac:dyDescent="0.25">
      <c r="A32" s="7" t="s">
        <v>38</v>
      </c>
      <c r="B32" s="7"/>
      <c r="C32" t="s">
        <v>12</v>
      </c>
      <c r="D32" t="s">
        <v>11</v>
      </c>
      <c r="E32">
        <v>1</v>
      </c>
      <c r="K32">
        <v>3</v>
      </c>
    </row>
    <row r="33" spans="1:11" x14ac:dyDescent="0.25">
      <c r="A33" s="7" t="s">
        <v>39</v>
      </c>
      <c r="B33" s="7"/>
      <c r="C33" t="s">
        <v>12</v>
      </c>
      <c r="D33" t="s">
        <v>11</v>
      </c>
      <c r="E33">
        <v>1</v>
      </c>
      <c r="K33">
        <v>1.5</v>
      </c>
    </row>
    <row r="34" spans="1:11" x14ac:dyDescent="0.25">
      <c r="A34" s="7" t="s">
        <v>40</v>
      </c>
      <c r="B34" s="7"/>
      <c r="C34" t="s">
        <v>12</v>
      </c>
      <c r="D34" t="s">
        <v>11</v>
      </c>
      <c r="E34">
        <v>1</v>
      </c>
      <c r="K34">
        <v>3</v>
      </c>
    </row>
    <row r="35" spans="1:11" x14ac:dyDescent="0.25">
      <c r="A35" s="7" t="s">
        <v>41</v>
      </c>
      <c r="B35" s="7"/>
      <c r="C35" t="s">
        <v>12</v>
      </c>
      <c r="D35" t="s">
        <v>11</v>
      </c>
      <c r="E35">
        <v>1</v>
      </c>
      <c r="K35">
        <v>3</v>
      </c>
    </row>
    <row r="36" spans="1:11" x14ac:dyDescent="0.25">
      <c r="A36" s="7" t="s">
        <v>42</v>
      </c>
      <c r="B36" s="7"/>
      <c r="C36" t="s">
        <v>12</v>
      </c>
      <c r="D36" t="s">
        <v>11</v>
      </c>
      <c r="E36">
        <v>1</v>
      </c>
      <c r="K36">
        <v>3</v>
      </c>
    </row>
    <row r="37" spans="1:11" x14ac:dyDescent="0.25">
      <c r="A37" s="7"/>
      <c r="B37" s="7"/>
    </row>
    <row r="38" spans="1:11" x14ac:dyDescent="0.25">
      <c r="A38" s="6" t="s">
        <v>43</v>
      </c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7" t="s">
        <v>44</v>
      </c>
      <c r="B39" s="7"/>
      <c r="C39" t="s">
        <v>12</v>
      </c>
      <c r="D39" t="s">
        <v>11</v>
      </c>
      <c r="E39">
        <v>1</v>
      </c>
      <c r="K39">
        <v>3</v>
      </c>
    </row>
    <row r="40" spans="1:11" x14ac:dyDescent="0.25">
      <c r="A40" s="7" t="s">
        <v>45</v>
      </c>
      <c r="B40" s="7"/>
      <c r="C40" t="s">
        <v>12</v>
      </c>
      <c r="D40" t="s">
        <v>11</v>
      </c>
      <c r="E40">
        <v>1</v>
      </c>
      <c r="K40">
        <v>3</v>
      </c>
    </row>
    <row r="41" spans="1:11" x14ac:dyDescent="0.25">
      <c r="A41" s="7" t="s">
        <v>46</v>
      </c>
      <c r="B41" s="7"/>
      <c r="C41" t="s">
        <v>12</v>
      </c>
      <c r="D41" t="s">
        <v>11</v>
      </c>
      <c r="E41">
        <v>1</v>
      </c>
      <c r="K41">
        <v>3</v>
      </c>
    </row>
    <row r="42" spans="1:11" x14ac:dyDescent="0.25">
      <c r="A42" s="7" t="s">
        <v>47</v>
      </c>
      <c r="B42" s="7"/>
      <c r="C42" t="s">
        <v>12</v>
      </c>
      <c r="D42" t="s">
        <v>11</v>
      </c>
      <c r="E42">
        <v>1</v>
      </c>
      <c r="K42">
        <v>3</v>
      </c>
    </row>
    <row r="43" spans="1:11" x14ac:dyDescent="0.25">
      <c r="A43" s="7" t="s">
        <v>48</v>
      </c>
      <c r="B43" s="7"/>
      <c r="C43" t="s">
        <v>12</v>
      </c>
      <c r="D43" t="s">
        <v>11</v>
      </c>
      <c r="E43">
        <v>1</v>
      </c>
      <c r="K43">
        <v>2</v>
      </c>
    </row>
    <row r="44" spans="1:11" x14ac:dyDescent="0.25">
      <c r="A44" s="7" t="s">
        <v>49</v>
      </c>
      <c r="B44" s="7"/>
      <c r="C44" t="s">
        <v>12</v>
      </c>
      <c r="D44" t="s">
        <v>11</v>
      </c>
      <c r="E44">
        <v>1</v>
      </c>
      <c r="K44">
        <v>2</v>
      </c>
    </row>
    <row r="45" spans="1:11" x14ac:dyDescent="0.25">
      <c r="A45" s="7" t="s">
        <v>50</v>
      </c>
      <c r="B45" s="7"/>
      <c r="C45" t="s">
        <v>12</v>
      </c>
      <c r="D45" t="s">
        <v>11</v>
      </c>
      <c r="E45">
        <v>1</v>
      </c>
      <c r="K45">
        <v>2</v>
      </c>
    </row>
    <row r="46" spans="1:11" x14ac:dyDescent="0.25">
      <c r="A46" s="7" t="s">
        <v>51</v>
      </c>
      <c r="B46" s="7"/>
      <c r="C46" t="s">
        <v>12</v>
      </c>
      <c r="D46" t="s">
        <v>11</v>
      </c>
      <c r="E46">
        <v>1</v>
      </c>
      <c r="K46">
        <v>2</v>
      </c>
    </row>
    <row r="47" spans="1:11" x14ac:dyDescent="0.25">
      <c r="A47" s="6" t="s">
        <v>52</v>
      </c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x14ac:dyDescent="0.25">
      <c r="A48" s="4" t="s">
        <v>53</v>
      </c>
      <c r="B48" s="4"/>
      <c r="C48" t="s">
        <v>12</v>
      </c>
      <c r="D48" t="s">
        <v>11</v>
      </c>
      <c r="E48">
        <v>1</v>
      </c>
      <c r="K48" s="3">
        <f>2/3</f>
        <v>0.66666666666666663</v>
      </c>
    </row>
    <row r="49" spans="1:11" x14ac:dyDescent="0.25">
      <c r="A49" s="4" t="s">
        <v>54</v>
      </c>
      <c r="B49" s="4"/>
      <c r="C49" t="s">
        <v>12</v>
      </c>
      <c r="D49" t="s">
        <v>11</v>
      </c>
      <c r="E49">
        <v>1</v>
      </c>
      <c r="K49" s="3">
        <f t="shared" ref="K49:K56" si="0">2/3</f>
        <v>0.66666666666666663</v>
      </c>
    </row>
    <row r="50" spans="1:11" x14ac:dyDescent="0.25">
      <c r="A50" s="4" t="s">
        <v>55</v>
      </c>
      <c r="B50" s="4"/>
      <c r="C50" t="s">
        <v>12</v>
      </c>
      <c r="D50" t="s">
        <v>11</v>
      </c>
      <c r="E50">
        <v>1</v>
      </c>
      <c r="K50" s="3">
        <f t="shared" si="0"/>
        <v>0.66666666666666663</v>
      </c>
    </row>
    <row r="51" spans="1:11" x14ac:dyDescent="0.25">
      <c r="A51" s="4" t="s">
        <v>56</v>
      </c>
      <c r="B51" s="4"/>
      <c r="C51" t="s">
        <v>12</v>
      </c>
      <c r="D51" t="s">
        <v>11</v>
      </c>
      <c r="E51">
        <v>1</v>
      </c>
      <c r="K51" s="3">
        <f t="shared" si="0"/>
        <v>0.66666666666666663</v>
      </c>
    </row>
    <row r="52" spans="1:11" x14ac:dyDescent="0.25">
      <c r="A52" s="4" t="s">
        <v>57</v>
      </c>
      <c r="B52" s="4"/>
      <c r="C52" t="s">
        <v>12</v>
      </c>
      <c r="D52" t="s">
        <v>11</v>
      </c>
      <c r="E52">
        <v>1</v>
      </c>
      <c r="K52" s="3">
        <f t="shared" si="0"/>
        <v>0.66666666666666663</v>
      </c>
    </row>
    <row r="53" spans="1:11" x14ac:dyDescent="0.25">
      <c r="A53" s="4" t="s">
        <v>58</v>
      </c>
      <c r="B53" s="4"/>
      <c r="C53" t="s">
        <v>12</v>
      </c>
      <c r="D53" t="s">
        <v>11</v>
      </c>
      <c r="E53">
        <v>1</v>
      </c>
      <c r="K53" s="3">
        <f t="shared" si="0"/>
        <v>0.66666666666666663</v>
      </c>
    </row>
    <row r="54" spans="1:11" x14ac:dyDescent="0.25">
      <c r="A54" s="4" t="s">
        <v>59</v>
      </c>
      <c r="B54" s="4"/>
      <c r="C54" t="s">
        <v>12</v>
      </c>
      <c r="D54" t="s">
        <v>11</v>
      </c>
      <c r="E54">
        <v>1</v>
      </c>
      <c r="K54" s="3">
        <f t="shared" si="0"/>
        <v>0.66666666666666663</v>
      </c>
    </row>
    <row r="55" spans="1:11" x14ac:dyDescent="0.25">
      <c r="A55" s="4" t="s">
        <v>60</v>
      </c>
      <c r="B55" s="4"/>
      <c r="C55" t="s">
        <v>12</v>
      </c>
      <c r="D55" t="s">
        <v>11</v>
      </c>
      <c r="E55">
        <v>1</v>
      </c>
      <c r="K55" s="3">
        <f t="shared" si="0"/>
        <v>0.66666666666666663</v>
      </c>
    </row>
    <row r="56" spans="1:11" x14ac:dyDescent="0.25">
      <c r="A56" s="4" t="s">
        <v>61</v>
      </c>
      <c r="B56" s="4"/>
      <c r="C56" t="s">
        <v>12</v>
      </c>
      <c r="D56" t="s">
        <v>11</v>
      </c>
      <c r="E56">
        <v>1</v>
      </c>
      <c r="K56" s="3">
        <f t="shared" si="0"/>
        <v>0.66666666666666663</v>
      </c>
    </row>
    <row r="57" spans="1:11" x14ac:dyDescent="0.25">
      <c r="A57" s="6" t="s">
        <v>62</v>
      </c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 x14ac:dyDescent="0.25">
      <c r="A58" t="s">
        <v>13</v>
      </c>
      <c r="C58" t="s">
        <v>12</v>
      </c>
      <c r="D58" t="s">
        <v>11</v>
      </c>
      <c r="E58">
        <v>1</v>
      </c>
      <c r="K58" s="3">
        <v>0.5</v>
      </c>
    </row>
    <row r="59" spans="1:11" x14ac:dyDescent="0.25">
      <c r="A59" t="s">
        <v>63</v>
      </c>
      <c r="C59" t="s">
        <v>12</v>
      </c>
      <c r="D59" t="s">
        <v>11</v>
      </c>
      <c r="E59">
        <v>1</v>
      </c>
      <c r="K59" s="3">
        <v>0.5</v>
      </c>
    </row>
    <row r="60" spans="1:11" x14ac:dyDescent="0.25">
      <c r="A60" t="s">
        <v>64</v>
      </c>
      <c r="C60" t="s">
        <v>12</v>
      </c>
      <c r="D60" t="s">
        <v>11</v>
      </c>
      <c r="E60">
        <v>1</v>
      </c>
      <c r="K60" s="3">
        <v>0.5</v>
      </c>
    </row>
    <row r="61" spans="1:11" x14ac:dyDescent="0.25">
      <c r="A61" s="6" t="s">
        <v>65</v>
      </c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 x14ac:dyDescent="0.25">
      <c r="A62" t="s">
        <v>65</v>
      </c>
      <c r="C62" t="s">
        <v>12</v>
      </c>
      <c r="D62" t="s">
        <v>11</v>
      </c>
      <c r="E62">
        <v>1</v>
      </c>
      <c r="K62" s="3">
        <f>25/29.3</f>
        <v>0.85324232081911255</v>
      </c>
    </row>
    <row r="63" spans="1:11" x14ac:dyDescent="0.25">
      <c r="A63" s="9" t="s">
        <v>134</v>
      </c>
      <c r="B63" s="9"/>
      <c r="C63" s="9" t="s">
        <v>12</v>
      </c>
      <c r="D63" s="9" t="s">
        <v>96</v>
      </c>
      <c r="E63" s="9">
        <v>0</v>
      </c>
      <c r="F63" s="9"/>
      <c r="G63" s="9"/>
      <c r="H63" s="9"/>
      <c r="I63" s="9"/>
      <c r="J63" s="9"/>
      <c r="K63" s="35">
        <f>K121*0.060606</f>
        <v>0</v>
      </c>
    </row>
    <row r="64" spans="1:11" x14ac:dyDescent="0.25">
      <c r="A64" s="6" t="s">
        <v>66</v>
      </c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2" x14ac:dyDescent="0.2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2" x14ac:dyDescent="0.25">
      <c r="A66" t="s">
        <v>68</v>
      </c>
      <c r="C66" t="s">
        <v>12</v>
      </c>
      <c r="D66" t="s">
        <v>11</v>
      </c>
      <c r="E66">
        <v>1</v>
      </c>
      <c r="K66">
        <v>2</v>
      </c>
    </row>
    <row r="67" spans="1:12" x14ac:dyDescent="0.25">
      <c r="A67" s="8" t="s">
        <v>69</v>
      </c>
      <c r="B67" s="8"/>
      <c r="C67" t="s">
        <v>12</v>
      </c>
      <c r="D67" t="s">
        <v>11</v>
      </c>
      <c r="E67">
        <v>1</v>
      </c>
      <c r="K67">
        <v>2</v>
      </c>
    </row>
    <row r="68" spans="1:12" x14ac:dyDescent="0.25">
      <c r="A68" s="8" t="s">
        <v>70</v>
      </c>
      <c r="B68" s="8"/>
      <c r="C68" t="s">
        <v>12</v>
      </c>
      <c r="D68" t="s">
        <v>11</v>
      </c>
      <c r="E68">
        <v>1</v>
      </c>
      <c r="K68">
        <v>2</v>
      </c>
    </row>
    <row r="69" spans="1:12" x14ac:dyDescent="0.25">
      <c r="A69" s="8" t="s">
        <v>71</v>
      </c>
      <c r="B69" s="8"/>
      <c r="C69" t="s">
        <v>12</v>
      </c>
      <c r="D69" t="s">
        <v>11</v>
      </c>
      <c r="E69">
        <v>1</v>
      </c>
      <c r="K69">
        <v>2</v>
      </c>
    </row>
    <row r="70" spans="1:12" x14ac:dyDescent="0.25">
      <c r="A70" s="8" t="s">
        <v>72</v>
      </c>
      <c r="B70" s="8"/>
      <c r="C70" t="s">
        <v>12</v>
      </c>
      <c r="D70" t="s">
        <v>11</v>
      </c>
      <c r="E70">
        <v>1</v>
      </c>
      <c r="K70">
        <v>2</v>
      </c>
    </row>
    <row r="71" spans="1:12" x14ac:dyDescent="0.25">
      <c r="A71" s="9" t="s">
        <v>135</v>
      </c>
      <c r="B71" s="9"/>
      <c r="C71" s="9" t="s">
        <v>12</v>
      </c>
      <c r="D71" s="9" t="s">
        <v>96</v>
      </c>
      <c r="E71" s="9">
        <v>0</v>
      </c>
      <c r="F71" s="9"/>
      <c r="G71" s="9"/>
      <c r="H71" s="9"/>
      <c r="I71" s="9"/>
      <c r="J71" s="9"/>
      <c r="K71" s="9">
        <v>0</v>
      </c>
    </row>
    <row r="72" spans="1:12" x14ac:dyDescent="0.25">
      <c r="A72" s="9" t="s">
        <v>136</v>
      </c>
      <c r="B72" s="9"/>
      <c r="C72" s="9" t="s">
        <v>12</v>
      </c>
      <c r="D72" s="9" t="s">
        <v>96</v>
      </c>
      <c r="E72" s="9">
        <v>0</v>
      </c>
      <c r="F72" s="9"/>
      <c r="G72" s="9"/>
      <c r="H72" s="9"/>
      <c r="I72" s="9"/>
      <c r="J72" s="9"/>
      <c r="K72" s="9">
        <v>0</v>
      </c>
    </row>
    <row r="73" spans="1:12" x14ac:dyDescent="0.25">
      <c r="A73" s="6" t="s">
        <v>73</v>
      </c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2" s="29" customFormat="1" x14ac:dyDescent="0.25">
      <c r="A74" s="36" t="s">
        <v>137</v>
      </c>
      <c r="B74" s="36"/>
      <c r="C74" s="36" t="s">
        <v>12</v>
      </c>
      <c r="D74" s="36" t="s">
        <v>96</v>
      </c>
      <c r="E74" s="36">
        <v>0</v>
      </c>
      <c r="F74" s="36"/>
      <c r="G74" s="36"/>
      <c r="H74" s="36"/>
      <c r="I74" s="36"/>
      <c r="J74" s="36"/>
      <c r="K74" s="36">
        <v>0.1</v>
      </c>
    </row>
    <row r="75" spans="1:12" s="29" customFormat="1" x14ac:dyDescent="0.25">
      <c r="A75" s="36" t="s">
        <v>138</v>
      </c>
      <c r="B75" s="36"/>
      <c r="C75" s="36" t="s">
        <v>12</v>
      </c>
      <c r="D75" s="36" t="s">
        <v>96</v>
      </c>
      <c r="E75" s="36">
        <v>0</v>
      </c>
      <c r="F75" s="36"/>
      <c r="G75" s="36"/>
      <c r="H75" s="36"/>
      <c r="I75" s="36"/>
      <c r="J75" s="36"/>
      <c r="K75" s="36">
        <v>0.1</v>
      </c>
    </row>
    <row r="76" spans="1:12" s="29" customFormat="1" x14ac:dyDescent="0.25">
      <c r="A76" s="38" t="s">
        <v>139</v>
      </c>
      <c r="B76" s="38"/>
      <c r="C76" s="37"/>
      <c r="D76" s="37"/>
      <c r="E76" s="37"/>
      <c r="F76" s="37"/>
      <c r="G76" s="37"/>
      <c r="H76" s="37"/>
      <c r="I76" s="37"/>
      <c r="J76" s="37"/>
      <c r="K76" s="37"/>
    </row>
    <row r="77" spans="1:12" s="29" customFormat="1" x14ac:dyDescent="0.25">
      <c r="A77" s="36" t="s">
        <v>140</v>
      </c>
      <c r="B77" s="36"/>
      <c r="C77" s="36" t="s">
        <v>12</v>
      </c>
      <c r="D77" s="36" t="s">
        <v>96</v>
      </c>
      <c r="E77" s="36">
        <v>0</v>
      </c>
      <c r="F77" s="36"/>
      <c r="G77" s="36"/>
      <c r="H77" s="36"/>
      <c r="I77" s="36"/>
      <c r="J77" s="36"/>
      <c r="K77" s="36">
        <v>0</v>
      </c>
    </row>
    <row r="78" spans="1:12" x14ac:dyDescent="0.25">
      <c r="A78" s="6" t="s">
        <v>74</v>
      </c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2" x14ac:dyDescent="0.25">
      <c r="A79" t="s">
        <v>75</v>
      </c>
      <c r="C79" t="s">
        <v>12</v>
      </c>
      <c r="D79" t="s">
        <v>11</v>
      </c>
      <c r="E79">
        <v>1</v>
      </c>
      <c r="K79">
        <v>2</v>
      </c>
    </row>
    <row r="80" spans="1:12" x14ac:dyDescent="0.25">
      <c r="A80" s="9" t="s">
        <v>141</v>
      </c>
      <c r="B80" s="9"/>
      <c r="C80" s="9" t="s">
        <v>12</v>
      </c>
      <c r="D80" s="9" t="s">
        <v>96</v>
      </c>
      <c r="E80" s="39">
        <v>0</v>
      </c>
      <c r="F80" s="9"/>
      <c r="G80" s="9"/>
      <c r="H80" s="9"/>
      <c r="I80" s="9"/>
      <c r="J80" s="9"/>
      <c r="K80" s="39">
        <f>K96*0.092+K99*0.008+K97*0.097</f>
        <v>8.1419999999999995</v>
      </c>
      <c r="L80" t="s">
        <v>154</v>
      </c>
    </row>
    <row r="81" spans="1:11" x14ac:dyDescent="0.25">
      <c r="A81" t="s">
        <v>76</v>
      </c>
      <c r="C81" t="s">
        <v>12</v>
      </c>
      <c r="D81" t="s">
        <v>11</v>
      </c>
      <c r="E81">
        <v>1</v>
      </c>
      <c r="K81">
        <v>1</v>
      </c>
    </row>
    <row r="82" spans="1:11" x14ac:dyDescent="0.25">
      <c r="A82" t="s">
        <v>77</v>
      </c>
      <c r="C82" t="s">
        <v>12</v>
      </c>
      <c r="D82" t="s">
        <v>11</v>
      </c>
      <c r="E82">
        <v>1</v>
      </c>
      <c r="K82">
        <v>1</v>
      </c>
    </row>
    <row r="83" spans="1:11" x14ac:dyDescent="0.25">
      <c r="A83" s="6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 x14ac:dyDescent="0.25">
      <c r="A84" t="s">
        <v>79</v>
      </c>
      <c r="C84" t="s">
        <v>12</v>
      </c>
      <c r="D84" t="s">
        <v>11</v>
      </c>
      <c r="E84">
        <v>1</v>
      </c>
      <c r="K84" s="3">
        <f>1/4</f>
        <v>0.25</v>
      </c>
    </row>
    <row r="85" spans="1:11" x14ac:dyDescent="0.25">
      <c r="A85" t="s">
        <v>80</v>
      </c>
      <c r="C85" t="s">
        <v>12</v>
      </c>
      <c r="D85" t="s">
        <v>11</v>
      </c>
      <c r="E85">
        <v>1</v>
      </c>
      <c r="K85" s="3">
        <f>1/4</f>
        <v>0.25</v>
      </c>
    </row>
    <row r="86" spans="1:11" x14ac:dyDescent="0.25">
      <c r="A86" t="s">
        <v>81</v>
      </c>
      <c r="C86" t="s">
        <v>12</v>
      </c>
      <c r="D86" t="s">
        <v>11</v>
      </c>
      <c r="E86">
        <v>1</v>
      </c>
      <c r="K86" s="3">
        <f>1/4</f>
        <v>0.25</v>
      </c>
    </row>
    <row r="87" spans="1:11" x14ac:dyDescent="0.25">
      <c r="A87" s="6" t="s">
        <v>82</v>
      </c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x14ac:dyDescent="0.25">
      <c r="A88" t="s">
        <v>83</v>
      </c>
      <c r="C88" t="s">
        <v>12</v>
      </c>
      <c r="D88" t="s">
        <v>11</v>
      </c>
      <c r="E88">
        <v>1</v>
      </c>
      <c r="K88" s="3">
        <f>2/3</f>
        <v>0.66666666666666663</v>
      </c>
    </row>
    <row r="89" spans="1:11" x14ac:dyDescent="0.25">
      <c r="A89" t="s">
        <v>84</v>
      </c>
      <c r="C89" t="s">
        <v>12</v>
      </c>
      <c r="D89" t="s">
        <v>11</v>
      </c>
      <c r="E89">
        <v>1</v>
      </c>
      <c r="K89" s="3">
        <f>2/3</f>
        <v>0.66666666666666663</v>
      </c>
    </row>
    <row r="90" spans="1:11" x14ac:dyDescent="0.25">
      <c r="A90" t="s">
        <v>85</v>
      </c>
      <c r="C90" t="s">
        <v>12</v>
      </c>
      <c r="D90" t="s">
        <v>11</v>
      </c>
      <c r="E90">
        <v>1</v>
      </c>
      <c r="K90" s="3">
        <f>2/3</f>
        <v>0.66666666666666663</v>
      </c>
    </row>
    <row r="91" spans="1:11" x14ac:dyDescent="0.25">
      <c r="A91" t="s">
        <v>86</v>
      </c>
      <c r="C91" t="s">
        <v>12</v>
      </c>
      <c r="D91" t="s">
        <v>11</v>
      </c>
      <c r="E91">
        <v>1</v>
      </c>
      <c r="K91" s="3">
        <f>2/3</f>
        <v>0.66666666666666663</v>
      </c>
    </row>
    <row r="92" spans="1:11" x14ac:dyDescent="0.25">
      <c r="A92" s="6" t="s">
        <v>87</v>
      </c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 x14ac:dyDescent="0.25">
      <c r="A93" s="6" t="s">
        <v>88</v>
      </c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1:11" x14ac:dyDescent="0.25">
      <c r="A94" s="6" t="s">
        <v>89</v>
      </c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1:11" x14ac:dyDescent="0.25">
      <c r="A95" s="6" t="s">
        <v>90</v>
      </c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1:11" s="33" customFormat="1" x14ac:dyDescent="0.25">
      <c r="A96" s="34" t="s">
        <v>131</v>
      </c>
      <c r="B96" s="34"/>
      <c r="C96" s="34" t="s">
        <v>12</v>
      </c>
      <c r="D96" s="34" t="s">
        <v>96</v>
      </c>
      <c r="E96" s="34">
        <v>0</v>
      </c>
      <c r="F96" s="34"/>
      <c r="G96" s="34"/>
      <c r="H96" s="34"/>
      <c r="I96" s="34"/>
      <c r="J96" s="34"/>
      <c r="K96" s="34">
        <v>38</v>
      </c>
    </row>
    <row r="97" spans="1:11" x14ac:dyDescent="0.25">
      <c r="A97" s="34" t="s">
        <v>142</v>
      </c>
      <c r="B97" s="34"/>
      <c r="C97" s="9" t="s">
        <v>12</v>
      </c>
      <c r="D97" s="9" t="s">
        <v>96</v>
      </c>
      <c r="E97" s="9">
        <v>0</v>
      </c>
      <c r="F97" s="9"/>
      <c r="G97" s="9"/>
      <c r="H97" s="9"/>
      <c r="I97" s="9"/>
      <c r="J97" s="9"/>
      <c r="K97" s="9">
        <v>38</v>
      </c>
    </row>
    <row r="98" spans="1:11" x14ac:dyDescent="0.25">
      <c r="A98" s="34" t="s">
        <v>132</v>
      </c>
      <c r="B98" s="34"/>
      <c r="C98" s="9" t="s">
        <v>12</v>
      </c>
      <c r="D98" s="9" t="s">
        <v>96</v>
      </c>
      <c r="E98" s="9">
        <v>0</v>
      </c>
      <c r="F98" s="9"/>
      <c r="G98" s="9"/>
      <c r="H98" s="9"/>
      <c r="I98" s="9"/>
      <c r="J98" s="9"/>
      <c r="K98" s="9">
        <v>0</v>
      </c>
    </row>
    <row r="99" spans="1:11" x14ac:dyDescent="0.25">
      <c r="A99" s="34" t="s">
        <v>143</v>
      </c>
      <c r="B99" s="34"/>
      <c r="C99" s="9" t="s">
        <v>12</v>
      </c>
      <c r="D99" s="9" t="s">
        <v>96</v>
      </c>
      <c r="E99" s="9">
        <v>0</v>
      </c>
      <c r="F99" s="9"/>
      <c r="G99" s="9"/>
      <c r="H99" s="9"/>
      <c r="I99" s="9"/>
      <c r="J99" s="9"/>
      <c r="K99" s="9">
        <v>120</v>
      </c>
    </row>
    <row r="100" spans="1:11" x14ac:dyDescent="0.25">
      <c r="A100" s="34" t="s">
        <v>144</v>
      </c>
      <c r="B100" s="34"/>
      <c r="C100" s="9" t="s">
        <v>12</v>
      </c>
      <c r="D100" s="9" t="s">
        <v>96</v>
      </c>
      <c r="E100" s="9">
        <v>0</v>
      </c>
      <c r="F100" s="9"/>
      <c r="G100" s="9"/>
      <c r="H100" s="9"/>
      <c r="I100" s="9"/>
      <c r="J100" s="9"/>
      <c r="K100" s="9">
        <v>0</v>
      </c>
    </row>
    <row r="101" spans="1:11" x14ac:dyDescent="0.25">
      <c r="A101" s="34" t="s">
        <v>145</v>
      </c>
      <c r="B101" s="34"/>
      <c r="C101" s="9" t="s">
        <v>12</v>
      </c>
      <c r="D101" s="9" t="s">
        <v>96</v>
      </c>
      <c r="E101" s="9">
        <v>0</v>
      </c>
      <c r="F101" s="9"/>
      <c r="G101" s="9"/>
      <c r="H101" s="9"/>
      <c r="I101" s="9"/>
      <c r="J101" s="9"/>
      <c r="K101" s="9">
        <v>0</v>
      </c>
    </row>
    <row r="102" spans="1:11" x14ac:dyDescent="0.25">
      <c r="A102" s="34" t="s">
        <v>146</v>
      </c>
      <c r="B102" s="34"/>
      <c r="C102" s="9" t="s">
        <v>12</v>
      </c>
      <c r="D102" s="9" t="s">
        <v>96</v>
      </c>
      <c r="E102" s="9">
        <v>0</v>
      </c>
      <c r="F102" s="9"/>
      <c r="G102" s="9"/>
      <c r="H102" s="9"/>
      <c r="I102" s="9"/>
      <c r="J102" s="9"/>
      <c r="K102" s="9">
        <v>0</v>
      </c>
    </row>
    <row r="103" spans="1:11" x14ac:dyDescent="0.25">
      <c r="A103" s="34" t="s">
        <v>147</v>
      </c>
      <c r="B103" s="34"/>
      <c r="C103" s="9" t="s">
        <v>12</v>
      </c>
      <c r="D103" s="9" t="s">
        <v>96</v>
      </c>
      <c r="E103" s="9">
        <v>0</v>
      </c>
      <c r="F103" s="9"/>
      <c r="G103" s="9"/>
      <c r="H103" s="9"/>
      <c r="I103" s="9"/>
      <c r="J103" s="9"/>
      <c r="K103" s="9">
        <v>0</v>
      </c>
    </row>
    <row r="104" spans="1:11" x14ac:dyDescent="0.25">
      <c r="A104" s="34" t="s">
        <v>148</v>
      </c>
      <c r="B104" s="34"/>
      <c r="C104" s="9" t="s">
        <v>12</v>
      </c>
      <c r="D104" s="9" t="s">
        <v>96</v>
      </c>
      <c r="E104" s="9">
        <v>0</v>
      </c>
      <c r="F104" s="9"/>
      <c r="G104" s="9"/>
      <c r="H104" s="9"/>
      <c r="I104" s="9"/>
      <c r="J104" s="9"/>
      <c r="K104" s="9">
        <v>0</v>
      </c>
    </row>
    <row r="105" spans="1:11" x14ac:dyDescent="0.25">
      <c r="A105" s="34" t="s">
        <v>149</v>
      </c>
      <c r="B105" s="34"/>
      <c r="C105" s="9" t="s">
        <v>12</v>
      </c>
      <c r="D105" s="9" t="s">
        <v>96</v>
      </c>
      <c r="E105" s="9">
        <v>0</v>
      </c>
      <c r="F105" s="9"/>
      <c r="G105" s="9"/>
      <c r="H105" s="9"/>
      <c r="I105" s="9"/>
      <c r="J105" s="9"/>
      <c r="K105" s="9">
        <v>0</v>
      </c>
    </row>
    <row r="106" spans="1:11" x14ac:dyDescent="0.25">
      <c r="A106" s="34" t="s">
        <v>150</v>
      </c>
      <c r="B106" s="34"/>
      <c r="C106" s="9" t="s">
        <v>12</v>
      </c>
      <c r="D106" s="9" t="s">
        <v>96</v>
      </c>
      <c r="E106" s="9">
        <v>0</v>
      </c>
      <c r="F106" s="9"/>
      <c r="G106" s="9"/>
      <c r="H106" s="9"/>
      <c r="I106" s="9"/>
      <c r="J106" s="9"/>
      <c r="K106" s="9">
        <v>0</v>
      </c>
    </row>
    <row r="107" spans="1:11" x14ac:dyDescent="0.25">
      <c r="A107" s="34" t="s">
        <v>151</v>
      </c>
      <c r="B107" s="34"/>
      <c r="C107" s="9" t="s">
        <v>12</v>
      </c>
      <c r="D107" s="9" t="s">
        <v>96</v>
      </c>
      <c r="E107" s="9">
        <v>0</v>
      </c>
      <c r="F107" s="9"/>
      <c r="G107" s="9"/>
      <c r="H107" s="9"/>
      <c r="I107" s="9"/>
      <c r="J107" s="9"/>
      <c r="K107" s="9">
        <v>0</v>
      </c>
    </row>
    <row r="108" spans="1:11" x14ac:dyDescent="0.25">
      <c r="A108" s="34" t="s">
        <v>152</v>
      </c>
      <c r="B108" s="34"/>
      <c r="C108" s="9" t="s">
        <v>12</v>
      </c>
      <c r="D108" s="9" t="s">
        <v>96</v>
      </c>
      <c r="E108" s="9">
        <v>0</v>
      </c>
      <c r="F108" s="9"/>
      <c r="G108" s="9"/>
      <c r="H108" s="9"/>
      <c r="I108" s="9"/>
      <c r="J108" s="9"/>
      <c r="K108" s="9">
        <v>0</v>
      </c>
    </row>
    <row r="109" spans="1:11" x14ac:dyDescent="0.25">
      <c r="A109" s="34"/>
      <c r="B109" s="34"/>
      <c r="C109" s="9"/>
      <c r="D109" s="9"/>
      <c r="E109" s="9"/>
      <c r="F109" s="9"/>
      <c r="G109" s="9"/>
      <c r="H109" s="9"/>
      <c r="I109" s="9"/>
      <c r="J109" s="9"/>
      <c r="K109" s="9"/>
    </row>
    <row r="110" spans="1:11" x14ac:dyDescent="0.25">
      <c r="A110" s="5" t="s">
        <v>92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 x14ac:dyDescent="0.25">
      <c r="C111" s="9" t="s">
        <v>95</v>
      </c>
      <c r="D111" s="9" t="s">
        <v>11</v>
      </c>
      <c r="E111" s="9">
        <v>1</v>
      </c>
    </row>
    <row r="112" spans="1:11" x14ac:dyDescent="0.25">
      <c r="A112" s="6" t="s">
        <v>15</v>
      </c>
      <c r="B112" s="6"/>
      <c r="C112" s="6"/>
      <c r="D112" s="6"/>
      <c r="E112" s="10"/>
      <c r="F112" s="6"/>
      <c r="G112" s="6"/>
      <c r="H112" s="6"/>
      <c r="I112" s="6"/>
      <c r="J112" s="6"/>
      <c r="K112" s="6"/>
    </row>
    <row r="113" spans="1:11" x14ac:dyDescent="0.25">
      <c r="A113" t="s">
        <v>16</v>
      </c>
      <c r="C113" t="s">
        <v>95</v>
      </c>
      <c r="D113" t="s">
        <v>96</v>
      </c>
      <c r="E113">
        <v>22</v>
      </c>
      <c r="K113">
        <f>E113-10</f>
        <v>12</v>
      </c>
    </row>
    <row r="114" spans="1:11" x14ac:dyDescent="0.25">
      <c r="A114" t="s">
        <v>17</v>
      </c>
      <c r="C114" t="s">
        <v>95</v>
      </c>
      <c r="D114" t="s">
        <v>96</v>
      </c>
      <c r="E114" s="11">
        <f>E113</f>
        <v>22</v>
      </c>
      <c r="K114">
        <f>E114-10</f>
        <v>12</v>
      </c>
    </row>
    <row r="115" spans="1:11" x14ac:dyDescent="0.25">
      <c r="A115" t="s">
        <v>219</v>
      </c>
      <c r="C115" t="s">
        <v>95</v>
      </c>
      <c r="D115" t="s">
        <v>96</v>
      </c>
      <c r="E115">
        <v>100</v>
      </c>
      <c r="K115">
        <v>100</v>
      </c>
    </row>
    <row r="116" spans="1:11" x14ac:dyDescent="0.25">
      <c r="A116" t="s">
        <v>18</v>
      </c>
      <c r="C116" t="s">
        <v>95</v>
      </c>
      <c r="D116" t="s">
        <v>96</v>
      </c>
      <c r="E116">
        <v>4</v>
      </c>
      <c r="K116">
        <v>0</v>
      </c>
    </row>
    <row r="117" spans="1:11" x14ac:dyDescent="0.25">
      <c r="A117" t="s">
        <v>19</v>
      </c>
      <c r="C117" t="s">
        <v>95</v>
      </c>
      <c r="D117" t="s">
        <v>96</v>
      </c>
      <c r="E117" s="11">
        <f>E116</f>
        <v>4</v>
      </c>
      <c r="K117">
        <v>0</v>
      </c>
    </row>
    <row r="118" spans="1:11" x14ac:dyDescent="0.25">
      <c r="A118" t="s">
        <v>20</v>
      </c>
      <c r="C118" t="s">
        <v>95</v>
      </c>
      <c r="D118" t="s">
        <v>96</v>
      </c>
      <c r="E118">
        <v>100</v>
      </c>
      <c r="K118">
        <f>E118-10</f>
        <v>90</v>
      </c>
    </row>
    <row r="119" spans="1:11" x14ac:dyDescent="0.25">
      <c r="A119" t="s">
        <v>21</v>
      </c>
      <c r="C119" t="s">
        <v>95</v>
      </c>
      <c r="D119" t="s">
        <v>96</v>
      </c>
      <c r="E119">
        <v>8</v>
      </c>
      <c r="K119">
        <v>0</v>
      </c>
    </row>
    <row r="120" spans="1:11" x14ac:dyDescent="0.25">
      <c r="A120" t="s">
        <v>22</v>
      </c>
      <c r="C120" t="s">
        <v>95</v>
      </c>
      <c r="D120" t="s">
        <v>96</v>
      </c>
      <c r="E120" s="11">
        <f>E119</f>
        <v>8</v>
      </c>
      <c r="K120">
        <v>0</v>
      </c>
    </row>
    <row r="121" spans="1:11" x14ac:dyDescent="0.25">
      <c r="A121" t="s">
        <v>23</v>
      </c>
      <c r="C121" t="s">
        <v>95</v>
      </c>
      <c r="D121" t="s">
        <v>96</v>
      </c>
      <c r="E121">
        <v>1</v>
      </c>
      <c r="K121">
        <v>0</v>
      </c>
    </row>
    <row r="122" spans="1:11" x14ac:dyDescent="0.25">
      <c r="A122" t="s">
        <v>24</v>
      </c>
      <c r="C122" t="s">
        <v>95</v>
      </c>
      <c r="D122" t="s">
        <v>96</v>
      </c>
      <c r="E122" s="11">
        <f>E121</f>
        <v>1</v>
      </c>
      <c r="K122">
        <v>0</v>
      </c>
    </row>
    <row r="123" spans="1:11" x14ac:dyDescent="0.25">
      <c r="A123" t="s">
        <v>25</v>
      </c>
      <c r="C123" t="s">
        <v>95</v>
      </c>
      <c r="D123" t="s">
        <v>96</v>
      </c>
      <c r="E123" s="4">
        <v>22</v>
      </c>
      <c r="K123">
        <f>E123-10</f>
        <v>12</v>
      </c>
    </row>
    <row r="124" spans="1:11" x14ac:dyDescent="0.25">
      <c r="A124" t="s">
        <v>26</v>
      </c>
      <c r="C124" t="s">
        <v>95</v>
      </c>
      <c r="D124" t="s">
        <v>96</v>
      </c>
      <c r="E124" s="11">
        <f>E123</f>
        <v>22</v>
      </c>
      <c r="K124">
        <f>E124-10</f>
        <v>12</v>
      </c>
    </row>
    <row r="125" spans="1:11" x14ac:dyDescent="0.25">
      <c r="A125" s="6" t="s">
        <v>27</v>
      </c>
      <c r="B125" s="6"/>
      <c r="C125" s="6"/>
      <c r="D125" s="6"/>
      <c r="E125" s="10"/>
      <c r="F125" s="6"/>
      <c r="G125" s="6"/>
      <c r="H125" s="6"/>
      <c r="I125" s="6"/>
      <c r="J125" s="6"/>
      <c r="K125" s="6"/>
    </row>
    <row r="126" spans="1:11" x14ac:dyDescent="0.25">
      <c r="A126" s="7" t="s">
        <v>28</v>
      </c>
      <c r="B126" s="7"/>
      <c r="C126" t="s">
        <v>95</v>
      </c>
      <c r="D126" t="s">
        <v>96</v>
      </c>
      <c r="E126" s="7">
        <v>16</v>
      </c>
      <c r="F126" s="7"/>
      <c r="G126" s="7"/>
      <c r="H126" s="7"/>
      <c r="I126" s="7"/>
      <c r="J126" s="7"/>
      <c r="K126">
        <f>E126-10</f>
        <v>6</v>
      </c>
    </row>
    <row r="127" spans="1:11" x14ac:dyDescent="0.25">
      <c r="A127" s="7" t="s">
        <v>29</v>
      </c>
      <c r="B127" s="7"/>
      <c r="C127" t="s">
        <v>95</v>
      </c>
      <c r="D127" t="s">
        <v>96</v>
      </c>
      <c r="E127" s="7">
        <v>16</v>
      </c>
      <c r="F127" s="7"/>
      <c r="G127" s="7"/>
      <c r="H127" s="7"/>
      <c r="I127" s="7"/>
      <c r="J127" s="7"/>
      <c r="K127">
        <f>E127-10</f>
        <v>6</v>
      </c>
    </row>
    <row r="128" spans="1:11" x14ac:dyDescent="0.25">
      <c r="A128" s="7" t="s">
        <v>30</v>
      </c>
      <c r="B128" s="7"/>
      <c r="C128" t="s">
        <v>95</v>
      </c>
      <c r="D128" t="s">
        <v>96</v>
      </c>
      <c r="E128" s="7">
        <v>16</v>
      </c>
      <c r="F128" s="7"/>
      <c r="G128" s="7"/>
      <c r="H128" s="7"/>
      <c r="I128" s="7"/>
      <c r="J128" s="7"/>
      <c r="K128">
        <f>E128-10</f>
        <v>6</v>
      </c>
    </row>
    <row r="129" spans="1:11" x14ac:dyDescent="0.25">
      <c r="A129" s="7" t="s">
        <v>31</v>
      </c>
      <c r="B129" s="7"/>
      <c r="C129" t="s">
        <v>95</v>
      </c>
      <c r="D129" t="s">
        <v>96</v>
      </c>
      <c r="E129" s="7">
        <v>16</v>
      </c>
      <c r="F129" s="7"/>
      <c r="G129" s="7"/>
      <c r="H129" s="7"/>
      <c r="I129" s="7"/>
      <c r="J129" s="7"/>
      <c r="K129">
        <f>E129-10</f>
        <v>6</v>
      </c>
    </row>
    <row r="130" spans="1:11" x14ac:dyDescent="0.25">
      <c r="A130" s="6" t="s">
        <v>93</v>
      </c>
      <c r="B130" s="6"/>
      <c r="C130" s="6"/>
      <c r="D130" s="6"/>
      <c r="E130" s="10"/>
      <c r="F130" s="6"/>
      <c r="G130" s="6"/>
      <c r="H130" s="6"/>
      <c r="I130" s="6"/>
      <c r="J130" s="6"/>
      <c r="K130" s="6"/>
    </row>
    <row r="131" spans="1:11" x14ac:dyDescent="0.25">
      <c r="A131" s="7" t="s">
        <v>44</v>
      </c>
      <c r="B131" s="7"/>
      <c r="C131" t="s">
        <v>95</v>
      </c>
      <c r="D131" t="s">
        <v>96</v>
      </c>
      <c r="E131" s="7">
        <v>85</v>
      </c>
      <c r="F131" s="7"/>
      <c r="G131" s="7"/>
      <c r="H131" s="7"/>
      <c r="I131" s="7"/>
      <c r="J131" s="7"/>
      <c r="K131">
        <f>E131-20</f>
        <v>65</v>
      </c>
    </row>
    <row r="132" spans="1:11" x14ac:dyDescent="0.25">
      <c r="A132" s="7" t="s">
        <v>45</v>
      </c>
      <c r="B132" s="7"/>
      <c r="C132" t="s">
        <v>95</v>
      </c>
      <c r="D132" t="s">
        <v>96</v>
      </c>
      <c r="E132" s="7">
        <v>85</v>
      </c>
      <c r="F132" s="7"/>
      <c r="G132" s="7"/>
      <c r="H132" s="7"/>
      <c r="I132" s="7"/>
      <c r="J132" s="7"/>
      <c r="K132">
        <f t="shared" ref="K132:K138" si="1">E132-20</f>
        <v>65</v>
      </c>
    </row>
    <row r="133" spans="1:11" x14ac:dyDescent="0.25">
      <c r="A133" s="7" t="s">
        <v>46</v>
      </c>
      <c r="B133" s="7"/>
      <c r="C133" t="s">
        <v>95</v>
      </c>
      <c r="D133" t="s">
        <v>96</v>
      </c>
      <c r="E133" s="7">
        <v>85</v>
      </c>
      <c r="F133" s="7"/>
      <c r="G133" s="7"/>
      <c r="H133" s="7"/>
      <c r="I133" s="7"/>
      <c r="J133" s="7"/>
      <c r="K133">
        <f t="shared" si="1"/>
        <v>65</v>
      </c>
    </row>
    <row r="134" spans="1:11" x14ac:dyDescent="0.25">
      <c r="A134" s="7" t="s">
        <v>47</v>
      </c>
      <c r="B134" s="7"/>
      <c r="C134" t="s">
        <v>95</v>
      </c>
      <c r="D134" t="s">
        <v>96</v>
      </c>
      <c r="E134" s="7">
        <v>95</v>
      </c>
      <c r="F134" s="7"/>
      <c r="G134" s="7"/>
      <c r="H134" s="7"/>
      <c r="I134" s="7"/>
      <c r="J134" s="7"/>
      <c r="K134">
        <f t="shared" si="1"/>
        <v>75</v>
      </c>
    </row>
    <row r="135" spans="1:11" x14ac:dyDescent="0.25">
      <c r="A135" s="7" t="s">
        <v>48</v>
      </c>
      <c r="B135" s="7"/>
      <c r="C135" t="s">
        <v>95</v>
      </c>
      <c r="D135" t="s">
        <v>96</v>
      </c>
      <c r="E135" s="4">
        <v>97</v>
      </c>
      <c r="F135" s="7"/>
      <c r="G135" s="7"/>
      <c r="H135" s="7"/>
      <c r="I135" s="7"/>
      <c r="J135" s="7"/>
      <c r="K135">
        <f t="shared" si="1"/>
        <v>77</v>
      </c>
    </row>
    <row r="136" spans="1:11" x14ac:dyDescent="0.25">
      <c r="A136" s="7" t="s">
        <v>49</v>
      </c>
      <c r="B136" s="7"/>
      <c r="C136" t="s">
        <v>95</v>
      </c>
      <c r="D136" t="s">
        <v>96</v>
      </c>
      <c r="E136" s="7">
        <v>29</v>
      </c>
      <c r="F136" s="7"/>
      <c r="G136" s="7"/>
      <c r="H136" s="7"/>
      <c r="I136" s="7"/>
      <c r="J136" s="7"/>
      <c r="K136">
        <f t="shared" si="1"/>
        <v>9</v>
      </c>
    </row>
    <row r="137" spans="1:11" x14ac:dyDescent="0.25">
      <c r="A137" s="7" t="s">
        <v>50</v>
      </c>
      <c r="B137" s="7"/>
      <c r="C137" t="s">
        <v>95</v>
      </c>
      <c r="D137" t="s">
        <v>96</v>
      </c>
      <c r="E137" s="4">
        <v>50</v>
      </c>
      <c r="F137" s="7"/>
      <c r="G137" s="7"/>
      <c r="H137" s="7"/>
      <c r="I137" s="7"/>
      <c r="J137" s="7"/>
      <c r="K137">
        <f t="shared" si="1"/>
        <v>30</v>
      </c>
    </row>
    <row r="138" spans="1:11" x14ac:dyDescent="0.25">
      <c r="A138" s="7" t="s">
        <v>51</v>
      </c>
      <c r="B138" s="7"/>
      <c r="C138" t="s">
        <v>95</v>
      </c>
      <c r="D138" t="s">
        <v>96</v>
      </c>
      <c r="E138" s="4">
        <v>90</v>
      </c>
      <c r="F138" s="7"/>
      <c r="G138" s="7"/>
      <c r="H138" s="7"/>
      <c r="I138" s="7"/>
      <c r="J138" s="7"/>
      <c r="K138">
        <f t="shared" si="1"/>
        <v>70</v>
      </c>
    </row>
    <row r="139" spans="1:11" x14ac:dyDescent="0.25">
      <c r="A139" s="6" t="s">
        <v>94</v>
      </c>
      <c r="B139" s="6"/>
      <c r="C139" s="6"/>
      <c r="D139" s="6"/>
      <c r="E139" s="10"/>
      <c r="F139" s="6"/>
      <c r="G139" s="6"/>
      <c r="H139" s="6"/>
      <c r="I139" s="6"/>
      <c r="J139" s="6"/>
      <c r="K139" s="6"/>
    </row>
    <row r="140" spans="1:11" x14ac:dyDescent="0.25">
      <c r="A140" s="7" t="s">
        <v>33</v>
      </c>
      <c r="B140" s="7"/>
      <c r="C140" t="s">
        <v>95</v>
      </c>
      <c r="D140" t="s">
        <v>96</v>
      </c>
      <c r="E140">
        <v>7</v>
      </c>
      <c r="F140" s="7"/>
      <c r="G140" s="7"/>
      <c r="H140" s="7"/>
      <c r="I140" s="7"/>
      <c r="J140" s="7"/>
      <c r="K140">
        <v>0</v>
      </c>
    </row>
    <row r="141" spans="1:11" x14ac:dyDescent="0.25">
      <c r="A141" s="7" t="s">
        <v>34</v>
      </c>
      <c r="B141" s="7"/>
      <c r="C141" t="s">
        <v>95</v>
      </c>
      <c r="D141" t="s">
        <v>96</v>
      </c>
      <c r="E141" s="7">
        <v>35</v>
      </c>
      <c r="F141" s="7"/>
      <c r="G141" s="7"/>
      <c r="H141" s="7"/>
      <c r="I141" s="7"/>
      <c r="J141" s="7"/>
      <c r="K141">
        <f t="shared" ref="K141:K149" si="2">E141-10</f>
        <v>25</v>
      </c>
    </row>
    <row r="142" spans="1:11" x14ac:dyDescent="0.25">
      <c r="A142" s="7" t="s">
        <v>35</v>
      </c>
      <c r="B142" s="7"/>
      <c r="C142" t="s">
        <v>95</v>
      </c>
      <c r="D142" t="s">
        <v>96</v>
      </c>
      <c r="E142" s="7">
        <v>63</v>
      </c>
      <c r="F142" s="7"/>
      <c r="G142" s="7"/>
      <c r="H142" s="7"/>
      <c r="I142" s="7"/>
      <c r="J142" s="7"/>
      <c r="K142">
        <f t="shared" si="2"/>
        <v>53</v>
      </c>
    </row>
    <row r="143" spans="1:11" x14ac:dyDescent="0.25">
      <c r="A143" s="7" t="s">
        <v>36</v>
      </c>
      <c r="B143" s="7"/>
      <c r="C143" t="s">
        <v>95</v>
      </c>
      <c r="D143" t="s">
        <v>96</v>
      </c>
      <c r="E143" s="7">
        <v>54</v>
      </c>
      <c r="F143" s="7"/>
      <c r="G143" s="7"/>
      <c r="H143" s="7"/>
      <c r="I143" s="7"/>
      <c r="J143" s="7"/>
      <c r="K143">
        <f t="shared" si="2"/>
        <v>44</v>
      </c>
    </row>
    <row r="144" spans="1:11" x14ac:dyDescent="0.25">
      <c r="A144" s="7" t="s">
        <v>37</v>
      </c>
      <c r="B144" s="7"/>
      <c r="C144" t="s">
        <v>95</v>
      </c>
      <c r="D144" t="s">
        <v>96</v>
      </c>
      <c r="E144" s="4">
        <v>75</v>
      </c>
      <c r="F144" s="7"/>
      <c r="G144" s="7"/>
      <c r="H144" s="7"/>
      <c r="I144" s="7"/>
      <c r="J144" s="7"/>
      <c r="K144">
        <f t="shared" si="2"/>
        <v>65</v>
      </c>
    </row>
    <row r="145" spans="1:11" x14ac:dyDescent="0.25">
      <c r="A145" s="7" t="s">
        <v>38</v>
      </c>
      <c r="B145" s="7"/>
      <c r="C145" t="s">
        <v>95</v>
      </c>
      <c r="D145" t="s">
        <v>96</v>
      </c>
      <c r="E145" s="7">
        <v>10</v>
      </c>
      <c r="F145" s="7"/>
      <c r="G145" s="7"/>
      <c r="H145" s="7"/>
      <c r="I145" s="7"/>
      <c r="J145" s="7"/>
      <c r="K145">
        <f t="shared" si="2"/>
        <v>0</v>
      </c>
    </row>
    <row r="146" spans="1:11" x14ac:dyDescent="0.25">
      <c r="A146" s="7" t="s">
        <v>39</v>
      </c>
      <c r="B146" s="7"/>
      <c r="C146" t="s">
        <v>95</v>
      </c>
      <c r="D146" t="s">
        <v>96</v>
      </c>
      <c r="E146" s="7">
        <v>90</v>
      </c>
      <c r="F146" s="7"/>
      <c r="G146" s="7"/>
      <c r="H146" s="7"/>
      <c r="I146" s="7"/>
      <c r="J146" s="7"/>
      <c r="K146">
        <f>E146-30</f>
        <v>60</v>
      </c>
    </row>
    <row r="147" spans="1:11" x14ac:dyDescent="0.25">
      <c r="A147" s="7" t="s">
        <v>40</v>
      </c>
      <c r="B147" s="7"/>
      <c r="C147" t="s">
        <v>95</v>
      </c>
      <c r="D147" t="s">
        <v>96</v>
      </c>
      <c r="E147" s="7">
        <v>46</v>
      </c>
      <c r="F147" s="7"/>
      <c r="G147" s="7"/>
      <c r="H147" s="7"/>
      <c r="I147" s="7"/>
      <c r="J147" s="7"/>
      <c r="K147">
        <f>E147-30</f>
        <v>16</v>
      </c>
    </row>
    <row r="148" spans="1:11" x14ac:dyDescent="0.25">
      <c r="A148" s="7" t="s">
        <v>41</v>
      </c>
      <c r="B148" s="7"/>
      <c r="C148" t="s">
        <v>95</v>
      </c>
      <c r="D148" t="s">
        <v>96</v>
      </c>
      <c r="E148" s="7">
        <v>100</v>
      </c>
      <c r="F148" s="7"/>
      <c r="G148" s="7"/>
      <c r="H148" s="7"/>
      <c r="I148" s="7"/>
      <c r="J148" s="7"/>
      <c r="K148">
        <f t="shared" si="2"/>
        <v>90</v>
      </c>
    </row>
    <row r="149" spans="1:11" x14ac:dyDescent="0.25">
      <c r="A149" s="7" t="s">
        <v>42</v>
      </c>
      <c r="B149" s="7"/>
      <c r="C149" t="s">
        <v>95</v>
      </c>
      <c r="D149" t="s">
        <v>96</v>
      </c>
      <c r="E149" s="4">
        <v>90</v>
      </c>
      <c r="F149" s="7"/>
      <c r="G149" s="7"/>
      <c r="H149" s="7"/>
      <c r="I149" s="7"/>
      <c r="J149" s="7"/>
      <c r="K149">
        <f t="shared" si="2"/>
        <v>80</v>
      </c>
    </row>
    <row r="150" spans="1:11" x14ac:dyDescent="0.25">
      <c r="A150" s="6" t="s">
        <v>52</v>
      </c>
      <c r="B150" s="6"/>
      <c r="C150" s="6"/>
      <c r="D150" s="6"/>
      <c r="E150" s="10"/>
      <c r="F150" s="6"/>
      <c r="G150" s="6"/>
      <c r="H150" s="6"/>
      <c r="I150" s="6"/>
      <c r="J150" s="6"/>
      <c r="K150" s="6"/>
    </row>
    <row r="151" spans="1:11" x14ac:dyDescent="0.25">
      <c r="A151" s="4" t="s">
        <v>53</v>
      </c>
      <c r="B151" s="4"/>
      <c r="C151" t="s">
        <v>95</v>
      </c>
      <c r="D151" t="s">
        <v>96</v>
      </c>
      <c r="E151" s="12">
        <f>8.5*20/(29.5+8.5)</f>
        <v>4.4736842105263159</v>
      </c>
      <c r="F151" s="4"/>
      <c r="G151" s="4"/>
      <c r="H151" s="4"/>
      <c r="I151" s="4"/>
      <c r="J151" s="4"/>
      <c r="K151">
        <v>0</v>
      </c>
    </row>
    <row r="152" spans="1:11" x14ac:dyDescent="0.25">
      <c r="A152" s="4" t="s">
        <v>54</v>
      </c>
      <c r="B152" s="4"/>
      <c r="C152" t="s">
        <v>95</v>
      </c>
      <c r="D152" t="s">
        <v>96</v>
      </c>
      <c r="E152" s="12">
        <f>(80.7*0+14.4*20+0.3*5*0)/(80.7+14.4+0.3*5)</f>
        <v>2.981366459627329</v>
      </c>
      <c r="F152" s="4"/>
      <c r="G152" s="4"/>
      <c r="H152" s="4"/>
      <c r="I152" s="4"/>
      <c r="J152" s="4"/>
      <c r="K152">
        <v>0</v>
      </c>
    </row>
    <row r="153" spans="1:11" x14ac:dyDescent="0.25">
      <c r="A153" s="4" t="s">
        <v>55</v>
      </c>
      <c r="B153" s="4"/>
      <c r="C153" t="s">
        <v>95</v>
      </c>
      <c r="D153" t="s">
        <v>96</v>
      </c>
      <c r="E153" s="12">
        <f>(45.6*0+44.1*20+1.3*5*0+1.8*10*0)/(45.6+44.1+1.3*5+1.8*10)</f>
        <v>7.723292469352014</v>
      </c>
      <c r="F153" s="4"/>
      <c r="G153" s="4"/>
      <c r="H153" s="4"/>
      <c r="I153" s="4"/>
      <c r="J153" s="4"/>
      <c r="K153">
        <v>0</v>
      </c>
    </row>
    <row r="154" spans="1:11" x14ac:dyDescent="0.25">
      <c r="A154" s="4" t="s">
        <v>56</v>
      </c>
      <c r="B154" s="4"/>
      <c r="C154" t="s">
        <v>95</v>
      </c>
      <c r="D154" t="s">
        <v>96</v>
      </c>
      <c r="E154">
        <f>60</f>
        <v>60</v>
      </c>
      <c r="F154" s="4"/>
      <c r="G154" s="4"/>
      <c r="H154" s="4"/>
      <c r="I154" s="4"/>
      <c r="J154" s="4"/>
      <c r="K154">
        <f>E154-40</f>
        <v>20</v>
      </c>
    </row>
    <row r="155" spans="1:11" x14ac:dyDescent="0.25">
      <c r="A155" s="4" t="s">
        <v>57</v>
      </c>
      <c r="B155" s="4"/>
      <c r="C155" t="s">
        <v>95</v>
      </c>
      <c r="D155" t="s">
        <v>96</v>
      </c>
      <c r="E155">
        <v>0</v>
      </c>
      <c r="F155" s="4"/>
      <c r="G155" s="4"/>
      <c r="H155" s="4"/>
      <c r="I155" s="4"/>
      <c r="J155" s="4"/>
      <c r="K155">
        <v>0</v>
      </c>
    </row>
    <row r="156" spans="1:11" x14ac:dyDescent="0.25">
      <c r="A156" s="4" t="s">
        <v>58</v>
      </c>
      <c r="B156" s="4"/>
      <c r="C156" t="s">
        <v>95</v>
      </c>
      <c r="D156" t="s">
        <v>96</v>
      </c>
      <c r="E156">
        <v>20</v>
      </c>
      <c r="F156" s="4"/>
      <c r="G156" s="4"/>
      <c r="H156" s="4"/>
      <c r="I156" s="4"/>
      <c r="J156" s="4"/>
      <c r="K156">
        <v>0</v>
      </c>
    </row>
    <row r="157" spans="1:11" x14ac:dyDescent="0.25">
      <c r="A157" s="4" t="s">
        <v>59</v>
      </c>
      <c r="B157" s="4"/>
      <c r="C157" t="s">
        <v>95</v>
      </c>
      <c r="D157" t="s">
        <v>96</v>
      </c>
      <c r="E157">
        <v>20</v>
      </c>
      <c r="F157" s="4"/>
      <c r="G157" s="4"/>
      <c r="H157" s="4"/>
      <c r="I157" s="4"/>
      <c r="J157" s="4"/>
      <c r="K157">
        <v>0</v>
      </c>
    </row>
    <row r="158" spans="1:11" x14ac:dyDescent="0.25">
      <c r="A158" s="4" t="s">
        <v>60</v>
      </c>
      <c r="B158" s="4"/>
      <c r="C158" t="s">
        <v>95</v>
      </c>
      <c r="D158" t="s">
        <v>96</v>
      </c>
      <c r="E158">
        <v>20</v>
      </c>
      <c r="F158" s="4"/>
      <c r="G158" s="4"/>
      <c r="H158" s="4"/>
      <c r="I158" s="4"/>
      <c r="J158" s="4"/>
      <c r="K158">
        <v>0</v>
      </c>
    </row>
    <row r="159" spans="1:11" x14ac:dyDescent="0.25">
      <c r="A159" s="4" t="s">
        <v>61</v>
      </c>
      <c r="B159" s="4"/>
      <c r="C159" t="s">
        <v>95</v>
      </c>
      <c r="D159" t="s">
        <v>96</v>
      </c>
      <c r="E159">
        <f>43</f>
        <v>43</v>
      </c>
      <c r="F159" s="4"/>
      <c r="G159" s="4"/>
      <c r="H159" s="4"/>
      <c r="I159" s="4"/>
      <c r="J159" s="4"/>
      <c r="K159">
        <v>0</v>
      </c>
    </row>
    <row r="160" spans="1:11" x14ac:dyDescent="0.25">
      <c r="A160" s="6" t="s">
        <v>62</v>
      </c>
      <c r="B160" s="6"/>
      <c r="C160" s="6"/>
      <c r="D160" s="6"/>
      <c r="E160" s="10"/>
      <c r="F160" s="6"/>
      <c r="G160" s="6"/>
      <c r="H160" s="6"/>
      <c r="I160" s="6"/>
      <c r="J160" s="6"/>
      <c r="K160" s="6"/>
    </row>
    <row r="161" spans="1:11" x14ac:dyDescent="0.25">
      <c r="A161" t="s">
        <v>13</v>
      </c>
      <c r="C161" t="s">
        <v>95</v>
      </c>
      <c r="D161" t="s">
        <v>96</v>
      </c>
      <c r="E161" s="13">
        <v>36.909999999999997</v>
      </c>
      <c r="K161">
        <v>0</v>
      </c>
    </row>
    <row r="162" spans="1:11" x14ac:dyDescent="0.25">
      <c r="A162" t="s">
        <v>63</v>
      </c>
      <c r="C162" t="s">
        <v>95</v>
      </c>
      <c r="D162" t="s">
        <v>96</v>
      </c>
      <c r="E162" s="13">
        <v>43.11</v>
      </c>
      <c r="K162" s="30">
        <f>E162-40</f>
        <v>3.1099999999999994</v>
      </c>
    </row>
    <row r="163" spans="1:11" x14ac:dyDescent="0.25">
      <c r="A163" t="s">
        <v>155</v>
      </c>
      <c r="C163" t="s">
        <v>95</v>
      </c>
      <c r="D163" t="s">
        <v>96</v>
      </c>
      <c r="E163" s="13">
        <v>63.94</v>
      </c>
      <c r="K163" s="30">
        <f>E163-40</f>
        <v>23.939999999999998</v>
      </c>
    </row>
    <row r="164" spans="1:11" x14ac:dyDescent="0.25">
      <c r="A164" t="s">
        <v>64</v>
      </c>
      <c r="C164" t="s">
        <v>95</v>
      </c>
      <c r="D164" t="s">
        <v>96</v>
      </c>
      <c r="E164" s="13">
        <v>36.49</v>
      </c>
      <c r="K164">
        <v>0</v>
      </c>
    </row>
    <row r="165" spans="1:11" x14ac:dyDescent="0.25">
      <c r="A165" s="6" t="s">
        <v>65</v>
      </c>
      <c r="B165" s="6"/>
      <c r="C165" s="6"/>
      <c r="D165" s="6"/>
      <c r="E165" s="10"/>
      <c r="F165" s="6"/>
      <c r="G165" s="6"/>
      <c r="H165" s="6"/>
      <c r="I165" s="6"/>
      <c r="J165" s="6"/>
      <c r="K165" s="6"/>
    </row>
    <row r="166" spans="1:11" x14ac:dyDescent="0.25">
      <c r="A166" t="s">
        <v>65</v>
      </c>
      <c r="C166" t="s">
        <v>95</v>
      </c>
      <c r="D166" t="s">
        <v>96</v>
      </c>
      <c r="E166" s="7">
        <v>12</v>
      </c>
      <c r="K166">
        <v>0</v>
      </c>
    </row>
    <row r="167" spans="1:11" x14ac:dyDescent="0.25">
      <c r="A167" s="6" t="s">
        <v>67</v>
      </c>
      <c r="B167" s="6"/>
      <c r="C167" s="6"/>
      <c r="D167" s="6"/>
      <c r="E167" s="10"/>
      <c r="F167" s="6"/>
      <c r="G167" s="6"/>
      <c r="H167" s="6"/>
      <c r="I167" s="6"/>
      <c r="J167" s="6"/>
      <c r="K167" s="6"/>
    </row>
    <row r="168" spans="1:11" x14ac:dyDescent="0.25">
      <c r="A168" t="s">
        <v>68</v>
      </c>
      <c r="C168" t="s">
        <v>95</v>
      </c>
      <c r="D168" t="s">
        <v>96</v>
      </c>
      <c r="E168">
        <v>5</v>
      </c>
      <c r="K168">
        <v>0</v>
      </c>
    </row>
    <row r="169" spans="1:11" x14ac:dyDescent="0.25">
      <c r="A169" s="8" t="s">
        <v>69</v>
      </c>
      <c r="B169" s="8"/>
      <c r="C169" t="s">
        <v>95</v>
      </c>
      <c r="D169" t="s">
        <v>96</v>
      </c>
      <c r="E169">
        <v>0.4</v>
      </c>
      <c r="F169" s="8"/>
      <c r="G169" s="8"/>
      <c r="H169" s="8"/>
      <c r="I169" s="8"/>
      <c r="J169" s="8"/>
      <c r="K169">
        <v>0</v>
      </c>
    </row>
    <row r="170" spans="1:11" x14ac:dyDescent="0.25">
      <c r="A170" s="8" t="s">
        <v>70</v>
      </c>
      <c r="B170" s="8"/>
      <c r="C170" t="s">
        <v>95</v>
      </c>
      <c r="D170" t="s">
        <v>96</v>
      </c>
      <c r="E170" s="4">
        <v>95</v>
      </c>
      <c r="F170" s="8"/>
      <c r="G170" s="8"/>
      <c r="H170" s="8"/>
      <c r="I170" s="8"/>
      <c r="J170" s="8"/>
      <c r="K170">
        <v>90</v>
      </c>
    </row>
    <row r="171" spans="1:11" x14ac:dyDescent="0.25">
      <c r="A171" s="8" t="s">
        <v>71</v>
      </c>
      <c r="B171" s="8"/>
      <c r="C171" t="s">
        <v>95</v>
      </c>
      <c r="D171" t="s">
        <v>96</v>
      </c>
      <c r="E171">
        <v>100</v>
      </c>
      <c r="F171" s="8"/>
      <c r="G171" s="8"/>
      <c r="H171" s="8"/>
      <c r="I171" s="8"/>
      <c r="J171" s="8"/>
      <c r="K171">
        <v>100</v>
      </c>
    </row>
    <row r="172" spans="1:11" x14ac:dyDescent="0.25">
      <c r="A172" s="8" t="s">
        <v>72</v>
      </c>
      <c r="B172" s="8"/>
      <c r="C172" t="s">
        <v>95</v>
      </c>
      <c r="D172" t="s">
        <v>96</v>
      </c>
      <c r="E172">
        <v>100</v>
      </c>
      <c r="F172" s="8"/>
      <c r="G172" s="8"/>
      <c r="H172" s="8"/>
      <c r="I172" s="8"/>
      <c r="J172" s="8"/>
      <c r="K172">
        <f>E172-10</f>
        <v>90</v>
      </c>
    </row>
    <row r="173" spans="1:11" x14ac:dyDescent="0.25">
      <c r="A173" s="9" t="s">
        <v>135</v>
      </c>
      <c r="B173" s="9"/>
      <c r="C173" s="9" t="s">
        <v>95</v>
      </c>
      <c r="D173" s="9" t="s">
        <v>96</v>
      </c>
      <c r="E173" s="9">
        <v>100</v>
      </c>
      <c r="F173" s="9"/>
      <c r="G173" s="9"/>
      <c r="H173" s="9"/>
      <c r="I173" s="9"/>
      <c r="J173" s="9"/>
      <c r="K173" s="9">
        <v>100</v>
      </c>
    </row>
    <row r="174" spans="1:11" x14ac:dyDescent="0.25">
      <c r="A174" s="9" t="s">
        <v>136</v>
      </c>
      <c r="B174" s="9"/>
      <c r="C174" s="9" t="s">
        <v>95</v>
      </c>
      <c r="D174" s="9" t="s">
        <v>96</v>
      </c>
      <c r="E174" s="9">
        <v>100</v>
      </c>
      <c r="F174" s="9"/>
      <c r="G174" s="9"/>
      <c r="H174" s="9"/>
      <c r="I174" s="9"/>
      <c r="J174" s="9"/>
      <c r="K174" s="9">
        <v>100</v>
      </c>
    </row>
    <row r="175" spans="1:11" x14ac:dyDescent="0.25">
      <c r="A175" s="6" t="s">
        <v>74</v>
      </c>
      <c r="B175" s="6"/>
      <c r="C175" s="6"/>
      <c r="D175" s="6"/>
      <c r="E175" s="10"/>
      <c r="F175" s="6"/>
      <c r="G175" s="6"/>
      <c r="H175" s="6"/>
      <c r="I175" s="6"/>
      <c r="J175" s="6"/>
      <c r="K175" s="6"/>
    </row>
    <row r="176" spans="1:11" x14ac:dyDescent="0.25">
      <c r="A176" t="s">
        <v>75</v>
      </c>
      <c r="C176" t="s">
        <v>95</v>
      </c>
      <c r="D176" t="s">
        <v>96</v>
      </c>
      <c r="E176" s="13">
        <v>52</v>
      </c>
      <c r="K176">
        <f>E176-10</f>
        <v>42</v>
      </c>
    </row>
    <row r="177" spans="1:11" x14ac:dyDescent="0.25">
      <c r="A177" s="6" t="s">
        <v>78</v>
      </c>
      <c r="B177" s="6"/>
      <c r="C177" s="6"/>
      <c r="D177" s="6"/>
      <c r="E177" s="10"/>
      <c r="F177" s="6"/>
      <c r="G177" s="6"/>
      <c r="H177" s="6"/>
      <c r="I177" s="6"/>
      <c r="J177" s="6"/>
      <c r="K177" s="6"/>
    </row>
    <row r="178" spans="1:11" x14ac:dyDescent="0.25">
      <c r="A178" t="s">
        <v>79</v>
      </c>
      <c r="C178" t="s">
        <v>95</v>
      </c>
      <c r="D178" t="s">
        <v>96</v>
      </c>
      <c r="E178" s="4">
        <v>24</v>
      </c>
      <c r="K178">
        <f>E178-10</f>
        <v>14</v>
      </c>
    </row>
    <row r="179" spans="1:11" x14ac:dyDescent="0.25">
      <c r="A179" t="s">
        <v>80</v>
      </c>
      <c r="C179" t="s">
        <v>95</v>
      </c>
      <c r="D179" t="s">
        <v>96</v>
      </c>
      <c r="E179" s="11">
        <f>E178</f>
        <v>24</v>
      </c>
      <c r="K179">
        <f>E179-10</f>
        <v>14</v>
      </c>
    </row>
    <row r="180" spans="1:11" x14ac:dyDescent="0.25">
      <c r="A180" t="s">
        <v>81</v>
      </c>
      <c r="C180" t="s">
        <v>95</v>
      </c>
      <c r="D180" t="s">
        <v>96</v>
      </c>
      <c r="E180">
        <v>61</v>
      </c>
      <c r="K180">
        <f>E180-10</f>
        <v>51</v>
      </c>
    </row>
    <row r="181" spans="1:11" x14ac:dyDescent="0.25">
      <c r="A181" s="6" t="s">
        <v>82</v>
      </c>
      <c r="B181" s="6"/>
      <c r="C181" s="6"/>
      <c r="D181" s="6"/>
      <c r="E181" s="10"/>
      <c r="F181" s="6"/>
      <c r="G181" s="6"/>
      <c r="H181" s="6"/>
      <c r="I181" s="6"/>
      <c r="J181" s="6"/>
      <c r="K181" s="6"/>
    </row>
    <row r="182" spans="1:11" x14ac:dyDescent="0.25">
      <c r="A182" t="s">
        <v>83</v>
      </c>
      <c r="C182" t="s">
        <v>95</v>
      </c>
      <c r="D182" t="s">
        <v>96</v>
      </c>
      <c r="E182">
        <v>100</v>
      </c>
      <c r="K182">
        <v>100</v>
      </c>
    </row>
    <row r="183" spans="1:11" x14ac:dyDescent="0.25">
      <c r="A183" t="s">
        <v>84</v>
      </c>
      <c r="C183" t="s">
        <v>95</v>
      </c>
      <c r="D183" t="s">
        <v>96</v>
      </c>
      <c r="E183">
        <v>4</v>
      </c>
      <c r="K183">
        <v>0</v>
      </c>
    </row>
    <row r="184" spans="1:11" x14ac:dyDescent="0.25">
      <c r="A184" t="s">
        <v>85</v>
      </c>
      <c r="C184" t="s">
        <v>95</v>
      </c>
      <c r="D184" t="s">
        <v>96</v>
      </c>
      <c r="E184">
        <v>85</v>
      </c>
      <c r="K184">
        <f>E184-10</f>
        <v>75</v>
      </c>
    </row>
    <row r="185" spans="1:11" x14ac:dyDescent="0.25">
      <c r="A185" t="s">
        <v>86</v>
      </c>
      <c r="C185" t="s">
        <v>95</v>
      </c>
      <c r="D185" t="s">
        <v>96</v>
      </c>
      <c r="E185">
        <v>22</v>
      </c>
      <c r="K185">
        <f>E185-10</f>
        <v>12</v>
      </c>
    </row>
    <row r="186" spans="1:11" x14ac:dyDescent="0.25">
      <c r="A186" s="6" t="s">
        <v>90</v>
      </c>
      <c r="B186" s="6"/>
      <c r="C186" s="6"/>
      <c r="D186" s="6"/>
      <c r="E186" s="10"/>
      <c r="F186" s="6"/>
      <c r="G186" s="6"/>
      <c r="H186" s="6"/>
      <c r="I186" s="6"/>
      <c r="J186" s="6"/>
      <c r="K186" s="6"/>
    </row>
    <row r="187" spans="1:11" x14ac:dyDescent="0.25">
      <c r="A187" s="9" t="s">
        <v>131</v>
      </c>
      <c r="B187" s="9"/>
      <c r="C187" s="9" t="s">
        <v>95</v>
      </c>
      <c r="D187" s="9" t="s">
        <v>96</v>
      </c>
      <c r="E187" s="9">
        <v>5</v>
      </c>
      <c r="K187" s="9">
        <v>0</v>
      </c>
    </row>
    <row r="188" spans="1:11" x14ac:dyDescent="0.25">
      <c r="A188" s="9" t="s">
        <v>142</v>
      </c>
      <c r="B188" s="9"/>
      <c r="C188" s="9" t="s">
        <v>95</v>
      </c>
      <c r="D188" s="9" t="s">
        <v>96</v>
      </c>
      <c r="E188" s="9">
        <v>100</v>
      </c>
      <c r="K188" s="9">
        <v>100</v>
      </c>
    </row>
    <row r="189" spans="1:11" x14ac:dyDescent="0.25">
      <c r="A189" s="9" t="s">
        <v>132</v>
      </c>
      <c r="B189" s="9"/>
      <c r="C189" s="9" t="s">
        <v>95</v>
      </c>
      <c r="D189" s="9" t="s">
        <v>96</v>
      </c>
      <c r="E189" s="9">
        <v>22</v>
      </c>
      <c r="K189" s="9">
        <v>12</v>
      </c>
    </row>
    <row r="190" spans="1:11" x14ac:dyDescent="0.25">
      <c r="A190" s="9" t="s">
        <v>143</v>
      </c>
      <c r="B190" s="9"/>
      <c r="C190" s="9" t="s">
        <v>95</v>
      </c>
      <c r="D190" s="9" t="s">
        <v>96</v>
      </c>
      <c r="E190" s="9">
        <v>1</v>
      </c>
      <c r="K190" s="9">
        <v>0</v>
      </c>
    </row>
    <row r="191" spans="1:11" x14ac:dyDescent="0.25">
      <c r="A191" s="9" t="s">
        <v>144</v>
      </c>
      <c r="B191" s="9"/>
      <c r="C191" s="9" t="s">
        <v>95</v>
      </c>
      <c r="D191" s="9" t="s">
        <v>96</v>
      </c>
      <c r="E191" s="9">
        <v>24</v>
      </c>
      <c r="K191" s="9">
        <v>14</v>
      </c>
    </row>
    <row r="192" spans="1:11" x14ac:dyDescent="0.25">
      <c r="A192" s="9" t="s">
        <v>145</v>
      </c>
      <c r="B192" s="9"/>
      <c r="C192" s="9" t="s">
        <v>95</v>
      </c>
      <c r="D192" s="9" t="s">
        <v>96</v>
      </c>
      <c r="E192" s="9">
        <v>24</v>
      </c>
      <c r="K192" s="9">
        <v>14</v>
      </c>
    </row>
    <row r="193" spans="1:12" x14ac:dyDescent="0.25">
      <c r="A193" s="9" t="s">
        <v>146</v>
      </c>
      <c r="B193" s="9"/>
      <c r="C193" s="9" t="s">
        <v>95</v>
      </c>
      <c r="D193" s="9" t="s">
        <v>96</v>
      </c>
      <c r="E193" s="9">
        <v>24</v>
      </c>
      <c r="K193" s="9">
        <v>12</v>
      </c>
    </row>
    <row r="194" spans="1:12" x14ac:dyDescent="0.25">
      <c r="A194" s="9" t="s">
        <v>147</v>
      </c>
      <c r="B194" s="9"/>
      <c r="C194" s="9" t="s">
        <v>95</v>
      </c>
      <c r="D194" s="9" t="s">
        <v>96</v>
      </c>
      <c r="E194" s="9">
        <v>0.4</v>
      </c>
      <c r="K194" s="9">
        <v>0</v>
      </c>
    </row>
    <row r="195" spans="1:12" x14ac:dyDescent="0.25">
      <c r="A195" s="9" t="s">
        <v>148</v>
      </c>
      <c r="B195" s="9"/>
      <c r="C195" s="9" t="s">
        <v>95</v>
      </c>
      <c r="D195" s="9" t="s">
        <v>96</v>
      </c>
      <c r="E195" s="9">
        <v>0.4</v>
      </c>
      <c r="K195" s="9">
        <v>0</v>
      </c>
    </row>
    <row r="196" spans="1:12" x14ac:dyDescent="0.25">
      <c r="A196" s="9" t="s">
        <v>149</v>
      </c>
      <c r="B196" s="9"/>
      <c r="C196" s="9" t="s">
        <v>95</v>
      </c>
      <c r="D196" s="9" t="s">
        <v>96</v>
      </c>
      <c r="E196" s="9">
        <v>24</v>
      </c>
      <c r="K196" s="9">
        <v>14</v>
      </c>
    </row>
    <row r="197" spans="1:12" x14ac:dyDescent="0.25">
      <c r="A197" s="9" t="s">
        <v>150</v>
      </c>
      <c r="B197" s="9"/>
      <c r="C197" s="9" t="s">
        <v>95</v>
      </c>
      <c r="D197" s="9" t="s">
        <v>96</v>
      </c>
      <c r="E197" s="9">
        <v>0</v>
      </c>
      <c r="K197" s="9">
        <v>14</v>
      </c>
    </row>
    <row r="198" spans="1:12" x14ac:dyDescent="0.25">
      <c r="A198" s="9" t="s">
        <v>151</v>
      </c>
      <c r="B198" s="9"/>
      <c r="C198" s="9" t="s">
        <v>95</v>
      </c>
      <c r="D198" s="9" t="s">
        <v>96</v>
      </c>
      <c r="E198" s="9">
        <v>24</v>
      </c>
      <c r="K198" s="9">
        <v>14</v>
      </c>
    </row>
    <row r="199" spans="1:12" x14ac:dyDescent="0.25">
      <c r="A199" s="9" t="s">
        <v>152</v>
      </c>
      <c r="B199" s="9"/>
      <c r="C199" s="9" t="s">
        <v>95</v>
      </c>
      <c r="D199" s="9" t="s">
        <v>96</v>
      </c>
      <c r="E199" s="9">
        <v>24</v>
      </c>
      <c r="K199" s="9">
        <v>14</v>
      </c>
    </row>
    <row r="202" spans="1:12" x14ac:dyDescent="0.25">
      <c r="A202" s="40" t="s">
        <v>205</v>
      </c>
      <c r="B202" s="40"/>
    </row>
    <row r="203" spans="1:12" x14ac:dyDescent="0.25">
      <c r="A203" s="9" t="s">
        <v>13</v>
      </c>
      <c r="B203" s="9" t="s">
        <v>207</v>
      </c>
      <c r="C203" s="9" t="s">
        <v>206</v>
      </c>
      <c r="D203" s="9" t="s">
        <v>96</v>
      </c>
      <c r="E203" s="9">
        <v>0</v>
      </c>
      <c r="F203" s="9"/>
      <c r="G203" s="9"/>
      <c r="H203" s="9"/>
      <c r="I203" s="9"/>
      <c r="J203" s="9"/>
      <c r="K203" s="9">
        <v>0</v>
      </c>
      <c r="L203" s="9"/>
    </row>
    <row r="204" spans="1:12" x14ac:dyDescent="0.25">
      <c r="A204" s="9" t="s">
        <v>13</v>
      </c>
      <c r="B204" s="9" t="s">
        <v>208</v>
      </c>
      <c r="C204" s="9" t="s">
        <v>206</v>
      </c>
      <c r="D204" s="9" t="s">
        <v>96</v>
      </c>
      <c r="E204" s="9">
        <v>0</v>
      </c>
      <c r="F204" s="9"/>
      <c r="G204" s="9"/>
      <c r="H204" s="9"/>
      <c r="I204" s="9"/>
      <c r="J204" s="9"/>
      <c r="K204" s="9">
        <f>38000</f>
        <v>38000</v>
      </c>
      <c r="L204" s="9" t="s">
        <v>209</v>
      </c>
    </row>
    <row r="205" spans="1:12" x14ac:dyDescent="0.25">
      <c r="A205" s="9" t="s">
        <v>63</v>
      </c>
      <c r="B205" s="9" t="s">
        <v>207</v>
      </c>
      <c r="C205" s="9" t="s">
        <v>206</v>
      </c>
      <c r="D205" s="9" t="s">
        <v>96</v>
      </c>
      <c r="E205" s="9">
        <v>0</v>
      </c>
      <c r="F205" s="9"/>
      <c r="G205" s="9"/>
      <c r="H205" s="9"/>
      <c r="I205" s="9"/>
      <c r="J205" s="9"/>
      <c r="K205" s="9">
        <v>10000</v>
      </c>
    </row>
    <row r="206" spans="1:12" x14ac:dyDescent="0.25">
      <c r="A206" s="9" t="s">
        <v>63</v>
      </c>
      <c r="B206" s="9" t="s">
        <v>208</v>
      </c>
      <c r="C206" s="9" t="s">
        <v>206</v>
      </c>
      <c r="D206" s="9" t="s">
        <v>96</v>
      </c>
      <c r="E206" s="9">
        <v>0</v>
      </c>
      <c r="F206" s="9"/>
      <c r="G206" s="9"/>
      <c r="H206" s="9"/>
      <c r="I206" s="9"/>
      <c r="J206" s="9"/>
      <c r="K206" s="9">
        <v>10000</v>
      </c>
      <c r="L206" s="9" t="s">
        <v>242</v>
      </c>
    </row>
    <row r="207" spans="1:12" x14ac:dyDescent="0.25">
      <c r="A207" s="9" t="s">
        <v>56</v>
      </c>
      <c r="B207" s="9" t="s">
        <v>207</v>
      </c>
      <c r="C207" s="9" t="s">
        <v>206</v>
      </c>
      <c r="D207" s="9" t="s">
        <v>11</v>
      </c>
      <c r="E207" s="9">
        <v>1</v>
      </c>
      <c r="K207" s="9">
        <v>1</v>
      </c>
    </row>
    <row r="208" spans="1:12" x14ac:dyDescent="0.25">
      <c r="A208" s="9" t="s">
        <v>56</v>
      </c>
      <c r="B208" s="9" t="s">
        <v>208</v>
      </c>
      <c r="C208" s="9" t="s">
        <v>206</v>
      </c>
      <c r="D208" s="9" t="s">
        <v>96</v>
      </c>
      <c r="E208" s="9">
        <v>0</v>
      </c>
      <c r="K208" s="9">
        <v>20000</v>
      </c>
      <c r="L208" s="9" t="s">
        <v>210</v>
      </c>
    </row>
    <row r="209" spans="1:12" x14ac:dyDescent="0.25">
      <c r="A209" s="9" t="s">
        <v>131</v>
      </c>
      <c r="B209" s="9" t="s">
        <v>207</v>
      </c>
      <c r="C209" s="9" t="s">
        <v>206</v>
      </c>
      <c r="D209" s="9" t="s">
        <v>96</v>
      </c>
      <c r="E209" s="9">
        <v>0</v>
      </c>
      <c r="K209" s="9">
        <v>20000</v>
      </c>
      <c r="L209" s="9" t="s">
        <v>211</v>
      </c>
    </row>
    <row r="211" spans="1:12" x14ac:dyDescent="0.25">
      <c r="A211" s="42" t="s">
        <v>213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spans="1:12" x14ac:dyDescent="0.25">
      <c r="A212" s="41" t="s">
        <v>15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>
        <v>2</v>
      </c>
    </row>
    <row r="213" spans="1:12" x14ac:dyDescent="0.25">
      <c r="A213" s="9" t="s">
        <v>16</v>
      </c>
      <c r="C213" s="9" t="s">
        <v>212</v>
      </c>
      <c r="D213" s="9" t="s">
        <v>11</v>
      </c>
      <c r="E213" s="9">
        <v>1</v>
      </c>
      <c r="K213" s="9">
        <f>$L$212</f>
        <v>2</v>
      </c>
    </row>
    <row r="214" spans="1:12" x14ac:dyDescent="0.25">
      <c r="A214" s="9" t="s">
        <v>17</v>
      </c>
      <c r="C214" s="9" t="s">
        <v>212</v>
      </c>
      <c r="D214" s="9" t="s">
        <v>11</v>
      </c>
      <c r="E214" s="9">
        <v>1</v>
      </c>
      <c r="K214" s="9">
        <f t="shared" ref="K214:K270" si="3">$L$212</f>
        <v>2</v>
      </c>
    </row>
    <row r="215" spans="1:12" x14ac:dyDescent="0.25">
      <c r="A215" s="9" t="s">
        <v>18</v>
      </c>
      <c r="C215" s="9" t="s">
        <v>212</v>
      </c>
      <c r="D215" s="9" t="s">
        <v>11</v>
      </c>
      <c r="E215" s="9">
        <v>1</v>
      </c>
      <c r="K215" s="9">
        <f t="shared" si="3"/>
        <v>2</v>
      </c>
    </row>
    <row r="216" spans="1:12" x14ac:dyDescent="0.25">
      <c r="A216" s="9" t="s">
        <v>19</v>
      </c>
      <c r="C216" s="9" t="s">
        <v>212</v>
      </c>
      <c r="D216" s="9" t="s">
        <v>11</v>
      </c>
      <c r="E216" s="9">
        <v>1</v>
      </c>
      <c r="K216" s="9">
        <f t="shared" si="3"/>
        <v>2</v>
      </c>
    </row>
    <row r="217" spans="1:12" x14ac:dyDescent="0.25">
      <c r="A217" s="9" t="s">
        <v>21</v>
      </c>
      <c r="C217" s="9" t="s">
        <v>212</v>
      </c>
      <c r="D217" s="9" t="s">
        <v>11</v>
      </c>
      <c r="E217" s="9">
        <v>1</v>
      </c>
      <c r="K217" s="9">
        <f t="shared" si="3"/>
        <v>2</v>
      </c>
    </row>
    <row r="218" spans="1:12" x14ac:dyDescent="0.25">
      <c r="A218" s="9" t="s">
        <v>22</v>
      </c>
      <c r="C218" s="9" t="s">
        <v>212</v>
      </c>
      <c r="D218" s="9" t="s">
        <v>11</v>
      </c>
      <c r="E218" s="9">
        <v>1</v>
      </c>
      <c r="K218" s="9">
        <f t="shared" si="3"/>
        <v>2</v>
      </c>
    </row>
    <row r="219" spans="1:12" x14ac:dyDescent="0.25">
      <c r="A219" s="9" t="s">
        <v>23</v>
      </c>
      <c r="C219" s="9" t="s">
        <v>212</v>
      </c>
      <c r="D219" s="9" t="s">
        <v>11</v>
      </c>
      <c r="E219" s="9">
        <v>1</v>
      </c>
      <c r="K219" s="9">
        <f t="shared" si="3"/>
        <v>2</v>
      </c>
    </row>
    <row r="220" spans="1:12" x14ac:dyDescent="0.25">
      <c r="A220" s="9" t="s">
        <v>24</v>
      </c>
      <c r="C220" s="9" t="s">
        <v>212</v>
      </c>
      <c r="D220" s="9" t="s">
        <v>11</v>
      </c>
      <c r="E220" s="9">
        <v>1</v>
      </c>
      <c r="K220" s="9">
        <f t="shared" si="3"/>
        <v>2</v>
      </c>
    </row>
    <row r="221" spans="1:12" x14ac:dyDescent="0.25">
      <c r="A221" s="9" t="s">
        <v>25</v>
      </c>
      <c r="C221" s="9" t="s">
        <v>212</v>
      </c>
      <c r="D221" s="9" t="s">
        <v>11</v>
      </c>
      <c r="E221" s="9">
        <v>1</v>
      </c>
      <c r="K221" s="9">
        <f t="shared" si="3"/>
        <v>2</v>
      </c>
    </row>
    <row r="222" spans="1:12" x14ac:dyDescent="0.25">
      <c r="A222" s="9" t="s">
        <v>26</v>
      </c>
      <c r="C222" s="9" t="s">
        <v>212</v>
      </c>
      <c r="D222" s="9" t="s">
        <v>11</v>
      </c>
      <c r="E222" s="9">
        <v>1</v>
      </c>
      <c r="K222" s="9">
        <f t="shared" si="3"/>
        <v>2</v>
      </c>
    </row>
    <row r="223" spans="1:12" x14ac:dyDescent="0.25">
      <c r="A223" s="9" t="s">
        <v>133</v>
      </c>
      <c r="C223" s="9" t="s">
        <v>212</v>
      </c>
      <c r="D223" s="9" t="s">
        <v>11</v>
      </c>
      <c r="E223" s="9">
        <v>1</v>
      </c>
      <c r="K223" s="9">
        <f t="shared" si="3"/>
        <v>2</v>
      </c>
    </row>
    <row r="224" spans="1:12" x14ac:dyDescent="0.25">
      <c r="A224" s="41" t="s">
        <v>27</v>
      </c>
      <c r="B224" s="41"/>
      <c r="C224" s="41"/>
      <c r="D224" s="41"/>
      <c r="E224" s="41"/>
      <c r="F224" s="41"/>
      <c r="G224" s="41"/>
      <c r="H224" s="41"/>
      <c r="I224" s="41"/>
      <c r="J224" s="41"/>
      <c r="K224" s="41"/>
    </row>
    <row r="225" spans="1:11" x14ac:dyDescent="0.25">
      <c r="A225" s="9" t="s">
        <v>28</v>
      </c>
      <c r="C225" s="9" t="s">
        <v>212</v>
      </c>
      <c r="D225" s="9" t="s">
        <v>11</v>
      </c>
      <c r="E225" s="9">
        <v>1</v>
      </c>
      <c r="K225" s="9">
        <f t="shared" si="3"/>
        <v>2</v>
      </c>
    </row>
    <row r="226" spans="1:11" x14ac:dyDescent="0.25">
      <c r="A226" s="9" t="s">
        <v>29</v>
      </c>
      <c r="C226" s="9" t="s">
        <v>212</v>
      </c>
      <c r="D226" s="9" t="s">
        <v>11</v>
      </c>
      <c r="E226" s="9">
        <v>1</v>
      </c>
      <c r="K226" s="9">
        <f t="shared" si="3"/>
        <v>2</v>
      </c>
    </row>
    <row r="227" spans="1:11" x14ac:dyDescent="0.25">
      <c r="A227" s="9" t="s">
        <v>30</v>
      </c>
      <c r="C227" s="9" t="s">
        <v>212</v>
      </c>
      <c r="D227" s="9" t="s">
        <v>11</v>
      </c>
      <c r="E227" s="9">
        <v>1</v>
      </c>
      <c r="K227" s="9">
        <f t="shared" si="3"/>
        <v>2</v>
      </c>
    </row>
    <row r="228" spans="1:11" x14ac:dyDescent="0.25">
      <c r="A228" s="9" t="s">
        <v>31</v>
      </c>
      <c r="C228" s="9" t="s">
        <v>212</v>
      </c>
      <c r="D228" s="9" t="s">
        <v>11</v>
      </c>
      <c r="E228" s="9">
        <v>1</v>
      </c>
      <c r="K228" s="9">
        <f t="shared" si="3"/>
        <v>2</v>
      </c>
    </row>
    <row r="229" spans="1:11" x14ac:dyDescent="0.25">
      <c r="A229" s="41" t="s">
        <v>94</v>
      </c>
      <c r="B229" s="41"/>
      <c r="C229" s="41"/>
      <c r="D229" s="41"/>
      <c r="E229" s="41"/>
      <c r="F229" s="41"/>
      <c r="G229" s="41"/>
      <c r="H229" s="41"/>
      <c r="I229" s="41"/>
      <c r="J229" s="41"/>
      <c r="K229" s="41"/>
    </row>
    <row r="230" spans="1:11" x14ac:dyDescent="0.25">
      <c r="A230" s="9" t="s">
        <v>33</v>
      </c>
      <c r="C230" s="9" t="s">
        <v>212</v>
      </c>
      <c r="D230" s="9" t="s">
        <v>11</v>
      </c>
      <c r="E230" s="9">
        <v>1</v>
      </c>
      <c r="K230" s="9">
        <f t="shared" si="3"/>
        <v>2</v>
      </c>
    </row>
    <row r="231" spans="1:11" x14ac:dyDescent="0.25">
      <c r="A231" s="9" t="s">
        <v>153</v>
      </c>
      <c r="C231" s="9" t="s">
        <v>212</v>
      </c>
      <c r="D231" s="9" t="s">
        <v>11</v>
      </c>
      <c r="E231" s="9">
        <v>1</v>
      </c>
      <c r="K231" s="9">
        <f t="shared" si="3"/>
        <v>2</v>
      </c>
    </row>
    <row r="232" spans="1:11" x14ac:dyDescent="0.25">
      <c r="A232" s="9" t="s">
        <v>34</v>
      </c>
      <c r="C232" s="9" t="s">
        <v>212</v>
      </c>
      <c r="D232" s="9" t="s">
        <v>11</v>
      </c>
      <c r="E232" s="9">
        <v>1</v>
      </c>
      <c r="K232" s="9">
        <f t="shared" si="3"/>
        <v>2</v>
      </c>
    </row>
    <row r="233" spans="1:11" x14ac:dyDescent="0.25">
      <c r="A233" s="9" t="s">
        <v>36</v>
      </c>
      <c r="C233" s="9" t="s">
        <v>212</v>
      </c>
      <c r="D233" s="9" t="s">
        <v>11</v>
      </c>
      <c r="E233" s="9">
        <v>1</v>
      </c>
      <c r="K233" s="9">
        <f t="shared" si="3"/>
        <v>2</v>
      </c>
    </row>
    <row r="234" spans="1:11" x14ac:dyDescent="0.25">
      <c r="A234" s="9" t="s">
        <v>39</v>
      </c>
      <c r="C234" s="9" t="s">
        <v>212</v>
      </c>
      <c r="D234" s="9" t="s">
        <v>11</v>
      </c>
      <c r="E234" s="9">
        <v>1</v>
      </c>
      <c r="K234" s="9">
        <f t="shared" si="3"/>
        <v>2</v>
      </c>
    </row>
    <row r="235" spans="1:11" x14ac:dyDescent="0.25">
      <c r="A235" s="9" t="s">
        <v>40</v>
      </c>
      <c r="C235" s="9" t="s">
        <v>212</v>
      </c>
      <c r="D235" s="9" t="s">
        <v>11</v>
      </c>
      <c r="E235" s="9">
        <v>1</v>
      </c>
      <c r="K235" s="9">
        <f t="shared" si="3"/>
        <v>2</v>
      </c>
    </row>
    <row r="236" spans="1:11" x14ac:dyDescent="0.25">
      <c r="A236" s="9" t="s">
        <v>42</v>
      </c>
      <c r="C236" s="9" t="s">
        <v>212</v>
      </c>
      <c r="D236" s="9" t="s">
        <v>11</v>
      </c>
      <c r="E236" s="9">
        <v>1</v>
      </c>
      <c r="K236" s="9">
        <f t="shared" si="3"/>
        <v>2</v>
      </c>
    </row>
    <row r="237" spans="1:11" x14ac:dyDescent="0.25">
      <c r="A237" s="41" t="s">
        <v>93</v>
      </c>
      <c r="B237" s="41"/>
      <c r="C237" s="41"/>
      <c r="D237" s="41"/>
      <c r="E237" s="41"/>
      <c r="F237" s="41"/>
      <c r="G237" s="41"/>
      <c r="H237" s="41"/>
      <c r="I237" s="41"/>
      <c r="J237" s="41"/>
      <c r="K237" s="41"/>
    </row>
    <row r="238" spans="1:11" x14ac:dyDescent="0.25">
      <c r="A238" s="9" t="s">
        <v>44</v>
      </c>
      <c r="C238" s="9" t="s">
        <v>212</v>
      </c>
      <c r="D238" s="9" t="s">
        <v>11</v>
      </c>
      <c r="E238" s="9">
        <v>1</v>
      </c>
      <c r="K238" s="9">
        <f t="shared" si="3"/>
        <v>2</v>
      </c>
    </row>
    <row r="239" spans="1:11" x14ac:dyDescent="0.25">
      <c r="A239" s="9" t="s">
        <v>45</v>
      </c>
      <c r="C239" s="9" t="s">
        <v>212</v>
      </c>
      <c r="D239" s="9" t="s">
        <v>11</v>
      </c>
      <c r="E239" s="9">
        <v>1</v>
      </c>
      <c r="K239" s="9">
        <f t="shared" si="3"/>
        <v>2</v>
      </c>
    </row>
    <row r="240" spans="1:11" x14ac:dyDescent="0.25">
      <c r="A240" s="9" t="s">
        <v>46</v>
      </c>
      <c r="C240" s="9" t="s">
        <v>212</v>
      </c>
      <c r="D240" s="9" t="s">
        <v>11</v>
      </c>
      <c r="E240" s="9">
        <v>1</v>
      </c>
      <c r="K240" s="9">
        <f t="shared" si="3"/>
        <v>2</v>
      </c>
    </row>
    <row r="241" spans="1:11" x14ac:dyDescent="0.25">
      <c r="A241" s="9" t="s">
        <v>47</v>
      </c>
      <c r="C241" s="9" t="s">
        <v>212</v>
      </c>
      <c r="D241" s="9" t="s">
        <v>11</v>
      </c>
      <c r="E241" s="9">
        <v>1</v>
      </c>
      <c r="K241" s="9">
        <f t="shared" si="3"/>
        <v>2</v>
      </c>
    </row>
    <row r="242" spans="1:11" x14ac:dyDescent="0.25">
      <c r="A242" s="41" t="s">
        <v>52</v>
      </c>
      <c r="B242" s="41"/>
      <c r="C242" s="41"/>
      <c r="D242" s="41"/>
      <c r="E242" s="41"/>
      <c r="F242" s="41"/>
      <c r="G242" s="41"/>
      <c r="H242" s="41"/>
      <c r="I242" s="41"/>
      <c r="J242" s="41"/>
      <c r="K242" s="41"/>
    </row>
    <row r="243" spans="1:11" x14ac:dyDescent="0.25">
      <c r="A243" s="9"/>
      <c r="K243">
        <f t="shared" si="3"/>
        <v>2</v>
      </c>
    </row>
    <row r="244" spans="1:11" x14ac:dyDescent="0.25">
      <c r="A244" s="41" t="s">
        <v>62</v>
      </c>
      <c r="B244" s="41"/>
      <c r="C244" s="41"/>
      <c r="D244" s="41"/>
      <c r="E244" s="41"/>
      <c r="F244" s="41"/>
      <c r="G244" s="41"/>
      <c r="H244" s="41"/>
      <c r="I244" s="41"/>
      <c r="J244" s="41"/>
      <c r="K244" s="41"/>
    </row>
    <row r="245" spans="1:11" x14ac:dyDescent="0.25">
      <c r="A245" s="9" t="s">
        <v>13</v>
      </c>
      <c r="C245" s="9" t="s">
        <v>212</v>
      </c>
      <c r="D245" s="9" t="s">
        <v>11</v>
      </c>
      <c r="E245" s="9">
        <v>1</v>
      </c>
      <c r="K245" s="9">
        <f t="shared" si="3"/>
        <v>2</v>
      </c>
    </row>
    <row r="246" spans="1:11" x14ac:dyDescent="0.25">
      <c r="A246" s="9" t="s">
        <v>63</v>
      </c>
      <c r="C246" s="9" t="s">
        <v>212</v>
      </c>
      <c r="D246" s="9" t="s">
        <v>11</v>
      </c>
      <c r="E246" s="9">
        <v>1</v>
      </c>
      <c r="K246" s="9">
        <f t="shared" si="3"/>
        <v>2</v>
      </c>
    </row>
    <row r="247" spans="1:11" x14ac:dyDescent="0.25">
      <c r="A247" s="9" t="s">
        <v>155</v>
      </c>
      <c r="C247" s="9" t="s">
        <v>212</v>
      </c>
      <c r="D247" s="9" t="s">
        <v>11</v>
      </c>
      <c r="E247" s="9">
        <v>1</v>
      </c>
      <c r="K247" s="9">
        <f t="shared" si="3"/>
        <v>2</v>
      </c>
    </row>
    <row r="248" spans="1:11" x14ac:dyDescent="0.25">
      <c r="A248" s="9" t="s">
        <v>64</v>
      </c>
      <c r="C248" s="9" t="s">
        <v>212</v>
      </c>
      <c r="D248" s="9" t="s">
        <v>11</v>
      </c>
      <c r="E248" s="9">
        <v>1</v>
      </c>
      <c r="K248" s="9">
        <f t="shared" si="3"/>
        <v>2</v>
      </c>
    </row>
    <row r="249" spans="1:11" x14ac:dyDescent="0.25">
      <c r="A249" s="41" t="s">
        <v>65</v>
      </c>
      <c r="B249" s="41"/>
      <c r="C249" s="41"/>
      <c r="D249" s="41"/>
      <c r="E249" s="41"/>
      <c r="F249" s="41"/>
      <c r="G249" s="41"/>
      <c r="H249" s="41"/>
      <c r="I249" s="41"/>
      <c r="J249" s="41"/>
      <c r="K249" s="41"/>
    </row>
    <row r="250" spans="1:11" x14ac:dyDescent="0.25">
      <c r="A250" s="9" t="s">
        <v>65</v>
      </c>
      <c r="C250" s="9" t="s">
        <v>212</v>
      </c>
      <c r="D250" s="9" t="s">
        <v>11</v>
      </c>
      <c r="E250" s="9">
        <v>1</v>
      </c>
      <c r="K250" s="9">
        <f t="shared" si="3"/>
        <v>2</v>
      </c>
    </row>
    <row r="251" spans="1:11" x14ac:dyDescent="0.25">
      <c r="A251" s="9" t="s">
        <v>134</v>
      </c>
      <c r="C251" s="9" t="s">
        <v>212</v>
      </c>
      <c r="D251" s="9" t="s">
        <v>11</v>
      </c>
      <c r="E251" s="9">
        <v>1</v>
      </c>
      <c r="K251" s="9">
        <f t="shared" si="3"/>
        <v>2</v>
      </c>
    </row>
    <row r="252" spans="1:11" x14ac:dyDescent="0.25">
      <c r="A252" s="41" t="s">
        <v>67</v>
      </c>
      <c r="B252" s="41"/>
      <c r="C252" s="41"/>
      <c r="D252" s="41"/>
      <c r="E252" s="41"/>
      <c r="F252" s="41"/>
      <c r="G252" s="41"/>
      <c r="H252" s="41"/>
      <c r="I252" s="41"/>
      <c r="J252" s="41"/>
      <c r="K252" s="41"/>
    </row>
    <row r="253" spans="1:11" x14ac:dyDescent="0.25">
      <c r="A253" s="9"/>
      <c r="E253" s="9"/>
      <c r="K253" s="9">
        <f t="shared" si="3"/>
        <v>2</v>
      </c>
    </row>
    <row r="254" spans="1:11" x14ac:dyDescent="0.25">
      <c r="A254" s="41" t="s">
        <v>73</v>
      </c>
      <c r="B254" s="41"/>
      <c r="C254" s="41"/>
      <c r="D254" s="41"/>
      <c r="E254" s="41"/>
      <c r="F254" s="41"/>
      <c r="G254" s="41"/>
      <c r="H254" s="41"/>
      <c r="I254" s="41"/>
      <c r="J254" s="41"/>
      <c r="K254" s="41"/>
    </row>
    <row r="255" spans="1:11" x14ac:dyDescent="0.25">
      <c r="A255" s="9" t="s">
        <v>137</v>
      </c>
      <c r="C255" s="9" t="s">
        <v>212</v>
      </c>
      <c r="D255" s="9" t="s">
        <v>11</v>
      </c>
      <c r="E255" s="9">
        <v>1</v>
      </c>
      <c r="K255" s="9">
        <f t="shared" si="3"/>
        <v>2</v>
      </c>
    </row>
    <row r="256" spans="1:11" x14ac:dyDescent="0.25">
      <c r="A256" s="9" t="s">
        <v>138</v>
      </c>
      <c r="C256" s="9" t="s">
        <v>212</v>
      </c>
      <c r="D256" s="9" t="s">
        <v>11</v>
      </c>
      <c r="E256" s="9">
        <v>1</v>
      </c>
      <c r="K256" s="9">
        <f t="shared" si="3"/>
        <v>2</v>
      </c>
    </row>
    <row r="257" spans="1:11" x14ac:dyDescent="0.25">
      <c r="A257" s="41" t="s">
        <v>139</v>
      </c>
      <c r="B257" s="41"/>
      <c r="C257" s="41"/>
      <c r="D257" s="41"/>
      <c r="E257" s="41"/>
      <c r="F257" s="41"/>
      <c r="G257" s="41"/>
      <c r="H257" s="41"/>
      <c r="I257" s="41"/>
      <c r="J257" s="41"/>
      <c r="K257" s="41"/>
    </row>
    <row r="258" spans="1:11" x14ac:dyDescent="0.25">
      <c r="A258" s="9" t="s">
        <v>140</v>
      </c>
      <c r="C258" s="9" t="s">
        <v>212</v>
      </c>
      <c r="D258" s="9" t="s">
        <v>11</v>
      </c>
      <c r="E258" s="9">
        <v>1</v>
      </c>
      <c r="K258" s="9">
        <f t="shared" si="3"/>
        <v>2</v>
      </c>
    </row>
    <row r="259" spans="1:11" x14ac:dyDescent="0.25">
      <c r="A259" s="41" t="s">
        <v>74</v>
      </c>
      <c r="B259" s="41"/>
      <c r="C259" s="41"/>
      <c r="D259" s="41"/>
      <c r="E259" s="41"/>
      <c r="F259" s="41"/>
      <c r="G259" s="41"/>
      <c r="H259" s="41"/>
      <c r="I259" s="41"/>
      <c r="J259" s="41"/>
      <c r="K259" s="41"/>
    </row>
    <row r="260" spans="1:11" x14ac:dyDescent="0.25">
      <c r="A260" s="9" t="s">
        <v>75</v>
      </c>
      <c r="C260" s="9" t="s">
        <v>212</v>
      </c>
      <c r="D260" s="9" t="s">
        <v>11</v>
      </c>
      <c r="E260" s="9">
        <v>1</v>
      </c>
      <c r="K260" s="9">
        <f t="shared" si="3"/>
        <v>2</v>
      </c>
    </row>
    <row r="261" spans="1:11" x14ac:dyDescent="0.25">
      <c r="A261" s="34" t="s">
        <v>141</v>
      </c>
      <c r="C261" s="9" t="s">
        <v>212</v>
      </c>
      <c r="D261" s="9" t="s">
        <v>11</v>
      </c>
      <c r="E261" s="43">
        <v>1</v>
      </c>
      <c r="K261" s="34">
        <f t="shared" si="3"/>
        <v>2</v>
      </c>
    </row>
    <row r="262" spans="1:11" x14ac:dyDescent="0.25">
      <c r="A262" s="41" t="s">
        <v>82</v>
      </c>
      <c r="B262" s="41"/>
      <c r="C262" s="41"/>
      <c r="D262" s="41"/>
      <c r="E262" s="41"/>
      <c r="F262" s="41"/>
      <c r="G262" s="41"/>
      <c r="H262" s="41"/>
      <c r="I262" s="41"/>
      <c r="J262" s="41"/>
      <c r="K262" s="41"/>
    </row>
    <row r="263" spans="1:11" x14ac:dyDescent="0.25">
      <c r="A263" s="9" t="s">
        <v>83</v>
      </c>
      <c r="C263" s="9" t="s">
        <v>212</v>
      </c>
      <c r="D263" s="9" t="s">
        <v>11</v>
      </c>
      <c r="E263" s="9">
        <v>1</v>
      </c>
      <c r="K263" s="9">
        <f t="shared" si="3"/>
        <v>2</v>
      </c>
    </row>
    <row r="264" spans="1:11" x14ac:dyDescent="0.25">
      <c r="A264" s="9" t="s">
        <v>84</v>
      </c>
      <c r="C264" s="9" t="s">
        <v>212</v>
      </c>
      <c r="D264" s="9" t="s">
        <v>11</v>
      </c>
      <c r="E264" s="9">
        <v>1</v>
      </c>
      <c r="K264" s="9">
        <f t="shared" si="3"/>
        <v>2</v>
      </c>
    </row>
    <row r="265" spans="1:11" x14ac:dyDescent="0.25">
      <c r="A265" s="9" t="s">
        <v>85</v>
      </c>
      <c r="C265" s="9" t="s">
        <v>212</v>
      </c>
      <c r="D265" s="9" t="s">
        <v>11</v>
      </c>
      <c r="E265" s="9">
        <v>1</v>
      </c>
      <c r="K265" s="9">
        <f t="shared" si="3"/>
        <v>2</v>
      </c>
    </row>
    <row r="266" spans="1:11" x14ac:dyDescent="0.25">
      <c r="A266" s="9" t="s">
        <v>86</v>
      </c>
      <c r="C266" s="9" t="s">
        <v>212</v>
      </c>
      <c r="D266" s="9" t="s">
        <v>11</v>
      </c>
      <c r="E266" s="9">
        <v>1</v>
      </c>
      <c r="K266" s="9">
        <f t="shared" si="3"/>
        <v>2</v>
      </c>
    </row>
    <row r="267" spans="1:11" x14ac:dyDescent="0.25">
      <c r="A267" s="41" t="s">
        <v>90</v>
      </c>
      <c r="B267" s="41"/>
      <c r="C267" s="41"/>
      <c r="D267" s="41"/>
      <c r="E267" s="41"/>
      <c r="F267" s="41"/>
      <c r="G267" s="41"/>
      <c r="H267" s="41"/>
      <c r="I267" s="41"/>
      <c r="J267" s="41"/>
      <c r="K267" s="41"/>
    </row>
    <row r="268" spans="1:11" x14ac:dyDescent="0.25">
      <c r="A268" s="34" t="s">
        <v>131</v>
      </c>
      <c r="C268" s="9" t="s">
        <v>212</v>
      </c>
      <c r="D268" s="9" t="s">
        <v>11</v>
      </c>
      <c r="E268" s="9">
        <v>1</v>
      </c>
      <c r="K268" s="9">
        <f t="shared" si="3"/>
        <v>2</v>
      </c>
    </row>
    <row r="269" spans="1:11" x14ac:dyDescent="0.25">
      <c r="A269" s="34" t="s">
        <v>132</v>
      </c>
      <c r="C269" s="9" t="s">
        <v>212</v>
      </c>
      <c r="D269" s="9" t="s">
        <v>11</v>
      </c>
      <c r="E269" s="9">
        <v>1</v>
      </c>
      <c r="K269" s="9">
        <f t="shared" si="3"/>
        <v>2</v>
      </c>
    </row>
    <row r="270" spans="1:11" x14ac:dyDescent="0.25">
      <c r="A270" s="9" t="s">
        <v>143</v>
      </c>
      <c r="C270" s="9" t="s">
        <v>212</v>
      </c>
      <c r="D270" s="9" t="s">
        <v>11</v>
      </c>
      <c r="E270" s="9">
        <v>1</v>
      </c>
      <c r="K270" s="9">
        <f t="shared" si="3"/>
        <v>2</v>
      </c>
    </row>
    <row r="271" spans="1:11" x14ac:dyDescent="0.25">
      <c r="E271" s="9"/>
    </row>
    <row r="272" spans="1:11" x14ac:dyDescent="0.25">
      <c r="A272" s="42" t="s">
        <v>214</v>
      </c>
    </row>
    <row r="273" spans="1:12" x14ac:dyDescent="0.25">
      <c r="A273" s="9" t="s">
        <v>215</v>
      </c>
      <c r="B273" s="9"/>
      <c r="C273" s="9" t="s">
        <v>216</v>
      </c>
      <c r="D273" s="9" t="s">
        <v>11</v>
      </c>
      <c r="E273" s="9">
        <v>1</v>
      </c>
      <c r="F273" s="9"/>
      <c r="G273" s="9"/>
      <c r="H273" s="9"/>
      <c r="I273" s="9"/>
      <c r="J273" s="9"/>
      <c r="K273" s="9">
        <v>0.1</v>
      </c>
    </row>
    <row r="274" spans="1:12" x14ac:dyDescent="0.25">
      <c r="A274" s="9" t="s">
        <v>217</v>
      </c>
      <c r="B274" s="9"/>
      <c r="C274" s="9" t="s">
        <v>216</v>
      </c>
      <c r="D274" s="9" t="s">
        <v>11</v>
      </c>
      <c r="E274" s="9">
        <v>1</v>
      </c>
      <c r="F274" s="9"/>
      <c r="G274" s="9"/>
      <c r="H274" s="9"/>
      <c r="I274" s="9"/>
      <c r="J274" s="9"/>
      <c r="K274" s="9">
        <v>0.1</v>
      </c>
    </row>
    <row r="275" spans="1:12" x14ac:dyDescent="0.25">
      <c r="A275" s="9" t="s">
        <v>218</v>
      </c>
      <c r="C275" s="9" t="s">
        <v>216</v>
      </c>
      <c r="D275" s="9" t="s">
        <v>96</v>
      </c>
      <c r="E275" s="9">
        <v>0</v>
      </c>
      <c r="I275" s="9">
        <v>188217</v>
      </c>
      <c r="J275" s="9">
        <v>188217</v>
      </c>
      <c r="K275" s="9">
        <v>188217</v>
      </c>
      <c r="L275" s="9" t="s">
        <v>241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>
      <selection activeCell="M32" sqref="M32"/>
    </sheetView>
  </sheetViews>
  <sheetFormatPr defaultRowHeight="15" x14ac:dyDescent="0.25"/>
  <cols>
    <col min="1" max="1" width="21.85546875" bestFit="1" customWidth="1"/>
  </cols>
  <sheetData>
    <row r="1" spans="1:7" x14ac:dyDescent="0.25">
      <c r="A1" s="1" t="s">
        <v>122</v>
      </c>
      <c r="B1" s="1" t="s">
        <v>1</v>
      </c>
      <c r="C1" s="1" t="s">
        <v>2</v>
      </c>
      <c r="D1" s="1" t="s">
        <v>3</v>
      </c>
      <c r="E1" s="1" t="s">
        <v>9</v>
      </c>
    </row>
    <row r="2" spans="1:7" x14ac:dyDescent="0.25">
      <c r="A2" t="s">
        <v>160</v>
      </c>
      <c r="B2" t="s">
        <v>110</v>
      </c>
      <c r="C2" t="s">
        <v>11</v>
      </c>
      <c r="D2">
        <v>1</v>
      </c>
      <c r="E2">
        <f>(1+0.2137)*G2</f>
        <v>1.3350700000000002</v>
      </c>
      <c r="G2">
        <v>1.1000000000000001</v>
      </c>
    </row>
    <row r="3" spans="1:7" x14ac:dyDescent="0.25">
      <c r="A3" t="s">
        <v>161</v>
      </c>
      <c r="B3" t="s">
        <v>110</v>
      </c>
      <c r="C3" t="s">
        <v>11</v>
      </c>
      <c r="D3">
        <v>1</v>
      </c>
      <c r="E3">
        <f>(1-0.032)</f>
        <v>0.96799999999999997</v>
      </c>
    </row>
    <row r="4" spans="1:7" x14ac:dyDescent="0.25">
      <c r="A4" t="s">
        <v>162</v>
      </c>
      <c r="B4" t="s">
        <v>110</v>
      </c>
      <c r="C4" t="s">
        <v>11</v>
      </c>
      <c r="D4">
        <v>1</v>
      </c>
      <c r="E4">
        <f>(1+0.3845)*G2</f>
        <v>1.5229500000000002</v>
      </c>
    </row>
    <row r="5" spans="1:7" x14ac:dyDescent="0.25">
      <c r="A5" t="s">
        <v>163</v>
      </c>
      <c r="B5" t="s">
        <v>110</v>
      </c>
      <c r="C5" t="s">
        <v>11</v>
      </c>
      <c r="D5">
        <v>1</v>
      </c>
      <c r="E5">
        <f>(1+0.2833)*G2</f>
        <v>1.4116300000000002</v>
      </c>
    </row>
    <row r="6" spans="1:7" x14ac:dyDescent="0.25">
      <c r="A6" t="s">
        <v>164</v>
      </c>
      <c r="B6" t="s">
        <v>110</v>
      </c>
      <c r="C6" t="s">
        <v>11</v>
      </c>
      <c r="D6">
        <v>1</v>
      </c>
      <c r="E6">
        <f>(1+0.2535)*G2</f>
        <v>1.3788500000000001</v>
      </c>
    </row>
    <row r="7" spans="1:7" x14ac:dyDescent="0.25">
      <c r="A7" t="s">
        <v>165</v>
      </c>
      <c r="B7" t="s">
        <v>110</v>
      </c>
      <c r="C7" t="s">
        <v>11</v>
      </c>
      <c r="D7">
        <v>1</v>
      </c>
      <c r="E7">
        <f>(1+0.2004)*G2</f>
        <v>1.3204400000000001</v>
      </c>
    </row>
    <row r="8" spans="1:7" x14ac:dyDescent="0.25">
      <c r="A8" t="s">
        <v>166</v>
      </c>
      <c r="B8" t="s">
        <v>110</v>
      </c>
      <c r="C8" t="s">
        <v>11</v>
      </c>
      <c r="D8">
        <v>1</v>
      </c>
      <c r="E8">
        <f>(1+0.0828)*G2</f>
        <v>1.1910800000000001</v>
      </c>
    </row>
    <row r="9" spans="1:7" x14ac:dyDescent="0.25">
      <c r="A9" t="s">
        <v>167</v>
      </c>
      <c r="B9" t="s">
        <v>110</v>
      </c>
      <c r="C9" t="s">
        <v>11</v>
      </c>
      <c r="D9">
        <v>1</v>
      </c>
      <c r="E9">
        <f>(1+0.23353)*G2</f>
        <v>1.3568830000000001</v>
      </c>
    </row>
    <row r="10" spans="1:7" x14ac:dyDescent="0.25">
      <c r="A10" t="s">
        <v>168</v>
      </c>
      <c r="B10" t="s">
        <v>110</v>
      </c>
      <c r="C10" t="s">
        <v>11</v>
      </c>
      <c r="D10">
        <v>1</v>
      </c>
      <c r="E10">
        <f>(1+0.2385)*G2</f>
        <v>1.3623499999999999</v>
      </c>
    </row>
    <row r="11" spans="1:7" x14ac:dyDescent="0.25">
      <c r="A11" t="s">
        <v>169</v>
      </c>
      <c r="B11" t="s">
        <v>110</v>
      </c>
      <c r="C11" t="s">
        <v>11</v>
      </c>
      <c r="D11">
        <v>1</v>
      </c>
      <c r="E11">
        <f>(1+0.1027)*G2</f>
        <v>1.2129700000000001</v>
      </c>
    </row>
    <row r="12" spans="1:7" x14ac:dyDescent="0.25">
      <c r="A12" t="s">
        <v>68</v>
      </c>
      <c r="B12" t="s">
        <v>110</v>
      </c>
      <c r="C12" t="s">
        <v>11</v>
      </c>
      <c r="D12">
        <v>1</v>
      </c>
      <c r="E12">
        <f>(1+0.1387)*G2</f>
        <v>1.2525700000000002</v>
      </c>
    </row>
    <row r="13" spans="1:7" x14ac:dyDescent="0.25">
      <c r="A13" t="s">
        <v>38</v>
      </c>
      <c r="B13" t="s">
        <v>110</v>
      </c>
      <c r="C13" t="s">
        <v>11</v>
      </c>
      <c r="D13">
        <v>1</v>
      </c>
      <c r="E13">
        <f>(1+0.1387)*G2</f>
        <v>1.2525700000000002</v>
      </c>
    </row>
    <row r="14" spans="1:7" x14ac:dyDescent="0.25">
      <c r="A14" t="s">
        <v>69</v>
      </c>
      <c r="B14" t="s">
        <v>110</v>
      </c>
      <c r="C14" t="s">
        <v>11</v>
      </c>
      <c r="D14">
        <v>1</v>
      </c>
      <c r="E14">
        <f>(1+0.69)*G2</f>
        <v>1.859</v>
      </c>
    </row>
    <row r="15" spans="1:7" x14ac:dyDescent="0.25">
      <c r="A15" t="s">
        <v>70</v>
      </c>
      <c r="B15" t="s">
        <v>110</v>
      </c>
      <c r="C15" t="s">
        <v>11</v>
      </c>
      <c r="D15">
        <v>1</v>
      </c>
      <c r="E15">
        <f>(1+0.195)*G2</f>
        <v>1.3145000000000002</v>
      </c>
    </row>
    <row r="16" spans="1:7" x14ac:dyDescent="0.25">
      <c r="A16" t="s">
        <v>170</v>
      </c>
      <c r="B16" t="s">
        <v>110</v>
      </c>
      <c r="C16" t="s">
        <v>11</v>
      </c>
      <c r="D16">
        <v>1</v>
      </c>
      <c r="E16">
        <f>(1+0.370317)*G2</f>
        <v>1.5073487000000001</v>
      </c>
    </row>
    <row r="17" spans="1:5" x14ac:dyDescent="0.25">
      <c r="A17" t="s">
        <v>171</v>
      </c>
      <c r="B17" t="s">
        <v>110</v>
      </c>
      <c r="C17" t="s">
        <v>11</v>
      </c>
      <c r="D17">
        <v>1</v>
      </c>
      <c r="E17">
        <f>(1+0.189)*G2</f>
        <v>1.3079000000000001</v>
      </c>
    </row>
    <row r="18" spans="1:5" x14ac:dyDescent="0.25">
      <c r="A18" t="s">
        <v>172</v>
      </c>
      <c r="B18" t="s">
        <v>110</v>
      </c>
      <c r="C18" t="s">
        <v>11</v>
      </c>
      <c r="D18">
        <v>1</v>
      </c>
      <c r="E18">
        <f>(1+0.29187)*G2</f>
        <v>1.4210570000000002</v>
      </c>
    </row>
    <row r="19" spans="1:5" x14ac:dyDescent="0.25">
      <c r="A19" t="s">
        <v>173</v>
      </c>
      <c r="B19" t="s">
        <v>110</v>
      </c>
      <c r="C19" t="s">
        <v>11</v>
      </c>
      <c r="D19">
        <v>1</v>
      </c>
      <c r="E19">
        <f>(1+0.256)*G2</f>
        <v>1.3816000000000002</v>
      </c>
    </row>
    <row r="20" spans="1:5" x14ac:dyDescent="0.25">
      <c r="A20" t="s">
        <v>174</v>
      </c>
      <c r="B20" t="s">
        <v>110</v>
      </c>
      <c r="C20" t="s">
        <v>11</v>
      </c>
      <c r="D20">
        <v>1</v>
      </c>
      <c r="E20">
        <f>(1+0.396)*G2</f>
        <v>1.5356000000000001</v>
      </c>
    </row>
    <row r="21" spans="1:5" x14ac:dyDescent="0.25">
      <c r="A21" t="s">
        <v>175</v>
      </c>
      <c r="B21" t="s">
        <v>110</v>
      </c>
      <c r="C21" t="s">
        <v>11</v>
      </c>
      <c r="D21">
        <v>1</v>
      </c>
      <c r="E21">
        <f>1*G2</f>
        <v>1.1000000000000001</v>
      </c>
    </row>
    <row r="22" spans="1:5" x14ac:dyDescent="0.25">
      <c r="A22" t="s">
        <v>176</v>
      </c>
      <c r="B22" t="s">
        <v>110</v>
      </c>
      <c r="C22" t="s">
        <v>11</v>
      </c>
      <c r="D22">
        <v>1</v>
      </c>
      <c r="E22">
        <f>1*G2</f>
        <v>1.1000000000000001</v>
      </c>
    </row>
    <row r="23" spans="1:5" x14ac:dyDescent="0.25">
      <c r="A23" t="s">
        <v>177</v>
      </c>
      <c r="B23" t="s">
        <v>110</v>
      </c>
      <c r="C23" t="s">
        <v>11</v>
      </c>
      <c r="D23">
        <v>1</v>
      </c>
      <c r="E23">
        <f>(1+0.195)*G2</f>
        <v>1.3145000000000002</v>
      </c>
    </row>
    <row r="24" spans="1:5" x14ac:dyDescent="0.25">
      <c r="A24" t="s">
        <v>178</v>
      </c>
      <c r="B24" t="s">
        <v>110</v>
      </c>
      <c r="C24" t="s">
        <v>11</v>
      </c>
      <c r="D24">
        <v>1</v>
      </c>
      <c r="E24">
        <f>(1+0.195)*G2</f>
        <v>1.3145000000000002</v>
      </c>
    </row>
    <row r="25" spans="1:5" x14ac:dyDescent="0.25">
      <c r="A25" t="s">
        <v>179</v>
      </c>
      <c r="B25" t="s">
        <v>110</v>
      </c>
      <c r="C25" t="s">
        <v>11</v>
      </c>
      <c r="D25">
        <v>1</v>
      </c>
      <c r="E25">
        <f>(1+0.195)*G2</f>
        <v>1.3145000000000002</v>
      </c>
    </row>
    <row r="26" spans="1:5" x14ac:dyDescent="0.25">
      <c r="A26" t="s">
        <v>180</v>
      </c>
      <c r="B26" t="s">
        <v>110</v>
      </c>
      <c r="C26" t="s">
        <v>11</v>
      </c>
      <c r="D26">
        <v>1</v>
      </c>
      <c r="E26">
        <f>1*G2</f>
        <v>1.1000000000000001</v>
      </c>
    </row>
    <row r="27" spans="1:5" x14ac:dyDescent="0.25">
      <c r="A27" t="s">
        <v>181</v>
      </c>
      <c r="B27" t="s">
        <v>110</v>
      </c>
      <c r="C27" t="s">
        <v>11</v>
      </c>
      <c r="D27">
        <v>1</v>
      </c>
      <c r="E27">
        <f>1*G2</f>
        <v>1.1000000000000001</v>
      </c>
    </row>
    <row r="28" spans="1:5" x14ac:dyDescent="0.25">
      <c r="A28" t="s">
        <v>182</v>
      </c>
      <c r="B28" t="s">
        <v>110</v>
      </c>
      <c r="C28" t="s">
        <v>11</v>
      </c>
      <c r="D28">
        <v>1</v>
      </c>
      <c r="E28">
        <f>1*G2</f>
        <v>1.1000000000000001</v>
      </c>
    </row>
    <row r="29" spans="1:5" x14ac:dyDescent="0.25">
      <c r="A29" t="s">
        <v>183</v>
      </c>
      <c r="B29" t="s">
        <v>110</v>
      </c>
      <c r="C29" t="s">
        <v>11</v>
      </c>
      <c r="D29">
        <v>1</v>
      </c>
      <c r="E29">
        <f>(1+0.2467)*G2</f>
        <v>1.37137</v>
      </c>
    </row>
    <row r="30" spans="1:5" x14ac:dyDescent="0.25">
      <c r="A30" t="s">
        <v>184</v>
      </c>
      <c r="B30" t="s">
        <v>110</v>
      </c>
      <c r="C30" t="s">
        <v>11</v>
      </c>
      <c r="D30">
        <v>1</v>
      </c>
      <c r="E30">
        <f>1*G2</f>
        <v>1.1000000000000001</v>
      </c>
    </row>
    <row r="31" spans="1:5" x14ac:dyDescent="0.25">
      <c r="A31" t="s">
        <v>185</v>
      </c>
      <c r="B31" t="s">
        <v>110</v>
      </c>
      <c r="C31" t="s">
        <v>11</v>
      </c>
      <c r="D31">
        <v>1</v>
      </c>
      <c r="E31">
        <f>1*G2</f>
        <v>1.1000000000000001</v>
      </c>
    </row>
    <row r="32" spans="1:5" x14ac:dyDescent="0.25">
      <c r="A32" t="s">
        <v>186</v>
      </c>
      <c r="B32" t="s">
        <v>110</v>
      </c>
      <c r="C32" t="s">
        <v>11</v>
      </c>
      <c r="D32">
        <v>1</v>
      </c>
      <c r="E32">
        <f>(1+0.195)*$G$2</f>
        <v>1.3145000000000002</v>
      </c>
    </row>
    <row r="33" spans="1:5" x14ac:dyDescent="0.25">
      <c r="A33" t="s">
        <v>187</v>
      </c>
      <c r="B33" t="s">
        <v>110</v>
      </c>
      <c r="C33" t="s">
        <v>11</v>
      </c>
      <c r="D33">
        <v>1</v>
      </c>
      <c r="E33">
        <f t="shared" ref="E33:E60" si="0">(1+0.195)*$G$2</f>
        <v>1.3145000000000002</v>
      </c>
    </row>
    <row r="34" spans="1:5" x14ac:dyDescent="0.25">
      <c r="A34" t="s">
        <v>188</v>
      </c>
      <c r="B34" t="s">
        <v>110</v>
      </c>
      <c r="C34" t="s">
        <v>11</v>
      </c>
      <c r="D34">
        <v>1</v>
      </c>
      <c r="E34">
        <f t="shared" si="0"/>
        <v>1.3145000000000002</v>
      </c>
    </row>
    <row r="35" spans="1:5" x14ac:dyDescent="0.25">
      <c r="A35" t="s">
        <v>36</v>
      </c>
      <c r="B35" t="s">
        <v>110</v>
      </c>
      <c r="C35" t="s">
        <v>11</v>
      </c>
      <c r="D35">
        <v>1</v>
      </c>
      <c r="E35">
        <f t="shared" si="0"/>
        <v>1.3145000000000002</v>
      </c>
    </row>
    <row r="36" spans="1:5" x14ac:dyDescent="0.25">
      <c r="A36" t="s">
        <v>189</v>
      </c>
      <c r="B36" t="s">
        <v>110</v>
      </c>
      <c r="C36" t="s">
        <v>11</v>
      </c>
      <c r="D36">
        <v>1</v>
      </c>
      <c r="E36">
        <f t="shared" si="0"/>
        <v>1.3145000000000002</v>
      </c>
    </row>
    <row r="37" spans="1:5" x14ac:dyDescent="0.25">
      <c r="A37" t="s">
        <v>190</v>
      </c>
      <c r="B37" t="s">
        <v>110</v>
      </c>
      <c r="C37" t="s">
        <v>11</v>
      </c>
      <c r="D37">
        <v>1</v>
      </c>
      <c r="E37">
        <f t="shared" si="0"/>
        <v>1.3145000000000002</v>
      </c>
    </row>
    <row r="38" spans="1:5" x14ac:dyDescent="0.25">
      <c r="A38" t="s">
        <v>191</v>
      </c>
      <c r="B38" t="s">
        <v>110</v>
      </c>
      <c r="C38" t="s">
        <v>11</v>
      </c>
      <c r="D38">
        <v>1</v>
      </c>
      <c r="E38">
        <f t="shared" si="0"/>
        <v>1.3145000000000002</v>
      </c>
    </row>
    <row r="39" spans="1:5" x14ac:dyDescent="0.25">
      <c r="A39" t="s">
        <v>192</v>
      </c>
      <c r="B39" t="s">
        <v>110</v>
      </c>
      <c r="C39" t="s">
        <v>11</v>
      </c>
      <c r="D39">
        <v>1</v>
      </c>
      <c r="E39">
        <f t="shared" si="0"/>
        <v>1.3145000000000002</v>
      </c>
    </row>
    <row r="40" spans="1:5" x14ac:dyDescent="0.25">
      <c r="A40" t="s">
        <v>42</v>
      </c>
      <c r="B40" t="s">
        <v>110</v>
      </c>
      <c r="C40" t="s">
        <v>11</v>
      </c>
      <c r="D40">
        <v>1</v>
      </c>
      <c r="E40">
        <f t="shared" si="0"/>
        <v>1.3145000000000002</v>
      </c>
    </row>
    <row r="41" spans="1:5" x14ac:dyDescent="0.25">
      <c r="A41" t="s">
        <v>49</v>
      </c>
      <c r="B41" t="s">
        <v>110</v>
      </c>
      <c r="C41" t="s">
        <v>11</v>
      </c>
      <c r="D41">
        <v>1</v>
      </c>
      <c r="E41">
        <f t="shared" si="0"/>
        <v>1.3145000000000002</v>
      </c>
    </row>
    <row r="42" spans="1:5" x14ac:dyDescent="0.25">
      <c r="A42" t="s">
        <v>50</v>
      </c>
      <c r="B42" t="s">
        <v>110</v>
      </c>
      <c r="C42" t="s">
        <v>11</v>
      </c>
      <c r="D42">
        <v>1</v>
      </c>
      <c r="E42">
        <f t="shared" si="0"/>
        <v>1.3145000000000002</v>
      </c>
    </row>
    <row r="43" spans="1:5" x14ac:dyDescent="0.25">
      <c r="A43" t="s">
        <v>51</v>
      </c>
      <c r="B43" t="s">
        <v>110</v>
      </c>
      <c r="C43" t="s">
        <v>11</v>
      </c>
      <c r="D43">
        <v>1</v>
      </c>
      <c r="E43">
        <f t="shared" si="0"/>
        <v>1.3145000000000002</v>
      </c>
    </row>
    <row r="44" spans="1:5" x14ac:dyDescent="0.25">
      <c r="A44" t="s">
        <v>44</v>
      </c>
      <c r="B44" t="s">
        <v>110</v>
      </c>
      <c r="C44" t="s">
        <v>11</v>
      </c>
      <c r="D44">
        <v>1</v>
      </c>
      <c r="E44">
        <f t="shared" si="0"/>
        <v>1.3145000000000002</v>
      </c>
    </row>
    <row r="45" spans="1:5" x14ac:dyDescent="0.25">
      <c r="A45" t="s">
        <v>47</v>
      </c>
      <c r="B45" t="s">
        <v>110</v>
      </c>
      <c r="C45" t="s">
        <v>11</v>
      </c>
      <c r="D45">
        <v>1</v>
      </c>
      <c r="E45">
        <f t="shared" si="0"/>
        <v>1.3145000000000002</v>
      </c>
    </row>
    <row r="46" spans="1:5" x14ac:dyDescent="0.25">
      <c r="A46" t="s">
        <v>48</v>
      </c>
      <c r="B46" t="s">
        <v>110</v>
      </c>
      <c r="C46" t="s">
        <v>11</v>
      </c>
      <c r="D46">
        <v>1</v>
      </c>
      <c r="E46">
        <f t="shared" si="0"/>
        <v>1.3145000000000002</v>
      </c>
    </row>
    <row r="47" spans="1:5" x14ac:dyDescent="0.25">
      <c r="A47" t="s">
        <v>193</v>
      </c>
      <c r="B47" t="s">
        <v>110</v>
      </c>
      <c r="C47" t="s">
        <v>11</v>
      </c>
      <c r="D47">
        <v>1</v>
      </c>
      <c r="E47">
        <f t="shared" si="0"/>
        <v>1.3145000000000002</v>
      </c>
    </row>
    <row r="48" spans="1:5" x14ac:dyDescent="0.25">
      <c r="A48" t="s">
        <v>194</v>
      </c>
      <c r="B48" t="s">
        <v>110</v>
      </c>
      <c r="C48" t="s">
        <v>11</v>
      </c>
      <c r="D48">
        <v>1</v>
      </c>
      <c r="E48">
        <f t="shared" si="0"/>
        <v>1.3145000000000002</v>
      </c>
    </row>
    <row r="49" spans="1:5" x14ac:dyDescent="0.25">
      <c r="A49" t="s">
        <v>195</v>
      </c>
      <c r="B49" t="s">
        <v>110</v>
      </c>
      <c r="C49" t="s">
        <v>11</v>
      </c>
      <c r="D49">
        <v>1</v>
      </c>
      <c r="E49">
        <f t="shared" si="0"/>
        <v>1.3145000000000002</v>
      </c>
    </row>
    <row r="50" spans="1:5" x14ac:dyDescent="0.25">
      <c r="A50" t="s">
        <v>196</v>
      </c>
      <c r="B50" t="s">
        <v>110</v>
      </c>
      <c r="C50" t="s">
        <v>11</v>
      </c>
      <c r="D50">
        <v>1</v>
      </c>
      <c r="E50">
        <f t="shared" si="0"/>
        <v>1.3145000000000002</v>
      </c>
    </row>
    <row r="51" spans="1:5" x14ac:dyDescent="0.25">
      <c r="A51" t="s">
        <v>197</v>
      </c>
      <c r="B51" t="s">
        <v>110</v>
      </c>
      <c r="C51" t="s">
        <v>11</v>
      </c>
      <c r="D51">
        <v>1</v>
      </c>
      <c r="E51">
        <f t="shared" si="0"/>
        <v>1.3145000000000002</v>
      </c>
    </row>
    <row r="52" spans="1:5" x14ac:dyDescent="0.25">
      <c r="A52" t="s">
        <v>198</v>
      </c>
      <c r="B52" t="s">
        <v>110</v>
      </c>
      <c r="C52" t="s">
        <v>11</v>
      </c>
      <c r="D52">
        <v>1</v>
      </c>
      <c r="E52">
        <f t="shared" si="0"/>
        <v>1.3145000000000002</v>
      </c>
    </row>
    <row r="53" spans="1:5" x14ac:dyDescent="0.25">
      <c r="A53" t="s">
        <v>199</v>
      </c>
      <c r="B53" t="s">
        <v>110</v>
      </c>
      <c r="C53" t="s">
        <v>11</v>
      </c>
      <c r="D53">
        <v>1</v>
      </c>
      <c r="E53">
        <f t="shared" si="0"/>
        <v>1.3145000000000002</v>
      </c>
    </row>
    <row r="54" spans="1:5" x14ac:dyDescent="0.25">
      <c r="A54" t="s">
        <v>133</v>
      </c>
      <c r="B54" t="s">
        <v>110</v>
      </c>
      <c r="C54" t="s">
        <v>11</v>
      </c>
      <c r="D54">
        <v>1</v>
      </c>
      <c r="E54">
        <f t="shared" si="0"/>
        <v>1.3145000000000002</v>
      </c>
    </row>
    <row r="55" spans="1:5" x14ac:dyDescent="0.25">
      <c r="A55" t="s">
        <v>135</v>
      </c>
      <c r="B55" t="s">
        <v>110</v>
      </c>
      <c r="C55" t="s">
        <v>11</v>
      </c>
      <c r="D55">
        <v>1</v>
      </c>
      <c r="E55">
        <f t="shared" si="0"/>
        <v>1.3145000000000002</v>
      </c>
    </row>
    <row r="56" spans="1:5" x14ac:dyDescent="0.25">
      <c r="A56" t="s">
        <v>136</v>
      </c>
      <c r="B56" t="s">
        <v>110</v>
      </c>
      <c r="C56" t="s">
        <v>11</v>
      </c>
      <c r="D56">
        <v>1</v>
      </c>
      <c r="E56">
        <f t="shared" si="0"/>
        <v>1.3145000000000002</v>
      </c>
    </row>
    <row r="57" spans="1:5" x14ac:dyDescent="0.25">
      <c r="A57" t="s">
        <v>140</v>
      </c>
      <c r="B57" t="s">
        <v>110</v>
      </c>
      <c r="C57" t="s">
        <v>11</v>
      </c>
      <c r="D57">
        <v>1</v>
      </c>
      <c r="E57">
        <f t="shared" si="0"/>
        <v>1.3145000000000002</v>
      </c>
    </row>
    <row r="58" spans="1:5" x14ac:dyDescent="0.25">
      <c r="A58" t="s">
        <v>72</v>
      </c>
      <c r="B58" t="s">
        <v>110</v>
      </c>
      <c r="C58" t="s">
        <v>11</v>
      </c>
      <c r="D58">
        <v>1</v>
      </c>
      <c r="E58">
        <f t="shared" si="0"/>
        <v>1.3145000000000002</v>
      </c>
    </row>
    <row r="59" spans="1:5" x14ac:dyDescent="0.25">
      <c r="A59" t="s">
        <v>137</v>
      </c>
      <c r="B59" t="s">
        <v>110</v>
      </c>
      <c r="C59" t="s">
        <v>11</v>
      </c>
      <c r="D59">
        <v>1</v>
      </c>
      <c r="E59">
        <f t="shared" si="0"/>
        <v>1.3145000000000002</v>
      </c>
    </row>
    <row r="60" spans="1:5" x14ac:dyDescent="0.25">
      <c r="A60" t="s">
        <v>138</v>
      </c>
      <c r="B60" t="s">
        <v>110</v>
      </c>
      <c r="C60" t="s">
        <v>11</v>
      </c>
      <c r="D60">
        <v>1</v>
      </c>
      <c r="E60">
        <f t="shared" si="0"/>
        <v>1.3145000000000002</v>
      </c>
    </row>
    <row r="61" spans="1:5" x14ac:dyDescent="0.25">
      <c r="A61" t="s">
        <v>123</v>
      </c>
      <c r="B61" t="s">
        <v>110</v>
      </c>
      <c r="C61" t="s">
        <v>11</v>
      </c>
      <c r="D61">
        <v>1</v>
      </c>
      <c r="E61">
        <v>1</v>
      </c>
    </row>
    <row r="62" spans="1:5" x14ac:dyDescent="0.25">
      <c r="A62" t="s">
        <v>124</v>
      </c>
      <c r="B62" t="s">
        <v>110</v>
      </c>
      <c r="C62" t="s">
        <v>11</v>
      </c>
      <c r="D62">
        <v>1</v>
      </c>
      <c r="E6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selection activeCell="N3" sqref="N3"/>
    </sheetView>
  </sheetViews>
  <sheetFormatPr defaultRowHeight="15" x14ac:dyDescent="0.25"/>
  <cols>
    <col min="1" max="1" width="8" bestFit="1" customWidth="1"/>
    <col min="2" max="2" width="14.28515625" bestFit="1" customWidth="1"/>
    <col min="3" max="3" width="8.7109375" bestFit="1" customWidth="1"/>
    <col min="4" max="4" width="30.5703125" bestFit="1" customWidth="1"/>
    <col min="5" max="5" width="6" bestFit="1" customWidth="1"/>
    <col min="6" max="12" width="7" bestFit="1" customWidth="1"/>
  </cols>
  <sheetData>
    <row r="1" spans="1:14" x14ac:dyDescent="0.25">
      <c r="A1" s="1" t="s">
        <v>97</v>
      </c>
      <c r="B1" s="1" t="s">
        <v>120</v>
      </c>
      <c r="C1" s="1" t="s">
        <v>104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4" x14ac:dyDescent="0.25">
      <c r="A2" t="s">
        <v>98</v>
      </c>
      <c r="D2" t="s">
        <v>99</v>
      </c>
      <c r="E2" t="s">
        <v>11</v>
      </c>
      <c r="F2">
        <v>1</v>
      </c>
      <c r="G2" s="3"/>
      <c r="H2" s="3"/>
      <c r="I2" s="3"/>
      <c r="J2" s="3"/>
      <c r="K2" s="3"/>
      <c r="L2" s="3">
        <v>1.22</v>
      </c>
      <c r="N2" t="s">
        <v>240</v>
      </c>
    </row>
    <row r="4" spans="1:14" x14ac:dyDescent="0.25">
      <c r="A4" t="s">
        <v>98</v>
      </c>
      <c r="D4" t="s">
        <v>119</v>
      </c>
      <c r="E4" t="s">
        <v>11</v>
      </c>
      <c r="F4">
        <v>1</v>
      </c>
      <c r="L4">
        <v>0.5</v>
      </c>
    </row>
    <row r="5" spans="1:14" x14ac:dyDescent="0.25">
      <c r="A5" t="s">
        <v>118</v>
      </c>
      <c r="D5" t="s">
        <v>119</v>
      </c>
      <c r="E5" t="s">
        <v>11</v>
      </c>
      <c r="F5">
        <v>1</v>
      </c>
      <c r="L5">
        <v>0.5</v>
      </c>
    </row>
    <row r="6" spans="1:14" x14ac:dyDescent="0.25">
      <c r="A6" t="s">
        <v>98</v>
      </c>
      <c r="C6" t="s">
        <v>117</v>
      </c>
      <c r="D6" t="s">
        <v>121</v>
      </c>
      <c r="E6" t="s">
        <v>11</v>
      </c>
      <c r="F6">
        <v>1</v>
      </c>
      <c r="L6">
        <v>1.1000000000000001</v>
      </c>
    </row>
    <row r="7" spans="1:14" x14ac:dyDescent="0.25">
      <c r="A7" t="s">
        <v>118</v>
      </c>
      <c r="C7" t="s">
        <v>117</v>
      </c>
      <c r="D7" t="s">
        <v>121</v>
      </c>
      <c r="E7" t="s">
        <v>11</v>
      </c>
      <c r="F7">
        <v>1</v>
      </c>
      <c r="L7">
        <v>1.1000000000000001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Views>
    <sheetView workbookViewId="0">
      <selection activeCell="Q16" sqref="Q16"/>
    </sheetView>
  </sheetViews>
  <sheetFormatPr defaultRowHeight="15" x14ac:dyDescent="0.25"/>
  <sheetData>
    <row r="1" spans="1:18" x14ac:dyDescent="0.25">
      <c r="A1" s="1" t="s">
        <v>116</v>
      </c>
      <c r="B1" s="1" t="s">
        <v>120</v>
      </c>
      <c r="C1" s="1" t="s">
        <v>97</v>
      </c>
      <c r="D1" s="1" t="s">
        <v>104</v>
      </c>
      <c r="E1" s="1" t="s">
        <v>220</v>
      </c>
      <c r="F1" s="1" t="s">
        <v>221</v>
      </c>
      <c r="G1" s="1" t="s">
        <v>222</v>
      </c>
      <c r="H1" s="1" t="s">
        <v>156</v>
      </c>
      <c r="I1" s="1" t="s">
        <v>223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</row>
    <row r="2" spans="1:18" x14ac:dyDescent="0.25">
      <c r="A2" t="s">
        <v>129</v>
      </c>
      <c r="C2" t="s">
        <v>98</v>
      </c>
      <c r="D2" t="s">
        <v>130</v>
      </c>
      <c r="F2" t="s">
        <v>224</v>
      </c>
      <c r="J2" t="s">
        <v>225</v>
      </c>
      <c r="K2" t="s">
        <v>96</v>
      </c>
      <c r="L2">
        <v>83.800623052959494</v>
      </c>
      <c r="R2">
        <v>67</v>
      </c>
    </row>
    <row r="3" spans="1:18" x14ac:dyDescent="0.25">
      <c r="A3" t="s">
        <v>129</v>
      </c>
      <c r="C3" t="s">
        <v>98</v>
      </c>
      <c r="D3" t="s">
        <v>130</v>
      </c>
      <c r="F3" t="s">
        <v>226</v>
      </c>
      <c r="J3" t="s">
        <v>225</v>
      </c>
      <c r="K3" t="s">
        <v>96</v>
      </c>
      <c r="L3">
        <v>9.3457943925233611</v>
      </c>
      <c r="R3">
        <v>0</v>
      </c>
    </row>
    <row r="4" spans="1:18" x14ac:dyDescent="0.25">
      <c r="A4" t="s">
        <v>129</v>
      </c>
      <c r="C4" t="s">
        <v>98</v>
      </c>
      <c r="D4" t="s">
        <v>130</v>
      </c>
      <c r="F4" t="s">
        <v>227</v>
      </c>
      <c r="J4" t="s">
        <v>225</v>
      </c>
      <c r="K4" t="s">
        <v>96</v>
      </c>
      <c r="L4">
        <v>1.2906097018246547</v>
      </c>
      <c r="R4">
        <v>0</v>
      </c>
    </row>
    <row r="5" spans="1:18" x14ac:dyDescent="0.25">
      <c r="A5" t="s">
        <v>129</v>
      </c>
      <c r="C5" t="s">
        <v>98</v>
      </c>
      <c r="D5" t="s">
        <v>130</v>
      </c>
      <c r="F5" t="s">
        <v>228</v>
      </c>
      <c r="J5" t="s">
        <v>225</v>
      </c>
      <c r="K5" t="s">
        <v>96</v>
      </c>
      <c r="L5">
        <v>5.562972852692476</v>
      </c>
      <c r="R5">
        <v>33</v>
      </c>
    </row>
    <row r="6" spans="1:18" x14ac:dyDescent="0.25">
      <c r="A6" t="s">
        <v>129</v>
      </c>
      <c r="C6" t="s">
        <v>98</v>
      </c>
      <c r="D6" t="s">
        <v>130</v>
      </c>
      <c r="F6" t="s">
        <v>229</v>
      </c>
      <c r="J6" t="s">
        <v>225</v>
      </c>
      <c r="K6" t="s">
        <v>96</v>
      </c>
      <c r="L6">
        <v>0</v>
      </c>
      <c r="R6">
        <v>0</v>
      </c>
    </row>
    <row r="7" spans="1:18" x14ac:dyDescent="0.25">
      <c r="A7" t="s">
        <v>129</v>
      </c>
      <c r="C7" t="s">
        <v>118</v>
      </c>
      <c r="D7" t="s">
        <v>130</v>
      </c>
      <c r="F7" t="s">
        <v>224</v>
      </c>
      <c r="J7" t="s">
        <v>225</v>
      </c>
      <c r="K7" t="s">
        <v>96</v>
      </c>
      <c r="L7">
        <v>22.222222222222225</v>
      </c>
      <c r="R7">
        <v>0</v>
      </c>
    </row>
    <row r="8" spans="1:18" x14ac:dyDescent="0.25">
      <c r="A8" t="s">
        <v>129</v>
      </c>
      <c r="C8" t="s">
        <v>118</v>
      </c>
      <c r="D8" t="s">
        <v>130</v>
      </c>
      <c r="F8" t="s">
        <v>226</v>
      </c>
      <c r="J8" t="s">
        <v>225</v>
      </c>
      <c r="K8" t="s">
        <v>96</v>
      </c>
      <c r="L8">
        <v>30.405405405405407</v>
      </c>
      <c r="R8">
        <v>0</v>
      </c>
    </row>
    <row r="9" spans="1:18" x14ac:dyDescent="0.25">
      <c r="A9" t="s">
        <v>129</v>
      </c>
      <c r="C9" t="s">
        <v>118</v>
      </c>
      <c r="D9" t="s">
        <v>130</v>
      </c>
      <c r="F9" t="s">
        <v>227</v>
      </c>
      <c r="J9" t="s">
        <v>225</v>
      </c>
      <c r="K9" t="s">
        <v>96</v>
      </c>
      <c r="L9">
        <v>44.819819819819827</v>
      </c>
      <c r="R9">
        <v>67</v>
      </c>
    </row>
    <row r="10" spans="1:18" x14ac:dyDescent="0.25">
      <c r="A10" t="s">
        <v>129</v>
      </c>
      <c r="C10" t="s">
        <v>118</v>
      </c>
      <c r="D10" t="s">
        <v>130</v>
      </c>
      <c r="F10" t="s">
        <v>228</v>
      </c>
      <c r="J10" t="s">
        <v>225</v>
      </c>
      <c r="K10" t="s">
        <v>96</v>
      </c>
      <c r="L10">
        <v>2.5525525525525525</v>
      </c>
      <c r="R10">
        <v>33</v>
      </c>
    </row>
    <row r="11" spans="1:18" x14ac:dyDescent="0.25">
      <c r="A11" t="s">
        <v>129</v>
      </c>
      <c r="C11" t="s">
        <v>118</v>
      </c>
      <c r="D11" t="s">
        <v>130</v>
      </c>
      <c r="F11" t="s">
        <v>229</v>
      </c>
      <c r="J11" t="s">
        <v>225</v>
      </c>
      <c r="K11" t="s">
        <v>96</v>
      </c>
      <c r="L11">
        <v>0</v>
      </c>
      <c r="R11">
        <v>0</v>
      </c>
    </row>
    <row r="12" spans="1:18" x14ac:dyDescent="0.25">
      <c r="A12" t="s">
        <v>129</v>
      </c>
      <c r="D12" t="s">
        <v>230</v>
      </c>
      <c r="F12" t="s">
        <v>224</v>
      </c>
      <c r="J12" t="s">
        <v>225</v>
      </c>
      <c r="K12" t="s">
        <v>96</v>
      </c>
      <c r="L12">
        <v>50.379048931771194</v>
      </c>
      <c r="R12">
        <v>67</v>
      </c>
    </row>
    <row r="13" spans="1:18" x14ac:dyDescent="0.25">
      <c r="A13" t="s">
        <v>129</v>
      </c>
      <c r="D13" t="s">
        <v>230</v>
      </c>
      <c r="F13" t="s">
        <v>226</v>
      </c>
      <c r="J13" t="s">
        <v>225</v>
      </c>
      <c r="K13" t="s">
        <v>96</v>
      </c>
      <c r="L13">
        <v>19.090282563749142</v>
      </c>
      <c r="R13">
        <v>0</v>
      </c>
    </row>
    <row r="14" spans="1:18" x14ac:dyDescent="0.25">
      <c r="A14" t="s">
        <v>129</v>
      </c>
      <c r="D14" t="s">
        <v>230</v>
      </c>
      <c r="F14" t="s">
        <v>227</v>
      </c>
      <c r="J14" t="s">
        <v>225</v>
      </c>
      <c r="K14" t="s">
        <v>96</v>
      </c>
      <c r="L14">
        <v>26.533425223983464</v>
      </c>
      <c r="R14">
        <v>0</v>
      </c>
    </row>
    <row r="15" spans="1:18" x14ac:dyDescent="0.25">
      <c r="A15" t="s">
        <v>129</v>
      </c>
      <c r="D15" t="s">
        <v>230</v>
      </c>
      <c r="F15" t="s">
        <v>228</v>
      </c>
      <c r="J15" t="s">
        <v>225</v>
      </c>
      <c r="K15" t="s">
        <v>96</v>
      </c>
      <c r="L15">
        <v>3.9972432804962108</v>
      </c>
      <c r="R15">
        <v>33</v>
      </c>
    </row>
    <row r="16" spans="1:18" x14ac:dyDescent="0.25">
      <c r="A16" t="s">
        <v>129</v>
      </c>
      <c r="D16" t="s">
        <v>230</v>
      </c>
      <c r="F16" t="s">
        <v>229</v>
      </c>
      <c r="J16" t="s">
        <v>225</v>
      </c>
      <c r="K16" t="s">
        <v>96</v>
      </c>
      <c r="L16">
        <v>0</v>
      </c>
      <c r="R16">
        <v>0</v>
      </c>
    </row>
    <row r="17" spans="1:18" x14ac:dyDescent="0.25">
      <c r="A17" t="s">
        <v>129</v>
      </c>
      <c r="D17" t="s">
        <v>231</v>
      </c>
      <c r="F17" t="s">
        <v>224</v>
      </c>
      <c r="J17" t="s">
        <v>225</v>
      </c>
      <c r="K17" t="s">
        <v>96</v>
      </c>
      <c r="L17">
        <v>50.379048931771194</v>
      </c>
      <c r="R17">
        <v>67</v>
      </c>
    </row>
    <row r="18" spans="1:18" x14ac:dyDescent="0.25">
      <c r="A18" t="s">
        <v>129</v>
      </c>
      <c r="D18" t="s">
        <v>231</v>
      </c>
      <c r="F18" t="s">
        <v>226</v>
      </c>
      <c r="J18" t="s">
        <v>225</v>
      </c>
      <c r="K18" t="s">
        <v>96</v>
      </c>
      <c r="L18">
        <v>19.090282563749142</v>
      </c>
      <c r="R18">
        <v>0</v>
      </c>
    </row>
    <row r="19" spans="1:18" x14ac:dyDescent="0.25">
      <c r="A19" t="s">
        <v>129</v>
      </c>
      <c r="D19" t="s">
        <v>231</v>
      </c>
      <c r="F19" t="s">
        <v>227</v>
      </c>
      <c r="J19" t="s">
        <v>225</v>
      </c>
      <c r="K19" t="s">
        <v>96</v>
      </c>
      <c r="L19">
        <v>26.533425223983464</v>
      </c>
      <c r="R19">
        <v>0</v>
      </c>
    </row>
    <row r="20" spans="1:18" x14ac:dyDescent="0.25">
      <c r="A20" t="s">
        <v>129</v>
      </c>
      <c r="D20" t="s">
        <v>231</v>
      </c>
      <c r="F20" t="s">
        <v>228</v>
      </c>
      <c r="J20" t="s">
        <v>225</v>
      </c>
      <c r="K20" t="s">
        <v>96</v>
      </c>
      <c r="L20">
        <v>3.9972432804962108</v>
      </c>
      <c r="R20">
        <v>33</v>
      </c>
    </row>
    <row r="21" spans="1:18" x14ac:dyDescent="0.25">
      <c r="A21" t="s">
        <v>129</v>
      </c>
      <c r="D21" t="s">
        <v>231</v>
      </c>
      <c r="F21" t="s">
        <v>229</v>
      </c>
      <c r="J21" t="s">
        <v>225</v>
      </c>
      <c r="K21" t="s">
        <v>96</v>
      </c>
      <c r="L21">
        <v>0</v>
      </c>
      <c r="R21">
        <v>0</v>
      </c>
    </row>
    <row r="22" spans="1:18" x14ac:dyDescent="0.25">
      <c r="A22" t="s">
        <v>129</v>
      </c>
      <c r="D22" t="s">
        <v>117</v>
      </c>
      <c r="F22" t="s">
        <v>224</v>
      </c>
      <c r="J22" t="s">
        <v>225</v>
      </c>
      <c r="K22" t="s">
        <v>96</v>
      </c>
      <c r="L22">
        <v>44.83940042826552</v>
      </c>
      <c r="R22">
        <v>67</v>
      </c>
    </row>
    <row r="23" spans="1:18" x14ac:dyDescent="0.25">
      <c r="A23" t="s">
        <v>129</v>
      </c>
      <c r="D23" t="s">
        <v>117</v>
      </c>
      <c r="F23" t="s">
        <v>226</v>
      </c>
      <c r="J23" t="s">
        <v>225</v>
      </c>
      <c r="K23" t="s">
        <v>96</v>
      </c>
      <c r="L23">
        <v>19.914346895074946</v>
      </c>
      <c r="R23">
        <v>0</v>
      </c>
    </row>
    <row r="24" spans="1:18" x14ac:dyDescent="0.25">
      <c r="A24" t="s">
        <v>129</v>
      </c>
      <c r="D24" t="s">
        <v>117</v>
      </c>
      <c r="F24" t="s">
        <v>227</v>
      </c>
      <c r="J24" t="s">
        <v>225</v>
      </c>
      <c r="K24" t="s">
        <v>96</v>
      </c>
      <c r="L24">
        <v>31.520342612419693</v>
      </c>
      <c r="R24">
        <v>0</v>
      </c>
    </row>
    <row r="25" spans="1:18" x14ac:dyDescent="0.25">
      <c r="A25" t="s">
        <v>129</v>
      </c>
      <c r="D25" t="s">
        <v>117</v>
      </c>
      <c r="F25" t="s">
        <v>228</v>
      </c>
      <c r="J25" t="s">
        <v>225</v>
      </c>
      <c r="K25" t="s">
        <v>96</v>
      </c>
      <c r="L25">
        <v>3.7259100642398284</v>
      </c>
      <c r="R25">
        <v>33</v>
      </c>
    </row>
    <row r="26" spans="1:18" x14ac:dyDescent="0.25">
      <c r="A26" t="s">
        <v>129</v>
      </c>
      <c r="D26" t="s">
        <v>117</v>
      </c>
      <c r="F26" t="s">
        <v>229</v>
      </c>
      <c r="J26" t="s">
        <v>225</v>
      </c>
      <c r="K26" t="s">
        <v>96</v>
      </c>
      <c r="L26">
        <v>0</v>
      </c>
      <c r="R26">
        <v>0</v>
      </c>
    </row>
    <row r="27" spans="1:18" x14ac:dyDescent="0.25">
      <c r="A27" t="s">
        <v>129</v>
      </c>
      <c r="D27" t="s">
        <v>232</v>
      </c>
      <c r="F27" t="s">
        <v>224</v>
      </c>
      <c r="J27" t="s">
        <v>225</v>
      </c>
      <c r="K27" t="s">
        <v>96</v>
      </c>
      <c r="L27">
        <v>25.355691056910569</v>
      </c>
      <c r="R27">
        <v>0</v>
      </c>
    </row>
    <row r="28" spans="1:18" x14ac:dyDescent="0.25">
      <c r="A28" t="s">
        <v>129</v>
      </c>
      <c r="D28" t="s">
        <v>232</v>
      </c>
      <c r="F28" t="s">
        <v>226</v>
      </c>
      <c r="J28" t="s">
        <v>225</v>
      </c>
      <c r="K28" t="s">
        <v>96</v>
      </c>
      <c r="L28">
        <v>20.325203252032519</v>
      </c>
      <c r="R28">
        <v>0</v>
      </c>
    </row>
    <row r="29" spans="1:18" x14ac:dyDescent="0.25">
      <c r="A29" t="s">
        <v>129</v>
      </c>
      <c r="D29" t="s">
        <v>232</v>
      </c>
      <c r="F29" t="s">
        <v>227</v>
      </c>
      <c r="J29" t="s">
        <v>225</v>
      </c>
      <c r="K29" t="s">
        <v>96</v>
      </c>
      <c r="L29">
        <v>51.575203252032523</v>
      </c>
      <c r="R29">
        <v>67</v>
      </c>
    </row>
    <row r="30" spans="1:18" x14ac:dyDescent="0.25">
      <c r="A30" t="s">
        <v>129</v>
      </c>
      <c r="D30" t="s">
        <v>232</v>
      </c>
      <c r="F30" t="s">
        <v>228</v>
      </c>
      <c r="J30" t="s">
        <v>225</v>
      </c>
      <c r="K30" t="s">
        <v>96</v>
      </c>
      <c r="L30">
        <v>2.7439024390243896</v>
      </c>
      <c r="R30">
        <v>33</v>
      </c>
    </row>
    <row r="31" spans="1:18" x14ac:dyDescent="0.25">
      <c r="A31" t="s">
        <v>129</v>
      </c>
      <c r="D31" t="s">
        <v>232</v>
      </c>
      <c r="F31" t="s">
        <v>229</v>
      </c>
      <c r="J31" t="s">
        <v>225</v>
      </c>
      <c r="K31" t="s">
        <v>96</v>
      </c>
      <c r="L31">
        <v>0</v>
      </c>
      <c r="R31">
        <v>0</v>
      </c>
    </row>
    <row r="32" spans="1:18" x14ac:dyDescent="0.25">
      <c r="A32" t="s">
        <v>129</v>
      </c>
      <c r="D32" t="s">
        <v>233</v>
      </c>
      <c r="F32" t="s">
        <v>224</v>
      </c>
      <c r="J32" t="s">
        <v>225</v>
      </c>
      <c r="K32" t="s">
        <v>96</v>
      </c>
      <c r="L32">
        <v>44.83940042826552</v>
      </c>
      <c r="R32">
        <v>67</v>
      </c>
    </row>
    <row r="33" spans="1:18" x14ac:dyDescent="0.25">
      <c r="A33" t="s">
        <v>129</v>
      </c>
      <c r="D33" t="s">
        <v>233</v>
      </c>
      <c r="F33" t="s">
        <v>226</v>
      </c>
      <c r="J33" t="s">
        <v>225</v>
      </c>
      <c r="K33" t="s">
        <v>96</v>
      </c>
      <c r="L33">
        <v>19.914346895074946</v>
      </c>
      <c r="R33">
        <v>0</v>
      </c>
    </row>
    <row r="34" spans="1:18" x14ac:dyDescent="0.25">
      <c r="A34" t="s">
        <v>129</v>
      </c>
      <c r="D34" t="s">
        <v>233</v>
      </c>
      <c r="F34" t="s">
        <v>227</v>
      </c>
      <c r="J34" t="s">
        <v>225</v>
      </c>
      <c r="K34" t="s">
        <v>96</v>
      </c>
      <c r="L34">
        <v>31.520342612419693</v>
      </c>
      <c r="R34">
        <v>0</v>
      </c>
    </row>
    <row r="35" spans="1:18" x14ac:dyDescent="0.25">
      <c r="A35" t="s">
        <v>129</v>
      </c>
      <c r="D35" t="s">
        <v>233</v>
      </c>
      <c r="F35" t="s">
        <v>228</v>
      </c>
      <c r="J35" t="s">
        <v>225</v>
      </c>
      <c r="K35" t="s">
        <v>96</v>
      </c>
      <c r="L35">
        <v>3.7259100642398284</v>
      </c>
      <c r="R35">
        <v>33</v>
      </c>
    </row>
    <row r="36" spans="1:18" x14ac:dyDescent="0.25">
      <c r="A36" t="s">
        <v>129</v>
      </c>
      <c r="D36" t="s">
        <v>233</v>
      </c>
      <c r="F36" t="s">
        <v>229</v>
      </c>
      <c r="J36" t="s">
        <v>225</v>
      </c>
      <c r="K36" t="s">
        <v>96</v>
      </c>
      <c r="L36">
        <v>0</v>
      </c>
      <c r="R36">
        <v>0</v>
      </c>
    </row>
    <row r="37" spans="1:18" x14ac:dyDescent="0.25">
      <c r="A37" t="s">
        <v>234</v>
      </c>
      <c r="F37" t="s">
        <v>224</v>
      </c>
      <c r="J37" t="s">
        <v>225</v>
      </c>
      <c r="K37" t="s">
        <v>96</v>
      </c>
      <c r="L37">
        <v>0</v>
      </c>
      <c r="R37">
        <v>0</v>
      </c>
    </row>
    <row r="38" spans="1:18" x14ac:dyDescent="0.25">
      <c r="A38" t="s">
        <v>234</v>
      </c>
      <c r="F38" t="s">
        <v>226</v>
      </c>
      <c r="J38" t="s">
        <v>225</v>
      </c>
      <c r="K38" t="s">
        <v>96</v>
      </c>
      <c r="L38">
        <v>66</v>
      </c>
      <c r="R38">
        <v>67</v>
      </c>
    </row>
    <row r="39" spans="1:18" x14ac:dyDescent="0.25">
      <c r="A39" t="s">
        <v>234</v>
      </c>
      <c r="F39" t="s">
        <v>227</v>
      </c>
      <c r="J39" t="s">
        <v>225</v>
      </c>
      <c r="K39" t="s">
        <v>96</v>
      </c>
      <c r="L39">
        <v>4</v>
      </c>
      <c r="R39">
        <v>0</v>
      </c>
    </row>
    <row r="40" spans="1:18" x14ac:dyDescent="0.25">
      <c r="A40" t="s">
        <v>234</v>
      </c>
      <c r="F40" t="s">
        <v>228</v>
      </c>
      <c r="J40" t="s">
        <v>225</v>
      </c>
      <c r="K40" t="s">
        <v>96</v>
      </c>
      <c r="L40">
        <v>0</v>
      </c>
      <c r="R40">
        <v>33</v>
      </c>
    </row>
    <row r="41" spans="1:18" x14ac:dyDescent="0.25">
      <c r="A41" t="s">
        <v>234</v>
      </c>
      <c r="F41" t="s">
        <v>229</v>
      </c>
      <c r="J41" t="s">
        <v>225</v>
      </c>
      <c r="K41" t="s">
        <v>96</v>
      </c>
      <c r="L41">
        <v>30</v>
      </c>
      <c r="R41">
        <v>0</v>
      </c>
    </row>
    <row r="42" spans="1:18" x14ac:dyDescent="0.25">
      <c r="A42" t="s">
        <v>235</v>
      </c>
      <c r="F42" t="s">
        <v>224</v>
      </c>
      <c r="J42" t="s">
        <v>225</v>
      </c>
      <c r="K42" t="s">
        <v>96</v>
      </c>
      <c r="L42">
        <v>0</v>
      </c>
      <c r="R42">
        <v>0</v>
      </c>
    </row>
    <row r="43" spans="1:18" x14ac:dyDescent="0.25">
      <c r="A43" t="s">
        <v>235</v>
      </c>
      <c r="F43" t="s">
        <v>226</v>
      </c>
      <c r="J43" t="s">
        <v>225</v>
      </c>
      <c r="K43" t="s">
        <v>96</v>
      </c>
      <c r="L43">
        <v>100</v>
      </c>
      <c r="R43">
        <v>67</v>
      </c>
    </row>
    <row r="44" spans="1:18" x14ac:dyDescent="0.25">
      <c r="A44" t="s">
        <v>235</v>
      </c>
      <c r="F44" t="s">
        <v>227</v>
      </c>
      <c r="J44" t="s">
        <v>225</v>
      </c>
      <c r="K44" t="s">
        <v>96</v>
      </c>
      <c r="L44">
        <v>0</v>
      </c>
      <c r="R44">
        <v>0</v>
      </c>
    </row>
    <row r="45" spans="1:18" x14ac:dyDescent="0.25">
      <c r="A45" t="s">
        <v>235</v>
      </c>
      <c r="F45" t="s">
        <v>228</v>
      </c>
      <c r="J45" t="s">
        <v>225</v>
      </c>
      <c r="K45" t="s">
        <v>96</v>
      </c>
      <c r="L45">
        <v>0</v>
      </c>
      <c r="R45">
        <v>33</v>
      </c>
    </row>
    <row r="46" spans="1:18" x14ac:dyDescent="0.25">
      <c r="A46" t="s">
        <v>235</v>
      </c>
      <c r="F46" t="s">
        <v>229</v>
      </c>
      <c r="J46" t="s">
        <v>225</v>
      </c>
      <c r="K46" t="s">
        <v>96</v>
      </c>
      <c r="L46">
        <v>0</v>
      </c>
      <c r="R46">
        <v>0</v>
      </c>
    </row>
    <row r="47" spans="1:18" x14ac:dyDescent="0.25">
      <c r="A47" t="s">
        <v>236</v>
      </c>
      <c r="F47" t="s">
        <v>224</v>
      </c>
      <c r="J47" t="s">
        <v>225</v>
      </c>
      <c r="K47" t="s">
        <v>96</v>
      </c>
      <c r="L47">
        <v>47.115705235078359</v>
      </c>
      <c r="R47">
        <v>67</v>
      </c>
    </row>
    <row r="48" spans="1:18" x14ac:dyDescent="0.25">
      <c r="A48" t="s">
        <v>236</v>
      </c>
      <c r="F48" t="s">
        <v>226</v>
      </c>
      <c r="J48" t="s">
        <v>225</v>
      </c>
      <c r="K48" t="s">
        <v>96</v>
      </c>
      <c r="L48">
        <v>27.875958652884293</v>
      </c>
      <c r="R48">
        <v>0</v>
      </c>
    </row>
    <row r="49" spans="1:18" x14ac:dyDescent="0.25">
      <c r="A49" t="s">
        <v>236</v>
      </c>
      <c r="F49" t="s">
        <v>227</v>
      </c>
      <c r="J49" t="s">
        <v>225</v>
      </c>
      <c r="K49" t="s">
        <v>96</v>
      </c>
      <c r="L49">
        <v>15.205068356118707</v>
      </c>
      <c r="R49">
        <v>0</v>
      </c>
    </row>
    <row r="50" spans="1:18" x14ac:dyDescent="0.25">
      <c r="A50" t="s">
        <v>236</v>
      </c>
      <c r="F50" t="s">
        <v>228</v>
      </c>
      <c r="J50" t="s">
        <v>225</v>
      </c>
      <c r="K50" t="s">
        <v>96</v>
      </c>
      <c r="L50">
        <v>9.8032677559186379</v>
      </c>
      <c r="R50">
        <v>33</v>
      </c>
    </row>
    <row r="51" spans="1:18" x14ac:dyDescent="0.25">
      <c r="A51" t="s">
        <v>236</v>
      </c>
      <c r="F51" t="s">
        <v>229</v>
      </c>
      <c r="J51" t="s">
        <v>225</v>
      </c>
      <c r="K51" t="s">
        <v>96</v>
      </c>
      <c r="L51">
        <v>0</v>
      </c>
      <c r="R51">
        <v>0</v>
      </c>
    </row>
    <row r="52" spans="1:18" x14ac:dyDescent="0.25">
      <c r="A52" t="s">
        <v>236</v>
      </c>
      <c r="D52" t="s">
        <v>101</v>
      </c>
      <c r="F52" t="s">
        <v>224</v>
      </c>
      <c r="J52" t="s">
        <v>225</v>
      </c>
      <c r="K52" t="s">
        <v>96</v>
      </c>
      <c r="L52">
        <v>79.533333333333317</v>
      </c>
      <c r="R52">
        <v>67</v>
      </c>
    </row>
    <row r="53" spans="1:18" x14ac:dyDescent="0.25">
      <c r="A53" t="s">
        <v>236</v>
      </c>
      <c r="D53" t="s">
        <v>101</v>
      </c>
      <c r="F53" t="s">
        <v>226</v>
      </c>
      <c r="J53" t="s">
        <v>225</v>
      </c>
      <c r="K53" t="s">
        <v>96</v>
      </c>
      <c r="L53">
        <v>2.6666666666666656</v>
      </c>
      <c r="R53">
        <v>0</v>
      </c>
    </row>
    <row r="54" spans="1:18" x14ac:dyDescent="0.25">
      <c r="A54" t="s">
        <v>236</v>
      </c>
      <c r="D54" t="s">
        <v>101</v>
      </c>
      <c r="F54" t="s">
        <v>227</v>
      </c>
      <c r="J54" t="s">
        <v>225</v>
      </c>
      <c r="K54" t="s">
        <v>96</v>
      </c>
      <c r="L54">
        <v>1.1666666666666663</v>
      </c>
      <c r="R54">
        <v>0</v>
      </c>
    </row>
    <row r="55" spans="1:18" x14ac:dyDescent="0.25">
      <c r="A55" t="s">
        <v>236</v>
      </c>
      <c r="D55" t="s">
        <v>101</v>
      </c>
      <c r="F55" t="s">
        <v>228</v>
      </c>
      <c r="J55" t="s">
        <v>225</v>
      </c>
      <c r="K55" t="s">
        <v>96</v>
      </c>
      <c r="L55">
        <v>16.633333333333329</v>
      </c>
      <c r="R55">
        <v>33</v>
      </c>
    </row>
    <row r="56" spans="1:18" x14ac:dyDescent="0.25">
      <c r="A56" t="s">
        <v>236</v>
      </c>
      <c r="D56" t="s">
        <v>101</v>
      </c>
      <c r="F56" t="s">
        <v>229</v>
      </c>
      <c r="J56" t="s">
        <v>225</v>
      </c>
      <c r="K56" t="s">
        <v>96</v>
      </c>
      <c r="L56">
        <v>0</v>
      </c>
      <c r="R56">
        <v>0</v>
      </c>
    </row>
    <row r="57" spans="1:18" x14ac:dyDescent="0.25">
      <c r="A57" t="s">
        <v>236</v>
      </c>
      <c r="D57" t="s">
        <v>103</v>
      </c>
      <c r="F57" t="s">
        <v>224</v>
      </c>
      <c r="J57" t="s">
        <v>225</v>
      </c>
      <c r="K57" t="s">
        <v>96</v>
      </c>
      <c r="L57">
        <v>79.533333333333317</v>
      </c>
      <c r="R57">
        <v>67</v>
      </c>
    </row>
    <row r="58" spans="1:18" x14ac:dyDescent="0.25">
      <c r="A58" t="s">
        <v>236</v>
      </c>
      <c r="D58" t="s">
        <v>103</v>
      </c>
      <c r="F58" t="s">
        <v>226</v>
      </c>
      <c r="J58" t="s">
        <v>225</v>
      </c>
      <c r="K58" t="s">
        <v>96</v>
      </c>
      <c r="L58">
        <v>2.6666666666666656</v>
      </c>
      <c r="R58">
        <v>0</v>
      </c>
    </row>
    <row r="59" spans="1:18" x14ac:dyDescent="0.25">
      <c r="A59" t="s">
        <v>236</v>
      </c>
      <c r="D59" t="s">
        <v>103</v>
      </c>
      <c r="F59" t="s">
        <v>227</v>
      </c>
      <c r="J59" t="s">
        <v>225</v>
      </c>
      <c r="K59" t="s">
        <v>96</v>
      </c>
      <c r="L59">
        <v>1.1666666666666663</v>
      </c>
      <c r="R59">
        <v>0</v>
      </c>
    </row>
    <row r="60" spans="1:18" x14ac:dyDescent="0.25">
      <c r="A60" t="s">
        <v>236</v>
      </c>
      <c r="D60" t="s">
        <v>103</v>
      </c>
      <c r="F60" t="s">
        <v>228</v>
      </c>
      <c r="J60" t="s">
        <v>225</v>
      </c>
      <c r="K60" t="s">
        <v>96</v>
      </c>
      <c r="L60">
        <v>16.633333333333329</v>
      </c>
      <c r="R60">
        <v>33</v>
      </c>
    </row>
    <row r="61" spans="1:18" x14ac:dyDescent="0.25">
      <c r="A61" t="s">
        <v>236</v>
      </c>
      <c r="D61" t="s">
        <v>103</v>
      </c>
      <c r="F61" t="s">
        <v>229</v>
      </c>
      <c r="J61" t="s">
        <v>225</v>
      </c>
      <c r="K61" t="s">
        <v>96</v>
      </c>
      <c r="L61">
        <v>0</v>
      </c>
      <c r="R61">
        <v>0</v>
      </c>
    </row>
    <row r="62" spans="1:18" x14ac:dyDescent="0.25">
      <c r="A62" t="s">
        <v>237</v>
      </c>
      <c r="F62" t="s">
        <v>224</v>
      </c>
      <c r="J62" t="s">
        <v>225</v>
      </c>
      <c r="K62" t="s">
        <v>96</v>
      </c>
      <c r="L62">
        <v>7.7000000000000011</v>
      </c>
      <c r="R62">
        <v>0</v>
      </c>
    </row>
    <row r="63" spans="1:18" x14ac:dyDescent="0.25">
      <c r="A63" t="s">
        <v>237</v>
      </c>
      <c r="F63" t="s">
        <v>226</v>
      </c>
      <c r="J63" t="s">
        <v>225</v>
      </c>
      <c r="K63" t="s">
        <v>96</v>
      </c>
      <c r="L63">
        <v>85.966666666666669</v>
      </c>
      <c r="R63">
        <v>67</v>
      </c>
    </row>
    <row r="64" spans="1:18" x14ac:dyDescent="0.25">
      <c r="A64" t="s">
        <v>237</v>
      </c>
      <c r="F64" t="s">
        <v>227</v>
      </c>
      <c r="J64" t="s">
        <v>225</v>
      </c>
      <c r="K64" t="s">
        <v>96</v>
      </c>
      <c r="L64">
        <v>6.3333333333333339</v>
      </c>
      <c r="R64">
        <v>0</v>
      </c>
    </row>
    <row r="65" spans="1:18" x14ac:dyDescent="0.25">
      <c r="A65" t="s">
        <v>237</v>
      </c>
      <c r="F65" t="s">
        <v>228</v>
      </c>
      <c r="J65" t="s">
        <v>225</v>
      </c>
      <c r="K65" t="s">
        <v>96</v>
      </c>
      <c r="L65">
        <v>0</v>
      </c>
      <c r="R65">
        <v>33</v>
      </c>
    </row>
    <row r="66" spans="1:18" x14ac:dyDescent="0.25">
      <c r="A66" t="s">
        <v>237</v>
      </c>
      <c r="F66" t="s">
        <v>229</v>
      </c>
      <c r="J66" t="s">
        <v>225</v>
      </c>
      <c r="K66" t="s">
        <v>96</v>
      </c>
      <c r="L66">
        <v>0</v>
      </c>
      <c r="R66">
        <v>0</v>
      </c>
    </row>
    <row r="67" spans="1:18" x14ac:dyDescent="0.25">
      <c r="A67" t="s">
        <v>237</v>
      </c>
      <c r="C67" t="s">
        <v>238</v>
      </c>
      <c r="D67" t="s">
        <v>239</v>
      </c>
      <c r="F67" t="s">
        <v>224</v>
      </c>
      <c r="J67" t="s">
        <v>225</v>
      </c>
      <c r="K67" t="s">
        <v>96</v>
      </c>
      <c r="L67">
        <v>0</v>
      </c>
      <c r="R67">
        <v>0</v>
      </c>
    </row>
    <row r="68" spans="1:18" x14ac:dyDescent="0.25">
      <c r="A68" t="s">
        <v>237</v>
      </c>
      <c r="C68" t="s">
        <v>238</v>
      </c>
      <c r="D68" t="s">
        <v>239</v>
      </c>
      <c r="F68" t="s">
        <v>226</v>
      </c>
      <c r="J68" t="s">
        <v>225</v>
      </c>
      <c r="K68" t="s">
        <v>96</v>
      </c>
      <c r="L68">
        <v>0</v>
      </c>
      <c r="R68">
        <v>0</v>
      </c>
    </row>
    <row r="69" spans="1:18" x14ac:dyDescent="0.25">
      <c r="A69" t="s">
        <v>237</v>
      </c>
      <c r="C69" t="s">
        <v>238</v>
      </c>
      <c r="D69" t="s">
        <v>239</v>
      </c>
      <c r="F69" t="s">
        <v>227</v>
      </c>
      <c r="J69" t="s">
        <v>225</v>
      </c>
      <c r="K69" t="s">
        <v>96</v>
      </c>
      <c r="L69">
        <v>100</v>
      </c>
      <c r="R69">
        <v>67</v>
      </c>
    </row>
    <row r="70" spans="1:18" x14ac:dyDescent="0.25">
      <c r="A70" t="s">
        <v>237</v>
      </c>
      <c r="C70" t="s">
        <v>238</v>
      </c>
      <c r="D70" t="s">
        <v>239</v>
      </c>
      <c r="F70" t="s">
        <v>228</v>
      </c>
      <c r="J70" t="s">
        <v>225</v>
      </c>
      <c r="K70" t="s">
        <v>96</v>
      </c>
      <c r="L70">
        <v>0</v>
      </c>
      <c r="R70">
        <v>33</v>
      </c>
    </row>
    <row r="71" spans="1:18" x14ac:dyDescent="0.25">
      <c r="A71" t="s">
        <v>237</v>
      </c>
      <c r="C71" t="s">
        <v>238</v>
      </c>
      <c r="D71" t="s">
        <v>239</v>
      </c>
      <c r="F71" t="s">
        <v>229</v>
      </c>
      <c r="J71" t="s">
        <v>225</v>
      </c>
      <c r="K71" t="s">
        <v>96</v>
      </c>
      <c r="L71">
        <v>0</v>
      </c>
      <c r="R7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B2" sqref="B2"/>
    </sheetView>
  </sheetViews>
  <sheetFormatPr defaultRowHeight="15" x14ac:dyDescent="0.25"/>
  <cols>
    <col min="1" max="1" width="12.7109375" bestFit="1" customWidth="1"/>
    <col min="2" max="2" width="24" bestFit="1" customWidth="1"/>
    <col min="3" max="3" width="6" bestFit="1" customWidth="1"/>
    <col min="4" max="10" width="7" bestFit="1" customWidth="1"/>
  </cols>
  <sheetData>
    <row r="1" spans="1:10" x14ac:dyDescent="0.25">
      <c r="A1" s="1" t="s">
        <v>104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101</v>
      </c>
      <c r="B2" t="s">
        <v>102</v>
      </c>
      <c r="C2" t="s">
        <v>11</v>
      </c>
      <c r="D2">
        <v>1</v>
      </c>
      <c r="F2">
        <f>D2*(1-0.06)</f>
        <v>0.94</v>
      </c>
      <c r="H2" s="3">
        <f>F2*(1-0.06)</f>
        <v>0.88359999999999994</v>
      </c>
      <c r="I2" s="3"/>
      <c r="J2" s="3">
        <f>H2*(1-0.06)</f>
        <v>0.83058399999999988</v>
      </c>
    </row>
    <row r="3" spans="1:10" x14ac:dyDescent="0.25">
      <c r="A3" t="s">
        <v>103</v>
      </c>
      <c r="B3" t="s">
        <v>102</v>
      </c>
      <c r="C3" t="s">
        <v>11</v>
      </c>
      <c r="D3">
        <v>1</v>
      </c>
      <c r="F3">
        <f>D3*(1-0.06)</f>
        <v>0.94</v>
      </c>
      <c r="H3" s="3">
        <f>F3*(1-0.06)</f>
        <v>0.88359999999999994</v>
      </c>
      <c r="I3" s="3"/>
      <c r="J3" s="3">
        <f>H3*(1-0.06)</f>
        <v>0.83058399999999988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D2" sqref="D2"/>
    </sheetView>
  </sheetViews>
  <sheetFormatPr defaultRowHeight="15" x14ac:dyDescent="0.25"/>
  <cols>
    <col min="1" max="1" width="9.28515625" bestFit="1" customWidth="1"/>
    <col min="2" max="2" width="8" bestFit="1" customWidth="1"/>
    <col min="3" max="3" width="8.7109375" bestFit="1" customWidth="1"/>
    <col min="4" max="4" width="11" bestFit="1" customWidth="1"/>
    <col min="5" max="5" width="6" bestFit="1" customWidth="1"/>
    <col min="6" max="7" width="7" bestFit="1" customWidth="1"/>
  </cols>
  <sheetData>
    <row r="1" spans="1:7" x14ac:dyDescent="0.25">
      <c r="A1" s="1" t="s">
        <v>116</v>
      </c>
      <c r="B1" s="1" t="s">
        <v>97</v>
      </c>
      <c r="C1" s="1" t="s">
        <v>104</v>
      </c>
      <c r="D1" s="1" t="s">
        <v>1</v>
      </c>
      <c r="E1" s="1" t="s">
        <v>2</v>
      </c>
      <c r="F1" s="1" t="s">
        <v>3</v>
      </c>
      <c r="G1" s="1" t="s">
        <v>9</v>
      </c>
    </row>
    <row r="2" spans="1:7" x14ac:dyDescent="0.25">
      <c r="A2" t="s">
        <v>129</v>
      </c>
      <c r="B2" t="s">
        <v>98</v>
      </c>
      <c r="C2" t="s">
        <v>130</v>
      </c>
      <c r="D2" t="s">
        <v>115</v>
      </c>
      <c r="E2" t="s">
        <v>11</v>
      </c>
      <c r="F2" s="31">
        <v>1</v>
      </c>
      <c r="G2" s="31">
        <v>0.5</v>
      </c>
    </row>
    <row r="3" spans="1:7" x14ac:dyDescent="0.25">
      <c r="A3" t="s">
        <v>129</v>
      </c>
      <c r="C3" t="s">
        <v>117</v>
      </c>
      <c r="D3" t="s">
        <v>115</v>
      </c>
      <c r="E3" t="s">
        <v>11</v>
      </c>
      <c r="F3" s="31">
        <v>1</v>
      </c>
      <c r="G3" s="31">
        <v>0.5</v>
      </c>
    </row>
    <row r="4" spans="1:7" x14ac:dyDescent="0.25">
      <c r="F4" s="31"/>
      <c r="G4" s="3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I33" sqref="I33"/>
    </sheetView>
  </sheetViews>
  <sheetFormatPr defaultRowHeight="15" x14ac:dyDescent="0.25"/>
  <cols>
    <col min="1" max="1" width="15" bestFit="1" customWidth="1"/>
    <col min="2" max="2" width="15.85546875" bestFit="1" customWidth="1"/>
    <col min="3" max="3" width="20.140625" bestFit="1" customWidth="1"/>
    <col min="4" max="4" width="6" bestFit="1" customWidth="1"/>
    <col min="5" max="6" width="7" bestFit="1" customWidth="1"/>
  </cols>
  <sheetData>
    <row r="1" spans="1:9" x14ac:dyDescent="0.25">
      <c r="A1" s="1" t="s">
        <v>113</v>
      </c>
      <c r="B1" s="1" t="s">
        <v>114</v>
      </c>
      <c r="C1" s="1" t="s">
        <v>1</v>
      </c>
      <c r="D1" s="1" t="s">
        <v>2</v>
      </c>
      <c r="E1" s="1" t="s">
        <v>3</v>
      </c>
      <c r="F1" s="1" t="s">
        <v>9</v>
      </c>
      <c r="I1" s="1"/>
    </row>
    <row r="2" spans="1:9" x14ac:dyDescent="0.25">
      <c r="A2" t="s">
        <v>111</v>
      </c>
      <c r="B2" s="18" t="s">
        <v>125</v>
      </c>
      <c r="C2" s="29" t="s">
        <v>112</v>
      </c>
      <c r="D2" t="s">
        <v>96</v>
      </c>
      <c r="E2" s="32">
        <f>(241822577+237201100)/(241822577+237201100+5856000+8368914)*100</f>
        <v>97.116076100458642</v>
      </c>
      <c r="F2" s="31">
        <v>0</v>
      </c>
    </row>
    <row r="3" spans="1:9" x14ac:dyDescent="0.25">
      <c r="A3" t="s">
        <v>111</v>
      </c>
      <c r="B3" s="18" t="s">
        <v>126</v>
      </c>
      <c r="C3" s="29" t="s">
        <v>112</v>
      </c>
      <c r="D3" t="s">
        <v>96</v>
      </c>
      <c r="E3" s="32">
        <f>100-E2</f>
        <v>2.8839238995413581</v>
      </c>
      <c r="F3" s="31">
        <v>0</v>
      </c>
    </row>
    <row r="4" spans="1:9" x14ac:dyDescent="0.25">
      <c r="A4" t="s">
        <v>111</v>
      </c>
      <c r="B4" s="18" t="s">
        <v>127</v>
      </c>
      <c r="C4" s="29" t="s">
        <v>112</v>
      </c>
      <c r="D4" t="s">
        <v>96</v>
      </c>
      <c r="E4" s="32">
        <v>0</v>
      </c>
      <c r="F4" s="31">
        <v>0</v>
      </c>
    </row>
    <row r="5" spans="1:9" x14ac:dyDescent="0.25">
      <c r="A5" t="s">
        <v>111</v>
      </c>
      <c r="B5" s="29" t="s">
        <v>128</v>
      </c>
      <c r="C5" s="29" t="s">
        <v>112</v>
      </c>
      <c r="D5" t="s">
        <v>96</v>
      </c>
      <c r="E5" s="32">
        <v>0</v>
      </c>
      <c r="F5" s="31">
        <v>100</v>
      </c>
    </row>
    <row r="6" spans="1:9" x14ac:dyDescent="0.25">
      <c r="E6" s="30"/>
      <c r="F6" s="3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F5" sqref="F5"/>
    </sheetView>
  </sheetViews>
  <sheetFormatPr defaultRowHeight="15" x14ac:dyDescent="0.25"/>
  <cols>
    <col min="1" max="1" width="21.42578125" customWidth="1"/>
    <col min="3" max="3" width="21.5703125" customWidth="1"/>
  </cols>
  <sheetData>
    <row r="1" spans="1:6" x14ac:dyDescent="0.25">
      <c r="A1" s="1" t="s">
        <v>122</v>
      </c>
      <c r="B1" s="1" t="s">
        <v>156</v>
      </c>
      <c r="C1" s="1" t="s">
        <v>1</v>
      </c>
      <c r="D1" s="1" t="s">
        <v>2</v>
      </c>
      <c r="E1" s="1" t="s">
        <v>3</v>
      </c>
      <c r="F1" s="1" t="s">
        <v>9</v>
      </c>
    </row>
    <row r="2" spans="1:6" x14ac:dyDescent="0.25">
      <c r="B2" t="s">
        <v>157</v>
      </c>
      <c r="C2" t="s">
        <v>158</v>
      </c>
      <c r="D2" t="s">
        <v>11</v>
      </c>
      <c r="E2">
        <v>1</v>
      </c>
      <c r="F2">
        <v>1</v>
      </c>
    </row>
    <row r="3" spans="1:6" x14ac:dyDescent="0.25">
      <c r="B3" t="s">
        <v>157</v>
      </c>
      <c r="C3" t="s">
        <v>159</v>
      </c>
      <c r="D3" t="s">
        <v>11</v>
      </c>
      <c r="E3">
        <v>1</v>
      </c>
      <c r="F3">
        <v>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18"/>
  <sheetViews>
    <sheetView workbookViewId="0">
      <selection activeCell="O30" sqref="O30"/>
    </sheetView>
  </sheetViews>
  <sheetFormatPr defaultRowHeight="15" x14ac:dyDescent="0.25"/>
  <sheetData>
    <row r="2" spans="2:22" x14ac:dyDescent="0.25">
      <c r="B2" s="27" t="s">
        <v>106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2:22" ht="15.75" thickBot="1" x14ac:dyDescent="0.3"/>
    <row r="4" spans="2:22" x14ac:dyDescent="0.25">
      <c r="B4" s="14" t="s">
        <v>108</v>
      </c>
      <c r="C4" s="15"/>
      <c r="D4" s="15"/>
      <c r="E4" s="15"/>
      <c r="F4" s="15"/>
      <c r="G4" s="15"/>
      <c r="H4" s="16"/>
      <c r="J4" s="14" t="s">
        <v>107</v>
      </c>
      <c r="K4" s="15"/>
      <c r="L4" s="15"/>
      <c r="M4" s="15"/>
      <c r="N4" s="15"/>
      <c r="O4" s="15"/>
      <c r="P4" s="16"/>
    </row>
    <row r="5" spans="2:22" x14ac:dyDescent="0.25">
      <c r="B5" s="17"/>
      <c r="C5" s="18"/>
      <c r="D5" s="18"/>
      <c r="E5" s="18"/>
      <c r="F5" s="18"/>
      <c r="G5" s="18"/>
      <c r="H5" s="19"/>
      <c r="J5" s="17"/>
      <c r="K5" s="18"/>
      <c r="L5" s="18"/>
      <c r="M5" s="18"/>
      <c r="N5" s="18"/>
      <c r="O5" s="18"/>
      <c r="P5" s="19"/>
    </row>
    <row r="6" spans="2:22" x14ac:dyDescent="0.25">
      <c r="B6" s="17"/>
      <c r="C6" s="18" t="s">
        <v>105</v>
      </c>
      <c r="D6" s="18"/>
      <c r="E6" s="18"/>
      <c r="F6" s="18"/>
      <c r="G6" s="18"/>
      <c r="H6" s="19"/>
      <c r="J6" s="17"/>
      <c r="K6" s="18" t="s">
        <v>109</v>
      </c>
      <c r="L6" s="18"/>
      <c r="M6" s="18"/>
      <c r="N6" s="18"/>
      <c r="O6" s="18"/>
      <c r="P6" s="19"/>
    </row>
    <row r="7" spans="2:22" x14ac:dyDescent="0.25">
      <c r="B7" s="17">
        <v>2012</v>
      </c>
      <c r="C7" s="18">
        <v>26.2</v>
      </c>
      <c r="D7" s="18"/>
      <c r="E7" s="18"/>
      <c r="F7" s="18"/>
      <c r="G7" s="18"/>
      <c r="H7" s="19"/>
      <c r="J7" s="17">
        <v>2012</v>
      </c>
      <c r="K7" s="18">
        <v>1.7</v>
      </c>
      <c r="L7" s="18"/>
      <c r="M7" s="18"/>
      <c r="N7" s="18"/>
      <c r="O7" s="18"/>
      <c r="P7" s="19"/>
    </row>
    <row r="8" spans="2:22" x14ac:dyDescent="0.25">
      <c r="B8" s="17">
        <v>2013</v>
      </c>
      <c r="C8" s="18">
        <v>26.1</v>
      </c>
      <c r="D8" s="20"/>
      <c r="E8" s="18"/>
      <c r="F8" s="18"/>
      <c r="G8" s="18"/>
      <c r="H8" s="19"/>
      <c r="J8" s="17">
        <v>2013</v>
      </c>
      <c r="K8" s="18">
        <v>1.6</v>
      </c>
      <c r="L8" s="18"/>
      <c r="M8" s="18"/>
      <c r="N8" s="18"/>
      <c r="O8" s="18"/>
      <c r="P8" s="19"/>
    </row>
    <row r="9" spans="2:22" x14ac:dyDescent="0.25">
      <c r="B9" s="17">
        <v>2014</v>
      </c>
      <c r="C9" s="18">
        <v>26.7</v>
      </c>
      <c r="D9" s="20"/>
      <c r="E9" s="18"/>
      <c r="F9" s="18"/>
      <c r="G9" s="18"/>
      <c r="H9" s="19"/>
      <c r="J9" s="17">
        <v>2014</v>
      </c>
      <c r="K9" s="18">
        <v>1.6</v>
      </c>
      <c r="L9" s="18"/>
      <c r="M9" s="18"/>
      <c r="N9" s="18"/>
      <c r="O9" s="18"/>
      <c r="P9" s="19"/>
    </row>
    <row r="10" spans="2:22" x14ac:dyDescent="0.25">
      <c r="B10" s="17">
        <v>2015</v>
      </c>
      <c r="C10" s="18">
        <v>26.6</v>
      </c>
      <c r="D10" s="20"/>
      <c r="E10" s="18"/>
      <c r="F10" s="18"/>
      <c r="G10" s="18"/>
      <c r="H10" s="19"/>
      <c r="J10" s="17">
        <v>2015</v>
      </c>
      <c r="K10" s="18">
        <v>1.5</v>
      </c>
      <c r="L10" s="18"/>
      <c r="M10" s="18"/>
      <c r="N10" s="18"/>
      <c r="O10" s="18"/>
      <c r="P10" s="19"/>
    </row>
    <row r="11" spans="2:22" x14ac:dyDescent="0.25">
      <c r="B11" s="17">
        <v>2016</v>
      </c>
      <c r="C11" s="18">
        <v>27</v>
      </c>
      <c r="D11" s="20"/>
      <c r="E11" s="18"/>
      <c r="F11" s="18"/>
      <c r="G11" s="18"/>
      <c r="H11" s="19"/>
      <c r="J11" s="17">
        <v>2016</v>
      </c>
      <c r="K11" s="18">
        <v>1.7</v>
      </c>
      <c r="L11" s="18"/>
      <c r="M11" s="18"/>
      <c r="N11" s="18"/>
      <c r="O11" s="18"/>
      <c r="P11" s="19"/>
    </row>
    <row r="12" spans="2:22" x14ac:dyDescent="0.25">
      <c r="B12" s="17">
        <v>2017</v>
      </c>
      <c r="C12" s="18">
        <v>25.7</v>
      </c>
      <c r="D12" s="20"/>
      <c r="E12" s="18"/>
      <c r="F12" s="18"/>
      <c r="G12" s="18"/>
      <c r="H12" s="19"/>
      <c r="J12" s="17">
        <v>2017</v>
      </c>
      <c r="K12" s="18">
        <v>1.6</v>
      </c>
      <c r="L12" s="18"/>
      <c r="M12" s="18"/>
      <c r="N12" s="18"/>
      <c r="O12" s="18"/>
      <c r="P12" s="19"/>
    </row>
    <row r="13" spans="2:22" x14ac:dyDescent="0.25">
      <c r="B13" s="17">
        <v>2018</v>
      </c>
      <c r="C13" s="18">
        <v>25.4</v>
      </c>
      <c r="D13" s="20"/>
      <c r="E13" s="18"/>
      <c r="F13" s="18"/>
      <c r="G13" s="18"/>
      <c r="H13" s="19"/>
      <c r="J13" s="17">
        <v>2018</v>
      </c>
      <c r="K13" s="18">
        <v>1.8</v>
      </c>
      <c r="L13" s="18"/>
      <c r="M13" s="18"/>
      <c r="N13" s="18"/>
      <c r="O13" s="18"/>
      <c r="P13" s="19"/>
    </row>
    <row r="14" spans="2:22" x14ac:dyDescent="0.25">
      <c r="B14" s="17">
        <v>2019</v>
      </c>
      <c r="C14" s="18">
        <v>25.8</v>
      </c>
      <c r="D14" s="20"/>
      <c r="E14" s="18"/>
      <c r="F14" s="18"/>
      <c r="G14" s="18"/>
      <c r="H14" s="19"/>
      <c r="J14" s="17">
        <v>2019</v>
      </c>
      <c r="K14" s="18">
        <v>1.7</v>
      </c>
      <c r="L14" s="18"/>
      <c r="M14" s="18"/>
      <c r="N14" s="18"/>
      <c r="O14" s="18"/>
      <c r="P14" s="19"/>
    </row>
    <row r="15" spans="2:22" x14ac:dyDescent="0.25">
      <c r="B15" s="17">
        <v>2020</v>
      </c>
      <c r="C15" s="18">
        <v>25.3</v>
      </c>
      <c r="D15" s="20"/>
      <c r="E15" s="18"/>
      <c r="F15" s="18"/>
      <c r="G15" s="18"/>
      <c r="H15" s="19"/>
      <c r="J15" s="17">
        <v>2020</v>
      </c>
      <c r="K15" s="18">
        <v>1.7</v>
      </c>
      <c r="L15" s="18"/>
      <c r="M15" s="18"/>
      <c r="N15" s="18"/>
      <c r="O15" s="18"/>
      <c r="P15" s="19"/>
    </row>
    <row r="16" spans="2:22" x14ac:dyDescent="0.25">
      <c r="B16" s="17">
        <v>2021</v>
      </c>
      <c r="C16" s="18">
        <v>24.8</v>
      </c>
      <c r="D16" s="20"/>
      <c r="E16" s="18"/>
      <c r="F16" s="18"/>
      <c r="G16" s="18"/>
      <c r="H16" s="19"/>
      <c r="J16" s="17">
        <v>2021</v>
      </c>
      <c r="K16" s="18">
        <v>1.7</v>
      </c>
      <c r="L16" s="18"/>
      <c r="M16" s="18"/>
      <c r="N16" s="18"/>
      <c r="O16" s="18"/>
      <c r="P16" s="19"/>
    </row>
    <row r="17" spans="2:16" x14ac:dyDescent="0.25">
      <c r="B17" s="17">
        <v>2022</v>
      </c>
      <c r="C17" s="18">
        <v>24.6</v>
      </c>
      <c r="D17" s="20"/>
      <c r="E17" s="24">
        <f>(C17-C7)/C7</f>
        <v>-6.1068702290076257E-2</v>
      </c>
      <c r="F17" s="25" t="s">
        <v>100</v>
      </c>
      <c r="G17" s="26"/>
      <c r="H17" s="19"/>
      <c r="J17" s="17">
        <v>2022</v>
      </c>
      <c r="K17" s="18">
        <v>1.7</v>
      </c>
      <c r="L17" s="18"/>
      <c r="M17" s="18"/>
      <c r="N17" s="18"/>
      <c r="O17" s="18"/>
      <c r="P17" s="19"/>
    </row>
    <row r="18" spans="2:16" ht="15.75" thickBot="1" x14ac:dyDescent="0.3">
      <c r="B18" s="21"/>
      <c r="C18" s="22"/>
      <c r="D18" s="22"/>
      <c r="E18" s="22"/>
      <c r="F18" s="22"/>
      <c r="G18" s="22"/>
      <c r="H18" s="23"/>
      <c r="J18" s="21"/>
      <c r="K18" s="22"/>
      <c r="L18" s="22"/>
      <c r="M18" s="22"/>
      <c r="N18" s="22"/>
      <c r="O18" s="22"/>
      <c r="P18" s="23"/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workbookViewId="0">
      <selection sqref="A1:E76"/>
    </sheetView>
  </sheetViews>
  <sheetFormatPr defaultRowHeight="15" x14ac:dyDescent="0.25"/>
  <sheetData>
    <row r="1" spans="1:5" x14ac:dyDescent="0.25">
      <c r="A1" s="1" t="s">
        <v>122</v>
      </c>
      <c r="B1" s="1" t="s">
        <v>1</v>
      </c>
      <c r="C1" s="1" t="s">
        <v>2</v>
      </c>
      <c r="D1" s="1" t="s">
        <v>3</v>
      </c>
      <c r="E1" s="1" t="s">
        <v>9</v>
      </c>
    </row>
    <row r="2" spans="1:5" x14ac:dyDescent="0.25">
      <c r="A2" t="s">
        <v>160</v>
      </c>
      <c r="B2" t="s">
        <v>110</v>
      </c>
      <c r="C2" t="s">
        <v>11</v>
      </c>
      <c r="D2">
        <v>1</v>
      </c>
      <c r="E2">
        <f>1+0.2137</f>
        <v>1.2137</v>
      </c>
    </row>
    <row r="3" spans="1:5" x14ac:dyDescent="0.25">
      <c r="A3" t="s">
        <v>161</v>
      </c>
      <c r="B3" t="s">
        <v>110</v>
      </c>
      <c r="C3" t="s">
        <v>11</v>
      </c>
      <c r="D3">
        <v>1</v>
      </c>
      <c r="E3">
        <f>1-0.032</f>
        <v>0.96799999999999997</v>
      </c>
    </row>
    <row r="4" spans="1:5" x14ac:dyDescent="0.25">
      <c r="A4" t="s">
        <v>162</v>
      </c>
      <c r="B4" t="s">
        <v>110</v>
      </c>
      <c r="C4" t="s">
        <v>11</v>
      </c>
      <c r="D4">
        <v>1</v>
      </c>
      <c r="E4">
        <f>1+0.3845</f>
        <v>1.3845000000000001</v>
      </c>
    </row>
    <row r="5" spans="1:5" x14ac:dyDescent="0.25">
      <c r="A5" t="s">
        <v>163</v>
      </c>
      <c r="B5" t="s">
        <v>110</v>
      </c>
      <c r="C5" t="s">
        <v>11</v>
      </c>
      <c r="D5">
        <v>1</v>
      </c>
      <c r="E5">
        <f>1+0.2833</f>
        <v>1.2833000000000001</v>
      </c>
    </row>
    <row r="6" spans="1:5" x14ac:dyDescent="0.25">
      <c r="A6" t="s">
        <v>164</v>
      </c>
      <c r="B6" t="s">
        <v>110</v>
      </c>
      <c r="C6" t="s">
        <v>11</v>
      </c>
      <c r="D6">
        <v>1</v>
      </c>
      <c r="E6">
        <f>1+0.2535</f>
        <v>1.2535000000000001</v>
      </c>
    </row>
    <row r="7" spans="1:5" x14ac:dyDescent="0.25">
      <c r="A7" t="s">
        <v>165</v>
      </c>
      <c r="B7" t="s">
        <v>110</v>
      </c>
      <c r="C7" t="s">
        <v>11</v>
      </c>
      <c r="D7">
        <v>1</v>
      </c>
      <c r="E7">
        <f>1+0.2004</f>
        <v>1.2003999999999999</v>
      </c>
    </row>
    <row r="8" spans="1:5" x14ac:dyDescent="0.25">
      <c r="A8" t="s">
        <v>166</v>
      </c>
      <c r="B8" t="s">
        <v>110</v>
      </c>
      <c r="C8" t="s">
        <v>11</v>
      </c>
      <c r="D8">
        <v>1</v>
      </c>
      <c r="E8">
        <f>1+0.0828</f>
        <v>1.0828</v>
      </c>
    </row>
    <row r="9" spans="1:5" x14ac:dyDescent="0.25">
      <c r="A9" t="s">
        <v>167</v>
      </c>
      <c r="B9" t="s">
        <v>110</v>
      </c>
      <c r="C9" t="s">
        <v>11</v>
      </c>
      <c r="D9">
        <v>1</v>
      </c>
      <c r="E9">
        <f>1+0.23353</f>
        <v>1.23353</v>
      </c>
    </row>
    <row r="10" spans="1:5" x14ac:dyDescent="0.25">
      <c r="A10" t="s">
        <v>168</v>
      </c>
      <c r="B10" t="s">
        <v>110</v>
      </c>
      <c r="C10" t="s">
        <v>11</v>
      </c>
      <c r="D10">
        <v>1</v>
      </c>
      <c r="E10">
        <f>1+0.2385</f>
        <v>1.2384999999999999</v>
      </c>
    </row>
    <row r="11" spans="1:5" x14ac:dyDescent="0.25">
      <c r="A11" t="s">
        <v>169</v>
      </c>
      <c r="B11" t="s">
        <v>110</v>
      </c>
      <c r="C11" t="s">
        <v>11</v>
      </c>
      <c r="D11">
        <v>1</v>
      </c>
      <c r="E11">
        <f>1+0.1027</f>
        <v>1.1027</v>
      </c>
    </row>
    <row r="12" spans="1:5" x14ac:dyDescent="0.25">
      <c r="A12" t="s">
        <v>68</v>
      </c>
      <c r="B12" t="s">
        <v>110</v>
      </c>
      <c r="C12" t="s">
        <v>11</v>
      </c>
      <c r="D12">
        <v>1</v>
      </c>
      <c r="E12">
        <f>1+0.1387</f>
        <v>1.1387</v>
      </c>
    </row>
    <row r="13" spans="1:5" x14ac:dyDescent="0.25">
      <c r="A13" t="s">
        <v>38</v>
      </c>
      <c r="B13" t="s">
        <v>110</v>
      </c>
      <c r="C13" t="s">
        <v>11</v>
      </c>
      <c r="D13">
        <v>1</v>
      </c>
      <c r="E13">
        <f>1+0.1387</f>
        <v>1.1387</v>
      </c>
    </row>
    <row r="14" spans="1:5" x14ac:dyDescent="0.25">
      <c r="A14" t="s">
        <v>69</v>
      </c>
      <c r="B14" t="s">
        <v>110</v>
      </c>
      <c r="C14" t="s">
        <v>11</v>
      </c>
      <c r="D14">
        <v>1</v>
      </c>
      <c r="E14">
        <f>1+1+0.69</f>
        <v>2.69</v>
      </c>
    </row>
    <row r="15" spans="1:5" x14ac:dyDescent="0.25">
      <c r="A15" t="s">
        <v>70</v>
      </c>
      <c r="B15" t="s">
        <v>110</v>
      </c>
      <c r="C15" t="s">
        <v>11</v>
      </c>
      <c r="D15">
        <v>1</v>
      </c>
      <c r="E15">
        <f>1+0.195</f>
        <v>1.1950000000000001</v>
      </c>
    </row>
    <row r="16" spans="1:5" x14ac:dyDescent="0.25">
      <c r="A16" t="s">
        <v>170</v>
      </c>
      <c r="B16" t="s">
        <v>110</v>
      </c>
      <c r="C16" t="s">
        <v>11</v>
      </c>
      <c r="D16">
        <v>1</v>
      </c>
      <c r="E16">
        <f>1+0.370317</f>
        <v>1.370317</v>
      </c>
    </row>
    <row r="17" spans="1:5" x14ac:dyDescent="0.25">
      <c r="A17" t="s">
        <v>171</v>
      </c>
      <c r="B17" t="s">
        <v>110</v>
      </c>
      <c r="C17" t="s">
        <v>11</v>
      </c>
      <c r="D17">
        <v>1</v>
      </c>
      <c r="E17">
        <f>1+0.189</f>
        <v>1.1890000000000001</v>
      </c>
    </row>
    <row r="18" spans="1:5" x14ac:dyDescent="0.25">
      <c r="A18" t="s">
        <v>172</v>
      </c>
      <c r="B18" t="s">
        <v>110</v>
      </c>
      <c r="C18" t="s">
        <v>11</v>
      </c>
      <c r="D18">
        <v>1</v>
      </c>
      <c r="E18">
        <f>1+0.29187</f>
        <v>1.2918700000000001</v>
      </c>
    </row>
    <row r="19" spans="1:5" x14ac:dyDescent="0.25">
      <c r="A19" t="s">
        <v>173</v>
      </c>
      <c r="B19" t="s">
        <v>110</v>
      </c>
      <c r="C19" t="s">
        <v>11</v>
      </c>
      <c r="D19">
        <v>1</v>
      </c>
      <c r="E19">
        <f>1+0.256</f>
        <v>1.256</v>
      </c>
    </row>
    <row r="20" spans="1:5" x14ac:dyDescent="0.25">
      <c r="A20" t="s">
        <v>174</v>
      </c>
      <c r="B20" t="s">
        <v>110</v>
      </c>
      <c r="C20" t="s">
        <v>11</v>
      </c>
      <c r="D20">
        <v>1</v>
      </c>
      <c r="E20">
        <f>1+0.396</f>
        <v>1.3959999999999999</v>
      </c>
    </row>
    <row r="21" spans="1:5" x14ac:dyDescent="0.25">
      <c r="A21" t="s">
        <v>175</v>
      </c>
      <c r="B21" t="s">
        <v>110</v>
      </c>
      <c r="C21" t="s">
        <v>11</v>
      </c>
      <c r="D21">
        <v>1</v>
      </c>
      <c r="E21">
        <v>1</v>
      </c>
    </row>
    <row r="22" spans="1:5" x14ac:dyDescent="0.25">
      <c r="A22" t="s">
        <v>176</v>
      </c>
      <c r="B22" t="s">
        <v>110</v>
      </c>
      <c r="C22" t="s">
        <v>11</v>
      </c>
      <c r="D22">
        <v>1</v>
      </c>
      <c r="E22">
        <v>1</v>
      </c>
    </row>
    <row r="23" spans="1:5" x14ac:dyDescent="0.25">
      <c r="A23" t="s">
        <v>177</v>
      </c>
      <c r="B23" t="s">
        <v>110</v>
      </c>
      <c r="C23" t="s">
        <v>11</v>
      </c>
      <c r="D23">
        <v>1</v>
      </c>
      <c r="E23">
        <f>1+0.195</f>
        <v>1.1950000000000001</v>
      </c>
    </row>
    <row r="24" spans="1:5" x14ac:dyDescent="0.25">
      <c r="A24" t="s">
        <v>178</v>
      </c>
      <c r="B24" t="s">
        <v>110</v>
      </c>
      <c r="C24" t="s">
        <v>11</v>
      </c>
      <c r="D24">
        <v>1</v>
      </c>
      <c r="E24">
        <f>1+0.195</f>
        <v>1.1950000000000001</v>
      </c>
    </row>
    <row r="25" spans="1:5" x14ac:dyDescent="0.25">
      <c r="A25" t="s">
        <v>179</v>
      </c>
      <c r="B25" t="s">
        <v>110</v>
      </c>
      <c r="C25" t="s">
        <v>11</v>
      </c>
      <c r="D25">
        <v>1</v>
      </c>
      <c r="E25">
        <f>1+0.195</f>
        <v>1.1950000000000001</v>
      </c>
    </row>
    <row r="26" spans="1:5" x14ac:dyDescent="0.25">
      <c r="A26" t="s">
        <v>180</v>
      </c>
      <c r="B26" t="s">
        <v>110</v>
      </c>
      <c r="C26" t="s">
        <v>11</v>
      </c>
      <c r="D26">
        <v>1</v>
      </c>
      <c r="E26">
        <v>1</v>
      </c>
    </row>
    <row r="27" spans="1:5" x14ac:dyDescent="0.25">
      <c r="A27" t="s">
        <v>181</v>
      </c>
      <c r="B27" t="s">
        <v>110</v>
      </c>
      <c r="C27" t="s">
        <v>11</v>
      </c>
      <c r="D27">
        <v>1</v>
      </c>
      <c r="E27">
        <v>1</v>
      </c>
    </row>
    <row r="28" spans="1:5" x14ac:dyDescent="0.25">
      <c r="A28" t="s">
        <v>182</v>
      </c>
      <c r="B28" t="s">
        <v>110</v>
      </c>
      <c r="C28" t="s">
        <v>11</v>
      </c>
      <c r="D28">
        <v>1</v>
      </c>
      <c r="E28">
        <v>1</v>
      </c>
    </row>
    <row r="29" spans="1:5" x14ac:dyDescent="0.25">
      <c r="A29" t="s">
        <v>183</v>
      </c>
      <c r="B29" t="s">
        <v>110</v>
      </c>
      <c r="C29" t="s">
        <v>11</v>
      </c>
      <c r="D29">
        <v>1</v>
      </c>
      <c r="E29">
        <f>1+0.2467</f>
        <v>1.2466999999999999</v>
      </c>
    </row>
    <row r="30" spans="1:5" x14ac:dyDescent="0.25">
      <c r="A30" t="s">
        <v>184</v>
      </c>
      <c r="B30" t="s">
        <v>110</v>
      </c>
      <c r="C30" t="s">
        <v>11</v>
      </c>
      <c r="D30">
        <v>1</v>
      </c>
      <c r="E30">
        <v>1</v>
      </c>
    </row>
    <row r="31" spans="1:5" x14ac:dyDescent="0.25">
      <c r="A31" t="s">
        <v>185</v>
      </c>
      <c r="B31" t="s">
        <v>110</v>
      </c>
      <c r="C31" t="s">
        <v>11</v>
      </c>
      <c r="D31">
        <v>1</v>
      </c>
      <c r="E31">
        <v>1</v>
      </c>
    </row>
    <row r="32" spans="1:5" x14ac:dyDescent="0.25">
      <c r="A32" t="s">
        <v>186</v>
      </c>
      <c r="B32" t="s">
        <v>110</v>
      </c>
      <c r="C32" t="s">
        <v>11</v>
      </c>
      <c r="D32">
        <v>1</v>
      </c>
      <c r="E32">
        <f t="shared" ref="E32:E60" si="0">1+0.195</f>
        <v>1.1950000000000001</v>
      </c>
    </row>
    <row r="33" spans="1:5" x14ac:dyDescent="0.25">
      <c r="A33" t="s">
        <v>187</v>
      </c>
      <c r="B33" t="s">
        <v>110</v>
      </c>
      <c r="C33" t="s">
        <v>11</v>
      </c>
      <c r="D33">
        <v>1</v>
      </c>
      <c r="E33">
        <f t="shared" si="0"/>
        <v>1.1950000000000001</v>
      </c>
    </row>
    <row r="34" spans="1:5" x14ac:dyDescent="0.25">
      <c r="A34" t="s">
        <v>188</v>
      </c>
      <c r="B34" t="s">
        <v>110</v>
      </c>
      <c r="C34" t="s">
        <v>11</v>
      </c>
      <c r="D34">
        <v>1</v>
      </c>
      <c r="E34">
        <f t="shared" si="0"/>
        <v>1.1950000000000001</v>
      </c>
    </row>
    <row r="35" spans="1:5" x14ac:dyDescent="0.25">
      <c r="A35" t="s">
        <v>36</v>
      </c>
      <c r="B35" t="s">
        <v>110</v>
      </c>
      <c r="C35" t="s">
        <v>11</v>
      </c>
      <c r="D35">
        <v>1</v>
      </c>
      <c r="E35">
        <f t="shared" si="0"/>
        <v>1.1950000000000001</v>
      </c>
    </row>
    <row r="36" spans="1:5" x14ac:dyDescent="0.25">
      <c r="A36" t="s">
        <v>189</v>
      </c>
      <c r="B36" t="s">
        <v>110</v>
      </c>
      <c r="C36" t="s">
        <v>11</v>
      </c>
      <c r="D36">
        <v>1</v>
      </c>
      <c r="E36">
        <f t="shared" si="0"/>
        <v>1.1950000000000001</v>
      </c>
    </row>
    <row r="37" spans="1:5" x14ac:dyDescent="0.25">
      <c r="A37" t="s">
        <v>190</v>
      </c>
      <c r="B37" t="s">
        <v>110</v>
      </c>
      <c r="C37" t="s">
        <v>11</v>
      </c>
      <c r="D37">
        <v>1</v>
      </c>
      <c r="E37">
        <f t="shared" si="0"/>
        <v>1.1950000000000001</v>
      </c>
    </row>
    <row r="38" spans="1:5" x14ac:dyDescent="0.25">
      <c r="A38" t="s">
        <v>191</v>
      </c>
      <c r="B38" t="s">
        <v>110</v>
      </c>
      <c r="C38" t="s">
        <v>11</v>
      </c>
      <c r="D38">
        <v>1</v>
      </c>
      <c r="E38">
        <f t="shared" si="0"/>
        <v>1.1950000000000001</v>
      </c>
    </row>
    <row r="39" spans="1:5" x14ac:dyDescent="0.25">
      <c r="A39" t="s">
        <v>192</v>
      </c>
      <c r="B39" t="s">
        <v>110</v>
      </c>
      <c r="C39" t="s">
        <v>11</v>
      </c>
      <c r="D39">
        <v>1</v>
      </c>
      <c r="E39">
        <f t="shared" si="0"/>
        <v>1.1950000000000001</v>
      </c>
    </row>
    <row r="40" spans="1:5" x14ac:dyDescent="0.25">
      <c r="A40" t="s">
        <v>42</v>
      </c>
      <c r="B40" t="s">
        <v>110</v>
      </c>
      <c r="C40" t="s">
        <v>11</v>
      </c>
      <c r="D40">
        <v>1</v>
      </c>
      <c r="E40">
        <f t="shared" si="0"/>
        <v>1.1950000000000001</v>
      </c>
    </row>
    <row r="41" spans="1:5" x14ac:dyDescent="0.25">
      <c r="A41" t="s">
        <v>49</v>
      </c>
      <c r="B41" t="s">
        <v>110</v>
      </c>
      <c r="C41" t="s">
        <v>11</v>
      </c>
      <c r="D41">
        <v>1</v>
      </c>
      <c r="E41">
        <f t="shared" si="0"/>
        <v>1.1950000000000001</v>
      </c>
    </row>
    <row r="42" spans="1:5" x14ac:dyDescent="0.25">
      <c r="A42" t="s">
        <v>50</v>
      </c>
      <c r="B42" t="s">
        <v>110</v>
      </c>
      <c r="C42" t="s">
        <v>11</v>
      </c>
      <c r="D42">
        <v>1</v>
      </c>
      <c r="E42">
        <f t="shared" si="0"/>
        <v>1.1950000000000001</v>
      </c>
    </row>
    <row r="43" spans="1:5" x14ac:dyDescent="0.25">
      <c r="A43" t="s">
        <v>51</v>
      </c>
      <c r="B43" t="s">
        <v>110</v>
      </c>
      <c r="C43" t="s">
        <v>11</v>
      </c>
      <c r="D43">
        <v>1</v>
      </c>
      <c r="E43">
        <f t="shared" si="0"/>
        <v>1.1950000000000001</v>
      </c>
    </row>
    <row r="44" spans="1:5" x14ac:dyDescent="0.25">
      <c r="A44" t="s">
        <v>44</v>
      </c>
      <c r="B44" t="s">
        <v>110</v>
      </c>
      <c r="C44" t="s">
        <v>11</v>
      </c>
      <c r="D44">
        <v>1</v>
      </c>
      <c r="E44">
        <f t="shared" si="0"/>
        <v>1.1950000000000001</v>
      </c>
    </row>
    <row r="45" spans="1:5" x14ac:dyDescent="0.25">
      <c r="A45" t="s">
        <v>47</v>
      </c>
      <c r="B45" t="s">
        <v>110</v>
      </c>
      <c r="C45" t="s">
        <v>11</v>
      </c>
      <c r="D45">
        <v>1</v>
      </c>
      <c r="E45">
        <f t="shared" si="0"/>
        <v>1.1950000000000001</v>
      </c>
    </row>
    <row r="46" spans="1:5" x14ac:dyDescent="0.25">
      <c r="A46" t="s">
        <v>48</v>
      </c>
      <c r="B46" t="s">
        <v>110</v>
      </c>
      <c r="C46" t="s">
        <v>11</v>
      </c>
      <c r="D46">
        <v>1</v>
      </c>
      <c r="E46">
        <f t="shared" si="0"/>
        <v>1.1950000000000001</v>
      </c>
    </row>
    <row r="47" spans="1:5" x14ac:dyDescent="0.25">
      <c r="A47" t="s">
        <v>193</v>
      </c>
      <c r="B47" t="s">
        <v>110</v>
      </c>
      <c r="C47" t="s">
        <v>11</v>
      </c>
      <c r="D47">
        <v>1</v>
      </c>
      <c r="E47">
        <f t="shared" si="0"/>
        <v>1.1950000000000001</v>
      </c>
    </row>
    <row r="48" spans="1:5" x14ac:dyDescent="0.25">
      <c r="A48" t="s">
        <v>194</v>
      </c>
      <c r="B48" t="s">
        <v>110</v>
      </c>
      <c r="C48" t="s">
        <v>11</v>
      </c>
      <c r="D48">
        <v>1</v>
      </c>
      <c r="E48">
        <f t="shared" si="0"/>
        <v>1.1950000000000001</v>
      </c>
    </row>
    <row r="49" spans="1:5" x14ac:dyDescent="0.25">
      <c r="A49" t="s">
        <v>195</v>
      </c>
      <c r="B49" t="s">
        <v>110</v>
      </c>
      <c r="C49" t="s">
        <v>11</v>
      </c>
      <c r="D49">
        <v>1</v>
      </c>
      <c r="E49">
        <f t="shared" si="0"/>
        <v>1.1950000000000001</v>
      </c>
    </row>
    <row r="50" spans="1:5" x14ac:dyDescent="0.25">
      <c r="A50" t="s">
        <v>196</v>
      </c>
      <c r="B50" t="s">
        <v>110</v>
      </c>
      <c r="C50" t="s">
        <v>11</v>
      </c>
      <c r="D50">
        <v>1</v>
      </c>
      <c r="E50">
        <f t="shared" si="0"/>
        <v>1.1950000000000001</v>
      </c>
    </row>
    <row r="51" spans="1:5" x14ac:dyDescent="0.25">
      <c r="A51" t="s">
        <v>197</v>
      </c>
      <c r="B51" t="s">
        <v>110</v>
      </c>
      <c r="C51" t="s">
        <v>11</v>
      </c>
      <c r="D51">
        <v>1</v>
      </c>
      <c r="E51">
        <f t="shared" si="0"/>
        <v>1.1950000000000001</v>
      </c>
    </row>
    <row r="52" spans="1:5" x14ac:dyDescent="0.25">
      <c r="A52" t="s">
        <v>198</v>
      </c>
      <c r="B52" t="s">
        <v>110</v>
      </c>
      <c r="C52" t="s">
        <v>11</v>
      </c>
      <c r="D52">
        <v>1</v>
      </c>
      <c r="E52">
        <f t="shared" si="0"/>
        <v>1.1950000000000001</v>
      </c>
    </row>
    <row r="53" spans="1:5" x14ac:dyDescent="0.25">
      <c r="A53" t="s">
        <v>199</v>
      </c>
      <c r="B53" t="s">
        <v>110</v>
      </c>
      <c r="C53" t="s">
        <v>11</v>
      </c>
      <c r="D53">
        <v>1</v>
      </c>
      <c r="E53">
        <f t="shared" si="0"/>
        <v>1.1950000000000001</v>
      </c>
    </row>
    <row r="54" spans="1:5" x14ac:dyDescent="0.25">
      <c r="A54" t="s">
        <v>133</v>
      </c>
      <c r="B54" t="s">
        <v>110</v>
      </c>
      <c r="C54" t="s">
        <v>11</v>
      </c>
      <c r="D54">
        <v>1</v>
      </c>
      <c r="E54">
        <f t="shared" si="0"/>
        <v>1.1950000000000001</v>
      </c>
    </row>
    <row r="55" spans="1:5" x14ac:dyDescent="0.25">
      <c r="A55" t="s">
        <v>135</v>
      </c>
      <c r="B55" t="s">
        <v>110</v>
      </c>
      <c r="C55" t="s">
        <v>11</v>
      </c>
      <c r="D55">
        <v>1</v>
      </c>
      <c r="E55">
        <f t="shared" si="0"/>
        <v>1.1950000000000001</v>
      </c>
    </row>
    <row r="56" spans="1:5" x14ac:dyDescent="0.25">
      <c r="A56" t="s">
        <v>136</v>
      </c>
      <c r="B56" t="s">
        <v>110</v>
      </c>
      <c r="C56" t="s">
        <v>11</v>
      </c>
      <c r="D56">
        <v>1</v>
      </c>
      <c r="E56">
        <f t="shared" si="0"/>
        <v>1.1950000000000001</v>
      </c>
    </row>
    <row r="57" spans="1:5" x14ac:dyDescent="0.25">
      <c r="A57" t="s">
        <v>140</v>
      </c>
      <c r="B57" t="s">
        <v>110</v>
      </c>
      <c r="C57" t="s">
        <v>11</v>
      </c>
      <c r="D57">
        <v>1</v>
      </c>
      <c r="E57">
        <f t="shared" si="0"/>
        <v>1.1950000000000001</v>
      </c>
    </row>
    <row r="58" spans="1:5" x14ac:dyDescent="0.25">
      <c r="A58" t="s">
        <v>72</v>
      </c>
      <c r="B58" t="s">
        <v>110</v>
      </c>
      <c r="C58" t="s">
        <v>11</v>
      </c>
      <c r="D58">
        <v>1</v>
      </c>
      <c r="E58">
        <f t="shared" si="0"/>
        <v>1.1950000000000001</v>
      </c>
    </row>
    <row r="59" spans="1:5" x14ac:dyDescent="0.25">
      <c r="A59" t="s">
        <v>137</v>
      </c>
      <c r="B59" t="s">
        <v>110</v>
      </c>
      <c r="C59" t="s">
        <v>11</v>
      </c>
      <c r="D59">
        <v>1</v>
      </c>
      <c r="E59">
        <f t="shared" si="0"/>
        <v>1.1950000000000001</v>
      </c>
    </row>
    <row r="60" spans="1:5" x14ac:dyDescent="0.25">
      <c r="A60" t="s">
        <v>138</v>
      </c>
      <c r="B60" t="s">
        <v>110</v>
      </c>
      <c r="C60" t="s">
        <v>11</v>
      </c>
      <c r="D60">
        <v>1</v>
      </c>
      <c r="E60">
        <f t="shared" si="0"/>
        <v>1.1950000000000001</v>
      </c>
    </row>
    <row r="61" spans="1:5" x14ac:dyDescent="0.25">
      <c r="A61" t="s">
        <v>123</v>
      </c>
      <c r="B61" t="s">
        <v>110</v>
      </c>
      <c r="C61" t="s">
        <v>11</v>
      </c>
      <c r="D61">
        <v>1</v>
      </c>
    </row>
    <row r="62" spans="1:5" x14ac:dyDescent="0.25">
      <c r="A62" t="s">
        <v>124</v>
      </c>
      <c r="B62" t="s">
        <v>110</v>
      </c>
      <c r="C62" t="s">
        <v>11</v>
      </c>
      <c r="D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Regions</vt:lpstr>
      <vt:lpstr>DemandAndConversions</vt:lpstr>
      <vt:lpstr>CropProduction</vt:lpstr>
      <vt:lpstr>CattleHerd</vt:lpstr>
      <vt:lpstr>ManureMgmt</vt:lpstr>
      <vt:lpstr>PigHerd</vt:lpstr>
      <vt:lpstr>FeedMgmt</vt:lpstr>
      <vt:lpstr>MachineryAndEnergyMgmt</vt:lpstr>
      <vt:lpstr>PlantNutrientMgmt</vt:lpstr>
      <vt:lpstr>motivations</vt:lpstr>
      <vt:lpstr>regionstest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2024-09-11T08:07:00Z</dcterms:modified>
</cp:coreProperties>
</file>