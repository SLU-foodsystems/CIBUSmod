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36" i="1" l="1"/>
  <c r="L535" i="1"/>
  <c r="L506" i="1"/>
  <c r="L504" i="1"/>
  <c r="L503" i="1"/>
  <c r="L501" i="1"/>
  <c r="L198" i="1" l="1"/>
  <c r="L390" i="1" l="1"/>
  <c r="L379" i="1"/>
  <c r="L457" i="1" l="1"/>
  <c r="L456" i="1"/>
  <c r="L455" i="1"/>
  <c r="L124" i="1"/>
  <c r="L123" i="1"/>
  <c r="L133" i="1" l="1"/>
  <c r="L131" i="1"/>
  <c r="L267" i="1" l="1"/>
  <c r="L66" i="1"/>
  <c r="L485" i="1"/>
  <c r="L484" i="1"/>
  <c r="L483" i="1"/>
  <c r="L486" i="1" l="1"/>
  <c r="L513" i="1"/>
  <c r="L510" i="1"/>
  <c r="L507" i="1"/>
  <c r="L487" i="1"/>
  <c r="L514" i="1"/>
  <c r="L511" i="1"/>
  <c r="L508" i="1"/>
  <c r="L488" i="1"/>
  <c r="L515" i="1"/>
  <c r="L512" i="1"/>
  <c r="L509" i="1"/>
  <c r="L533" i="1"/>
  <c r="L532" i="1"/>
  <c r="L115" i="1" s="1"/>
  <c r="L259" i="1" l="1"/>
  <c r="L258" i="1"/>
  <c r="L257" i="1"/>
  <c r="L256" i="1"/>
  <c r="L255" i="1"/>
  <c r="L254" i="1"/>
  <c r="L253" i="1"/>
  <c r="L252" i="1"/>
  <c r="L251" i="1"/>
  <c r="L323" i="1" l="1"/>
  <c r="L321" i="1"/>
  <c r="L319" i="1"/>
  <c r="L317" i="1"/>
  <c r="L315" i="1"/>
  <c r="L213" i="1" l="1"/>
  <c r="L20" i="1"/>
  <c r="L19" i="1"/>
  <c r="L18" i="1"/>
  <c r="L17" i="1"/>
  <c r="L16" i="1"/>
  <c r="L15" i="1"/>
  <c r="L13" i="1"/>
  <c r="L12" i="1"/>
  <c r="L9" i="1"/>
  <c r="L8" i="1"/>
  <c r="L10" i="1"/>
  <c r="L11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L434" i="1"/>
  <c r="L432" i="1"/>
  <c r="L45" i="1" l="1"/>
  <c r="L48" i="1"/>
  <c r="L337" i="1"/>
  <c r="L38" i="1"/>
  <c r="L288" i="1" l="1"/>
  <c r="L218" i="1"/>
  <c r="L83" i="1" l="1"/>
  <c r="L403" i="1" l="1"/>
  <c r="L222" i="1" l="1"/>
  <c r="L220" i="1"/>
  <c r="L215" i="1"/>
  <c r="L211" i="1"/>
  <c r="L86" i="1" l="1"/>
  <c r="L85" i="1"/>
  <c r="L492" i="1" l="1"/>
  <c r="L493" i="1" s="1"/>
  <c r="L452" i="1" l="1"/>
  <c r="L451" i="1"/>
  <c r="L450" i="1"/>
  <c r="L174" i="1" l="1"/>
  <c r="L51" i="1"/>
  <c r="L52" i="1"/>
  <c r="L441" i="1" l="1"/>
  <c r="L440" i="1"/>
  <c r="L428" i="1"/>
  <c r="L50" i="1"/>
  <c r="L439" i="1" l="1"/>
  <c r="L438" i="1"/>
  <c r="L437" i="1"/>
  <c r="L436" i="1"/>
  <c r="L435" i="1" l="1"/>
  <c r="L431" i="1"/>
  <c r="L430" i="1"/>
  <c r="L429" i="1" s="1"/>
  <c r="L427" i="1"/>
  <c r="L433" i="1" l="1"/>
  <c r="L447" i="1"/>
  <c r="L446" i="1"/>
  <c r="L445" i="1"/>
  <c r="L3" i="1" l="1"/>
</calcChain>
</file>

<file path=xl/sharedStrings.xml><?xml version="1.0" encoding="utf-8"?>
<sst xmlns="http://schemas.openxmlformats.org/spreadsheetml/2006/main" count="2321" uniqueCount="452">
  <si>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</si>
  <si>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</si>
  <si>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</si>
  <si>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</si>
  <si>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</si>
  <si>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</si>
  <si>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</si>
  <si>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</si>
  <si>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</si>
  <si>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</si>
  <si>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</si>
  <si>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</si>
  <si>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</si>
  <si>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</si>
  <si>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</si>
  <si>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</si>
  <si>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</si>
  <si>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</si>
  <si>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</si>
  <si>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</si>
  <si>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</si>
  <si>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</si>
  <si>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</si>
  <si>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</si>
  <si>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</si>
  <si>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</si>
  <si>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</si>
  <si>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</si>
  <si>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</si>
  <si>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</si>
  <si>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</si>
  <si>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</si>
  <si>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</si>
  <si>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</si>
  <si>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</si>
  <si>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</si>
  <si>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</si>
  <si>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</si>
  <si>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</si>
  <si>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</si>
  <si>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</si>
  <si>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</si>
  <si>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</si>
  <si>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</si>
  <si>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</si>
  <si>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</si>
  <si>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</si>
  <si>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</si>
  <si>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</si>
  <si>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</si>
  <si>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</si>
  <si>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</si>
  <si>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</si>
  <si>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</si>
  <si>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</si>
  <si>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</si>
  <si>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</si>
  <si>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</si>
  <si>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</si>
  <si>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</si>
  <si>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</si>
  <si>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</si>
  <si>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</si>
  <si>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</si>
  <si>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</si>
  <si>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</si>
  <si>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</si>
  <si>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</si>
  <si>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</si>
  <si>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</si>
  <si>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</si>
  <si>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</si>
  <si>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</si>
  <si>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</si>
  <si>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</si>
  <si>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</si>
  <si>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</si>
  <si>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</si>
  <si>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</si>
  <si>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</si>
  <si>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</si>
  <si>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</si>
  <si>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</si>
  <si>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</si>
  <si>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</si>
  <si>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</si>
  <si>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</si>
  <si>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</si>
  <si>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</si>
  <si>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</si>
  <si>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</si>
  <si>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</si>
  <si>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</si>
  <si>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</si>
  <si>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</si>
  <si>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</si>
  <si>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</si>
  <si>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</si>
  <si>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</si>
  <si>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</si>
  <si>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</si>
  <si>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</si>
  <si>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</si>
  <si>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</si>
  <si>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</si>
  <si>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</si>
  <si>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</si>
  <si>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</si>
  <si>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</si>
  <si>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</si>
  <si>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</si>
  <si>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</si>
  <si>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</si>
  <si>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</si>
  <si>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</si>
  <si>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</si>
  <si>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</si>
  <si>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</si>
  <si>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</si>
  <si>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</si>
  <si>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</si>
  <si>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</si>
  <si>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</si>
  <si>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</si>
  <si>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</si>
  <si>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</si>
  <si>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</si>
  <si>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</si>
  <si>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</si>
  <si>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</si>
  <si>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</si>
  <si>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</si>
  <si>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</si>
  <si>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</si>
  <si>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</si>
  <si>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</si>
  <si>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</si>
  <si>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</si>
  <si>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</si>
  <si>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</si>
  <si>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</si>
  <si>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</si>
  <si>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</si>
  <si>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</si>
  <si>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</si>
  <si>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</si>
  <si>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</si>
  <si>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</si>
  <si>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</si>
  <si>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</si>
  <si>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</si>
  <si>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</si>
  <si>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</si>
  <si>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</si>
  <si>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</si>
  <si>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</si>
  <si>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</si>
  <si>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</si>
  <si>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</si>
  <si>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</si>
  <si>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</si>
  <si>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</si>
  <si>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</si>
  <si>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</si>
  <si>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</si>
  <si>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</si>
  <si>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</si>
  <si>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</si>
  <si>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</si>
  <si>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</si>
  <si>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</si>
  <si>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</si>
  <si>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</si>
  <si>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</si>
  <si>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</si>
  <si>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</si>
  <si>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</si>
  <si>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</si>
  <si>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</si>
  <si>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</si>
  <si>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</si>
  <si>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</si>
  <si>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</si>
  <si>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</si>
  <si>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</si>
  <si>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</si>
  <si>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</si>
  <si>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</si>
  <si>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</si>
  <si>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</si>
  <si>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</si>
  <si>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</si>
  <si>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</si>
  <si>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</si>
  <si>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</si>
  <si>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</si>
  <si>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</si>
  <si>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</si>
  <si>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</si>
  <si>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</si>
  <si>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</si>
  <si>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</si>
  <si>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</si>
  <si>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</si>
  <si>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</si>
  <si>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</si>
  <si>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</si>
  <si>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</si>
  <si>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</si>
  <si>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</si>
  <si>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</si>
  <si>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</si>
  <si>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</si>
  <si>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</si>
  <si>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</si>
  <si>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</si>
  <si>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</si>
  <si>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</si>
  <si>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</si>
  <si>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</si>
  <si>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</si>
  <si>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</si>
  <si>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</si>
  <si>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</si>
  <si>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</si>
  <si>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</si>
  <si>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</si>
  <si>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</si>
  <si>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</si>
  <si>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</si>
  <si>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</si>
  <si>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</si>
  <si>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</si>
  <si>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</si>
  <si>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</si>
  <si>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</si>
  <si>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</si>
  <si>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</si>
  <si>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</si>
  <si>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</si>
  <si>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</si>
  <si>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</si>
  <si>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</si>
  <si>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</si>
  <si>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</si>
  <si>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</si>
  <si>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</si>
  <si>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</si>
  <si>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</si>
  <si>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</si>
  <si>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</si>
  <si>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</si>
  <si>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</si>
  <si>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</si>
  <si>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</si>
  <si>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</si>
  <si>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</si>
  <si>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</si>
  <si>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</si>
  <si>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</si>
  <si>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</si>
  <si>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</si>
  <si>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</si>
  <si>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</si>
  <si>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</si>
  <si>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</si>
  <si>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</si>
  <si>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</si>
  <si>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</si>
  <si>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</si>
  <si>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</si>
  <si>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</si>
  <si>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</si>
  <si>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</si>
  <si>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</si>
  <si>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</si>
  <si>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</si>
  <si>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</si>
  <si>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</si>
  <si>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</si>
  <si>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</si>
  <si>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</si>
  <si>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</si>
  <si>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</si>
  <si>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</si>
  <si>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</si>
  <si>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</si>
  <si>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</si>
  <si>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</si>
  <si>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</si>
  <si>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</si>
  <si>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</si>
  <si>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</si>
  <si>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</si>
  <si>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</si>
  <si>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</si>
  <si>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</si>
  <si>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</si>
  <si>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</si>
  <si>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</si>
  <si>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</si>
  <si>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</si>
  <si>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</si>
  <si>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</si>
  <si>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</si>
  <si>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</si>
  <si>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</si>
  <si>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</si>
  <si>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</si>
  <si>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</si>
  <si>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</si>
  <si>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</si>
  <si>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</si>
  <si>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</si>
  <si>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</si>
  <si>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</si>
  <si>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</si>
  <si>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</si>
  <si>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</si>
  <si>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</si>
  <si>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</si>
  <si>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</si>
  <si>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</si>
  <si>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</si>
  <si>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</si>
  <si>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</si>
  <si>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</si>
  <si>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</si>
  <si>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</si>
  <si>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</si>
  <si>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</si>
  <si>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</si>
  <si>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</si>
  <si>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</si>
  <si>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</si>
  <si>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</si>
  <si>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</si>
  <si>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</si>
  <si>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</si>
  <si>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</si>
  <si>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</si>
  <si>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</si>
  <si>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</si>
  <si>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</si>
  <si>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</si>
  <si>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</si>
  <si>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</si>
  <si>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</si>
  <si>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</si>
  <si>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</si>
  <si>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</si>
  <si>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sheep skins fresh (by-product from live weight)</t>
  </si>
  <si>
    <t>sheep slaughterhouse fat (by-product from live weight)</t>
  </si>
  <si>
    <t>sheep offals (by-product from live weight)</t>
  </si>
  <si>
    <t>(1/0.50)=carcass weight--&gt;live weight</t>
  </si>
  <si>
    <t>Need to check!!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</si>
  <si>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</si>
  <si>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</si>
  <si>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</si>
  <si>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</si>
  <si>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</si>
  <si>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</si>
  <si>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</si>
  <si>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</si>
  <si>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</si>
  <si>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</si>
  <si>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</si>
  <si>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</si>
  <si>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</si>
  <si>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</si>
  <si>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Clune et al</t>
  </si>
  <si>
    <t>adjusted from 77% (= bone free) to match slaughter statistics. Large change needed, potentially cons./imp./waste wrong</t>
  </si>
  <si>
    <t>changed from 2.9 g/day to match slaughter statistics</t>
  </si>
  <si>
    <t>chnaged from 66%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</si>
  <si>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</si>
  <si>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</si>
  <si>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</si>
  <si>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</si>
  <si>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</si>
  <si>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</si>
  <si>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</si>
  <si>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</si>
  <si>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</si>
  <si>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</si>
  <si>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</si>
  <si>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</si>
  <si>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</si>
  <si>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</si>
  <si>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</si>
  <si>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</si>
  <si>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</si>
  <si>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</si>
  <si>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</si>
  <si>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</si>
  <si>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</si>
  <si>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</si>
  <si>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</si>
  <si>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</si>
  <si>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</si>
  <si>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</si>
  <si>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</si>
  <si>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</si>
  <si>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</si>
  <si>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</si>
  <si>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</si>
  <si>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</si>
  <si>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</si>
  <si>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</si>
  <si>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</si>
  <si>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</si>
  <si>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</si>
  <si>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</si>
  <si>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</si>
  <si>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</si>
  <si>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</si>
  <si>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</si>
  <si>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</si>
  <si>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</si>
  <si>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</si>
  <si>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</si>
  <si>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</si>
  <si>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</si>
  <si>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</si>
  <si>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</si>
  <si>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</si>
  <si>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</si>
  <si>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</si>
  <si>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</si>
  <si>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</si>
  <si>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</si>
  <si>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</si>
  <si>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</si>
  <si>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</si>
  <si>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</si>
  <si>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</si>
  <si>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</si>
  <si>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</si>
  <si>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</si>
  <si>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</si>
  <si>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</si>
  <si>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sunflower seed cake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</si>
  <si>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</si>
  <si>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</si>
  <si>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</si>
  <si>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</si>
  <si>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</si>
  <si>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</si>
  <si>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</si>
  <si>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</si>
  <si>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biogas</t>
  </si>
  <si>
    <t>Should instead define the by-product substrate to be handled in the WasteAndCircularity module</t>
  </si>
  <si>
    <t>assumption for now, probably high due to no persticides approved, very small production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</si>
</sst>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6" fillId="0" borderId="0" xfId="0" applyFont="1" applyBorder="1"/>
    <xf numFmtId="0" fontId="4" fillId="0" borderId="0" xfId="0" applyFont="1" applyFill="1"/>
    <xf numFmtId="0" fontId="12" fillId="0" borderId="0" xfId="0" applyFont="1" applyFill="1"/>
    <xf numFmtId="0" fontId="12" fillId="3" borderId="0" xfId="0" applyFont="1" applyFill="1"/>
    <xf numFmtId="0" fontId="4" fillId="3" borderId="0" xfId="0" applyFont="1" applyFill="1"/>
    <xf numFmtId="164" fontId="4" fillId="0" borderId="0" xfId="0" applyNumberFormat="1" applyFont="1"/>
    <xf numFmtId="0" fontId="1" fillId="0" borderId="0" xfId="0" applyFont="1" applyFill="1"/>
    <xf numFmtId="0" fontId="0" fillId="0" borderId="0" xfId="0" applyFont="1"/>
    <xf numFmtId="3" fontId="4" fillId="0" borderId="0" xfId="0" applyNumberFormat="1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11906</xdr:colOff>
      <xdr:row>122</xdr:row>
      <xdr:rowOff>0</xdr:rowOff>
    </xdr:from>
    <xdr:to>
      <xdr:col>11</xdr:col>
      <xdr:colOff>0</xdr:colOff>
      <xdr:row>123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9525</xdr:colOff>
      <xdr:row>121</xdr:row>
      <xdr:rowOff>188119</xdr:rowOff>
    </xdr:from>
    <xdr:to>
      <xdr:col>10</xdr:col>
      <xdr:colOff>1426369</xdr:colOff>
      <xdr:row>123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3"/>
  <sheetViews>
    <sheetView tabSelected="1" zoomScale="80" zoomScaleNormal="80" zoomScaleSheetLayoutView="80" workbookViewId="0">
      <pane ySplit="1" topLeftCell="A299" activePane="bottomLeft" state="frozen"/>
      <selection pane="bottomLeft" activeCell="A321" sqref="A321"/>
    </sheetView>
  </sheetViews>
  <sheetFormatPr defaultRowHeight="15" x14ac:dyDescent="0.25"/>
  <cols>
    <col min="1" max="1" width="41.42578125" customWidth="1"/>
    <col min="2" max="2" width="19" customWidth="1"/>
    <col min="3" max="6" width="15.42578125" customWidth="1"/>
    <col min="7" max="7" width="19.42578125" customWidth="1"/>
    <col min="8" max="10" width="14.28515625" customWidth="1"/>
    <col min="11" max="11" width="21.42578125" bestFit="1" customWidth="1"/>
    <col min="13" max="13" width="12.140625" bestFit="1" customWidth="1"/>
    <col min="14" max="14" width="50" customWidth="1"/>
    <col min="15" max="15" width="71.28515625" customWidth="1"/>
  </cols>
  <sheetData>
    <row r="1" spans="1:15" x14ac:dyDescent="0.25">
      <c r="A1" s="1" t="s">
        <v>36</v>
      </c>
      <c r="B1" s="1" t="s">
        <v>25</v>
      </c>
      <c r="C1" s="1" t="s">
        <v>27</v>
      </c>
      <c r="D1" s="1" t="s">
        <v>383</v>
      </c>
      <c r="E1" s="1" t="s">
        <v>56</v>
      </c>
      <c r="F1" s="1" t="s">
        <v>35</v>
      </c>
      <c r="G1" s="1" t="s">
        <v>28</v>
      </c>
      <c r="H1" s="1" t="s">
        <v>47</v>
      </c>
      <c r="I1" s="1" t="s">
        <v>42</v>
      </c>
      <c r="J1" s="1" t="s">
        <v>49</v>
      </c>
      <c r="K1" s="1" t="s">
        <v>0</v>
      </c>
      <c r="L1" s="1" t="s">
        <v>1</v>
      </c>
      <c r="M1" s="1" t="s">
        <v>4</v>
      </c>
      <c r="N1" s="1" t="s">
        <v>2</v>
      </c>
      <c r="O1" s="1" t="s">
        <v>3</v>
      </c>
    </row>
    <row r="2" spans="1:15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3"/>
      <c r="L2" s="3"/>
      <c r="M2" s="3"/>
      <c r="N2" s="3"/>
      <c r="O2" s="3"/>
    </row>
    <row r="3" spans="1:15" x14ac:dyDescent="0.25">
      <c r="K3" t="s">
        <v>5</v>
      </c>
      <c r="L3" s="30">
        <f>(5222847+5156448)/1000000</f>
        <v>10.379295000000001</v>
      </c>
      <c r="M3" t="s">
        <v>6</v>
      </c>
      <c r="N3" t="s">
        <v>8</v>
      </c>
      <c r="O3" t="s">
        <v>7</v>
      </c>
    </row>
    <row r="4" spans="1:15" x14ac:dyDescent="0.25">
      <c r="K4" t="s">
        <v>374</v>
      </c>
      <c r="L4" s="30" t="s">
        <v>378</v>
      </c>
      <c r="M4" t="s">
        <v>375</v>
      </c>
      <c r="N4" t="s">
        <v>376</v>
      </c>
      <c r="O4" t="s">
        <v>377</v>
      </c>
    </row>
    <row r="6" spans="1:15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2"/>
      <c r="K6" s="3"/>
      <c r="L6" s="39"/>
      <c r="M6" s="3"/>
      <c r="N6" s="3"/>
      <c r="O6" s="3"/>
    </row>
    <row r="7" spans="1:15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4"/>
      <c r="K7" s="5"/>
      <c r="L7" s="5"/>
      <c r="M7" s="5"/>
      <c r="N7" s="5"/>
      <c r="O7" s="5"/>
    </row>
    <row r="8" spans="1:15" x14ac:dyDescent="0.25">
      <c r="A8" t="s">
        <v>179</v>
      </c>
      <c r="B8" t="s">
        <v>26</v>
      </c>
      <c r="K8" t="s">
        <v>18</v>
      </c>
      <c r="L8" s="22">
        <f>93.1*0.72</f>
        <v>67.031999999999996</v>
      </c>
      <c r="M8" t="s">
        <v>19</v>
      </c>
      <c r="N8" s="17" t="s">
        <v>322</v>
      </c>
      <c r="O8" t="s">
        <v>321</v>
      </c>
    </row>
    <row r="9" spans="1:15" x14ac:dyDescent="0.25">
      <c r="A9" t="s">
        <v>184</v>
      </c>
      <c r="B9" t="s">
        <v>26</v>
      </c>
      <c r="K9" t="s">
        <v>18</v>
      </c>
      <c r="L9" s="29">
        <f>93.1*0.28</f>
        <v>26.068000000000001</v>
      </c>
      <c r="M9" t="s">
        <v>19</v>
      </c>
    </row>
    <row r="10" spans="1:15" x14ac:dyDescent="0.25">
      <c r="A10" t="s">
        <v>317</v>
      </c>
      <c r="B10" t="s">
        <v>26</v>
      </c>
      <c r="K10" t="s">
        <v>18</v>
      </c>
      <c r="L10" s="22">
        <f>14.1*0.9</f>
        <v>12.69</v>
      </c>
      <c r="M10" t="s">
        <v>19</v>
      </c>
      <c r="N10" s="17" t="s">
        <v>319</v>
      </c>
      <c r="O10" t="s">
        <v>320</v>
      </c>
    </row>
    <row r="11" spans="1:15" x14ac:dyDescent="0.25">
      <c r="A11" t="s">
        <v>318</v>
      </c>
      <c r="B11" t="s">
        <v>26</v>
      </c>
      <c r="K11" t="s">
        <v>18</v>
      </c>
      <c r="L11" s="22">
        <f>14.1*0.1</f>
        <v>1.4100000000000001</v>
      </c>
      <c r="M11" t="s">
        <v>19</v>
      </c>
      <c r="N11" s="6"/>
    </row>
    <row r="12" spans="1:15" x14ac:dyDescent="0.25">
      <c r="A12" t="s">
        <v>180</v>
      </c>
      <c r="B12" t="s">
        <v>26</v>
      </c>
      <c r="K12" t="s">
        <v>18</v>
      </c>
      <c r="L12" s="22">
        <f>3.5*0.72</f>
        <v>2.52</v>
      </c>
      <c r="M12" t="s">
        <v>19</v>
      </c>
      <c r="N12" s="6" t="s">
        <v>323</v>
      </c>
    </row>
    <row r="13" spans="1:15" x14ac:dyDescent="0.25">
      <c r="A13" t="s">
        <v>185</v>
      </c>
      <c r="B13" t="s">
        <v>26</v>
      </c>
      <c r="K13" t="s">
        <v>18</v>
      </c>
      <c r="L13" s="22">
        <f>3.5*0.28</f>
        <v>0.98000000000000009</v>
      </c>
      <c r="M13" t="s">
        <v>19</v>
      </c>
      <c r="N13" s="6"/>
    </row>
    <row r="14" spans="1:15" x14ac:dyDescent="0.25">
      <c r="A14" t="s">
        <v>88</v>
      </c>
      <c r="B14" t="s">
        <v>26</v>
      </c>
      <c r="K14" t="s">
        <v>18</v>
      </c>
      <c r="L14">
        <v>3.8</v>
      </c>
      <c r="M14" t="s">
        <v>19</v>
      </c>
    </row>
    <row r="15" spans="1:15" x14ac:dyDescent="0.25">
      <c r="A15" t="s">
        <v>181</v>
      </c>
      <c r="B15" t="s">
        <v>26</v>
      </c>
      <c r="K15" t="s">
        <v>18</v>
      </c>
      <c r="L15" s="22">
        <f>12.8*0.72</f>
        <v>9.2159999999999993</v>
      </c>
      <c r="M15" t="s">
        <v>19</v>
      </c>
      <c r="N15" s="6" t="s">
        <v>323</v>
      </c>
    </row>
    <row r="16" spans="1:15" x14ac:dyDescent="0.25">
      <c r="A16" t="s">
        <v>186</v>
      </c>
      <c r="B16" t="s">
        <v>26</v>
      </c>
      <c r="K16" t="s">
        <v>18</v>
      </c>
      <c r="L16" s="22">
        <f>12.8*0.28</f>
        <v>3.5840000000000005</v>
      </c>
      <c r="M16" t="s">
        <v>19</v>
      </c>
      <c r="N16" s="6"/>
    </row>
    <row r="17" spans="1:15" x14ac:dyDescent="0.25">
      <c r="A17" t="s">
        <v>182</v>
      </c>
      <c r="B17" t="s">
        <v>26</v>
      </c>
      <c r="K17" t="s">
        <v>18</v>
      </c>
      <c r="L17" s="22">
        <f>5.2*0.72</f>
        <v>3.7439999999999998</v>
      </c>
      <c r="M17" t="s">
        <v>19</v>
      </c>
      <c r="N17" s="6" t="s">
        <v>323</v>
      </c>
    </row>
    <row r="18" spans="1:15" x14ac:dyDescent="0.25">
      <c r="A18" t="s">
        <v>187</v>
      </c>
      <c r="B18" t="s">
        <v>26</v>
      </c>
      <c r="K18" t="s">
        <v>18</v>
      </c>
      <c r="L18" s="22">
        <f>5.2*0.28</f>
        <v>1.4560000000000002</v>
      </c>
      <c r="M18" t="s">
        <v>19</v>
      </c>
      <c r="N18" s="6"/>
    </row>
    <row r="19" spans="1:15" x14ac:dyDescent="0.25">
      <c r="A19" s="6" t="s">
        <v>183</v>
      </c>
      <c r="B19" t="s">
        <v>26</v>
      </c>
      <c r="K19" t="s">
        <v>18</v>
      </c>
      <c r="L19" s="13">
        <f>0.5*0.72</f>
        <v>0.36</v>
      </c>
      <c r="M19" t="s">
        <v>19</v>
      </c>
      <c r="N19" s="6" t="s">
        <v>324</v>
      </c>
    </row>
    <row r="20" spans="1:15" x14ac:dyDescent="0.25">
      <c r="A20" s="6" t="s">
        <v>188</v>
      </c>
      <c r="B20" t="s">
        <v>26</v>
      </c>
      <c r="K20" t="s">
        <v>18</v>
      </c>
      <c r="L20" s="13">
        <f>0.5*0.28</f>
        <v>0.14000000000000001</v>
      </c>
      <c r="M20" t="s">
        <v>19</v>
      </c>
      <c r="N20" s="6"/>
    </row>
    <row r="21" spans="1:15" s="7" customFormat="1" x14ac:dyDescent="0.25">
      <c r="A21" s="7" t="s">
        <v>418</v>
      </c>
      <c r="B21" s="7" t="s">
        <v>26</v>
      </c>
      <c r="K21" s="7" t="s">
        <v>18</v>
      </c>
      <c r="L21" s="52">
        <v>0.1</v>
      </c>
      <c r="M21" s="7" t="s">
        <v>19</v>
      </c>
    </row>
    <row r="22" spans="1:15" x14ac:dyDescent="0.25">
      <c r="A22" s="4" t="s">
        <v>11</v>
      </c>
      <c r="B22" s="4"/>
      <c r="C22" s="4"/>
      <c r="D22" s="4"/>
      <c r="E22" s="4"/>
      <c r="F22" s="4"/>
      <c r="G22" s="4"/>
      <c r="H22" s="4"/>
      <c r="I22" s="4"/>
      <c r="J22" s="4"/>
      <c r="K22" s="5"/>
      <c r="L22" s="5"/>
      <c r="M22" s="5"/>
      <c r="N22" s="5"/>
      <c r="O22" s="5"/>
    </row>
    <row r="23" spans="1:15" x14ac:dyDescent="0.25">
      <c r="A23" s="17" t="s">
        <v>99</v>
      </c>
      <c r="B23" t="s">
        <v>103</v>
      </c>
      <c r="K23" t="s">
        <v>18</v>
      </c>
      <c r="L23">
        <v>108.1</v>
      </c>
      <c r="M23" t="s">
        <v>19</v>
      </c>
    </row>
    <row r="24" spans="1:15" x14ac:dyDescent="0.25">
      <c r="A24" s="17" t="s">
        <v>100</v>
      </c>
      <c r="B24" t="s">
        <v>103</v>
      </c>
      <c r="K24" t="s">
        <v>18</v>
      </c>
      <c r="L24">
        <v>24.1</v>
      </c>
      <c r="M24" t="s">
        <v>19</v>
      </c>
    </row>
    <row r="25" spans="1:15" x14ac:dyDescent="0.25">
      <c r="A25" s="17" t="s">
        <v>209</v>
      </c>
      <c r="B25" t="s">
        <v>103</v>
      </c>
      <c r="K25" t="s">
        <v>18</v>
      </c>
      <c r="L25">
        <v>0.9</v>
      </c>
      <c r="M25" t="s">
        <v>19</v>
      </c>
      <c r="N25" t="s">
        <v>102</v>
      </c>
    </row>
    <row r="26" spans="1:15" x14ac:dyDescent="0.25">
      <c r="A26" s="17" t="s">
        <v>101</v>
      </c>
      <c r="B26" t="s">
        <v>103</v>
      </c>
      <c r="K26" t="s">
        <v>18</v>
      </c>
      <c r="L26">
        <v>0.3</v>
      </c>
      <c r="M26" t="s">
        <v>19</v>
      </c>
    </row>
    <row r="27" spans="1:15" x14ac:dyDescent="0.25">
      <c r="A27" s="4" t="s">
        <v>251</v>
      </c>
      <c r="B27" s="4"/>
      <c r="C27" s="4"/>
      <c r="D27" s="4"/>
      <c r="E27" s="4"/>
      <c r="F27" s="4"/>
      <c r="G27" s="4"/>
      <c r="H27" s="4"/>
      <c r="I27" s="4"/>
      <c r="J27" s="4"/>
      <c r="K27" s="5"/>
      <c r="L27" s="5"/>
      <c r="M27" s="5"/>
      <c r="N27" s="5"/>
      <c r="O27" s="5"/>
    </row>
    <row r="28" spans="1:15" x14ac:dyDescent="0.25">
      <c r="A28" s="17" t="s">
        <v>135</v>
      </c>
      <c r="B28" t="s">
        <v>108</v>
      </c>
      <c r="K28" t="s">
        <v>18</v>
      </c>
      <c r="L28">
        <v>25</v>
      </c>
      <c r="M28" t="s">
        <v>19</v>
      </c>
    </row>
    <row r="29" spans="1:15" x14ac:dyDescent="0.25">
      <c r="A29" s="7" t="s">
        <v>382</v>
      </c>
      <c r="B29" s="7" t="s">
        <v>108</v>
      </c>
      <c r="C29" s="7"/>
      <c r="D29" s="7"/>
      <c r="E29" s="7"/>
      <c r="F29" s="7"/>
      <c r="G29" s="7"/>
      <c r="H29" s="7"/>
      <c r="I29" s="7"/>
      <c r="J29" s="7"/>
      <c r="K29" s="7" t="s">
        <v>18</v>
      </c>
      <c r="L29" s="7">
        <v>3.6</v>
      </c>
      <c r="M29" s="7" t="s">
        <v>19</v>
      </c>
    </row>
    <row r="30" spans="1:15" x14ac:dyDescent="0.25">
      <c r="A30" s="17" t="s">
        <v>141</v>
      </c>
      <c r="B30" t="s">
        <v>108</v>
      </c>
      <c r="K30" t="s">
        <v>18</v>
      </c>
      <c r="L30">
        <v>19.3</v>
      </c>
      <c r="M30" t="s">
        <v>19</v>
      </c>
    </row>
    <row r="31" spans="1:15" x14ac:dyDescent="0.25">
      <c r="A31" s="17" t="s">
        <v>137</v>
      </c>
      <c r="B31" t="s">
        <v>108</v>
      </c>
      <c r="K31" t="s">
        <v>18</v>
      </c>
      <c r="L31">
        <v>14.6</v>
      </c>
      <c r="M31" t="s">
        <v>19</v>
      </c>
    </row>
    <row r="32" spans="1:15" x14ac:dyDescent="0.25">
      <c r="A32" s="17" t="s">
        <v>138</v>
      </c>
      <c r="B32" t="s">
        <v>108</v>
      </c>
      <c r="K32" t="s">
        <v>18</v>
      </c>
      <c r="L32">
        <v>11.3</v>
      </c>
      <c r="M32" t="s">
        <v>19</v>
      </c>
    </row>
    <row r="33" spans="1:15" x14ac:dyDescent="0.25">
      <c r="A33" s="17" t="s">
        <v>139</v>
      </c>
      <c r="B33" t="s">
        <v>108</v>
      </c>
      <c r="K33" t="s">
        <v>18</v>
      </c>
      <c r="L33">
        <v>3.8</v>
      </c>
      <c r="M33" t="s">
        <v>19</v>
      </c>
    </row>
    <row r="34" spans="1:15" x14ac:dyDescent="0.25">
      <c r="A34" s="17" t="s">
        <v>140</v>
      </c>
      <c r="B34" t="s">
        <v>108</v>
      </c>
      <c r="K34" t="s">
        <v>18</v>
      </c>
      <c r="L34">
        <v>3.5</v>
      </c>
      <c r="M34" t="s">
        <v>19</v>
      </c>
    </row>
    <row r="35" spans="1:15" x14ac:dyDescent="0.25">
      <c r="A35" s="17" t="s">
        <v>107</v>
      </c>
      <c r="B35" t="s">
        <v>108</v>
      </c>
      <c r="K35" t="s">
        <v>18</v>
      </c>
      <c r="L35">
        <v>37</v>
      </c>
      <c r="M35" t="s">
        <v>19</v>
      </c>
    </row>
    <row r="36" spans="1:15" x14ac:dyDescent="0.25">
      <c r="A36" s="17" t="s">
        <v>110</v>
      </c>
      <c r="B36" t="s">
        <v>108</v>
      </c>
      <c r="K36" t="s">
        <v>18</v>
      </c>
      <c r="L36">
        <v>14.3</v>
      </c>
      <c r="M36" t="s">
        <v>19</v>
      </c>
    </row>
    <row r="37" spans="1:15" x14ac:dyDescent="0.25">
      <c r="A37" s="17" t="s">
        <v>249</v>
      </c>
      <c r="B37" t="s">
        <v>108</v>
      </c>
      <c r="K37" t="s">
        <v>18</v>
      </c>
      <c r="L37">
        <v>2.8</v>
      </c>
      <c r="M37" t="s">
        <v>19</v>
      </c>
    </row>
    <row r="38" spans="1:15" x14ac:dyDescent="0.25">
      <c r="A38" s="17" t="s">
        <v>148</v>
      </c>
      <c r="B38" t="s">
        <v>108</v>
      </c>
      <c r="K38" t="s">
        <v>18</v>
      </c>
      <c r="L38" s="17">
        <f>0.3+0+0.1+0.6+6.6+0.4+3.4</f>
        <v>11.4</v>
      </c>
      <c r="M38" t="s">
        <v>19</v>
      </c>
      <c r="N38" t="s">
        <v>250</v>
      </c>
    </row>
    <row r="39" spans="1:15" x14ac:dyDescent="0.25">
      <c r="A39" s="17"/>
      <c r="L39" s="6"/>
    </row>
    <row r="40" spans="1:15" x14ac:dyDescent="0.25">
      <c r="A40" s="4" t="s">
        <v>253</v>
      </c>
      <c r="B40" s="4"/>
      <c r="C40" s="4"/>
      <c r="D40" s="4"/>
      <c r="E40" s="4"/>
      <c r="F40" s="4"/>
      <c r="G40" s="4"/>
      <c r="H40" s="4"/>
      <c r="I40" s="4"/>
      <c r="J40" s="4"/>
      <c r="K40" s="5"/>
      <c r="L40" s="5"/>
      <c r="M40" s="5"/>
      <c r="N40" s="5"/>
      <c r="O40" s="5"/>
    </row>
    <row r="41" spans="1:15" x14ac:dyDescent="0.25">
      <c r="A41" s="17" t="s">
        <v>241</v>
      </c>
      <c r="B41" t="s">
        <v>244</v>
      </c>
      <c r="K41" t="s">
        <v>18</v>
      </c>
      <c r="L41" s="17">
        <v>12.9</v>
      </c>
      <c r="M41" t="s">
        <v>19</v>
      </c>
    </row>
    <row r="42" spans="1:15" x14ac:dyDescent="0.25">
      <c r="A42" s="17" t="s">
        <v>242</v>
      </c>
      <c r="B42" t="s">
        <v>244</v>
      </c>
      <c r="K42" t="s">
        <v>18</v>
      </c>
      <c r="L42" s="17">
        <v>2.1</v>
      </c>
      <c r="M42" t="s">
        <v>19</v>
      </c>
    </row>
    <row r="43" spans="1:15" x14ac:dyDescent="0.25">
      <c r="A43" s="17" t="s">
        <v>243</v>
      </c>
      <c r="B43" t="s">
        <v>244</v>
      </c>
      <c r="K43" t="s">
        <v>18</v>
      </c>
      <c r="L43" s="17">
        <v>1.8</v>
      </c>
      <c r="M43" t="s">
        <v>19</v>
      </c>
    </row>
    <row r="44" spans="1:15" x14ac:dyDescent="0.25">
      <c r="A44" s="17" t="s">
        <v>245</v>
      </c>
      <c r="B44" t="s">
        <v>244</v>
      </c>
      <c r="K44" t="s">
        <v>18</v>
      </c>
      <c r="L44" s="17">
        <v>5</v>
      </c>
      <c r="M44" t="s">
        <v>19</v>
      </c>
    </row>
    <row r="45" spans="1:15" x14ac:dyDescent="0.25">
      <c r="A45" s="17" t="s">
        <v>254</v>
      </c>
      <c r="B45" t="s">
        <v>244</v>
      </c>
      <c r="K45" t="s">
        <v>18</v>
      </c>
      <c r="L45" s="29">
        <f>0.8+0.3/0.35+0.3</f>
        <v>1.9571428571428573</v>
      </c>
      <c r="M45" t="s">
        <v>19</v>
      </c>
      <c r="N45" t="s">
        <v>258</v>
      </c>
    </row>
    <row r="46" spans="1:15" x14ac:dyDescent="0.25">
      <c r="A46" s="17" t="s">
        <v>255</v>
      </c>
      <c r="B46" t="s">
        <v>244</v>
      </c>
      <c r="K46" t="s">
        <v>18</v>
      </c>
      <c r="L46" s="17">
        <v>4.9000000000000004</v>
      </c>
      <c r="M46" t="s">
        <v>19</v>
      </c>
    </row>
    <row r="47" spans="1:15" x14ac:dyDescent="0.25">
      <c r="A47" s="17" t="s">
        <v>261</v>
      </c>
      <c r="B47" t="s">
        <v>244</v>
      </c>
      <c r="C47" s="9"/>
      <c r="D47" s="9"/>
      <c r="K47" t="s">
        <v>18</v>
      </c>
      <c r="L47" s="6">
        <v>0.2</v>
      </c>
      <c r="M47" t="s">
        <v>19</v>
      </c>
      <c r="N47" s="6" t="s">
        <v>264</v>
      </c>
    </row>
    <row r="48" spans="1:15" x14ac:dyDescent="0.25">
      <c r="A48" s="17" t="s">
        <v>256</v>
      </c>
      <c r="B48" t="s">
        <v>244</v>
      </c>
      <c r="K48" t="s">
        <v>18</v>
      </c>
      <c r="L48" s="29">
        <f>0.5</f>
        <v>0.5</v>
      </c>
      <c r="M48" t="s">
        <v>19</v>
      </c>
      <c r="N48" t="s">
        <v>257</v>
      </c>
    </row>
    <row r="49" spans="1:15" x14ac:dyDescent="0.25">
      <c r="A49" s="4" t="s">
        <v>14</v>
      </c>
      <c r="B49" s="4"/>
      <c r="C49" s="4"/>
      <c r="D49" s="4"/>
      <c r="E49" s="4"/>
      <c r="F49" s="4"/>
      <c r="G49" s="4"/>
      <c r="H49" s="4"/>
      <c r="I49" s="4"/>
      <c r="J49" s="4"/>
      <c r="K49" s="5"/>
      <c r="L49" s="5"/>
      <c r="M49" s="5"/>
      <c r="N49" s="5"/>
      <c r="O49" s="5"/>
    </row>
    <row r="50" spans="1:15" x14ac:dyDescent="0.25">
      <c r="A50" s="6" t="s">
        <v>62</v>
      </c>
      <c r="B50" t="s">
        <v>81</v>
      </c>
      <c r="K50" t="s">
        <v>18</v>
      </c>
      <c r="L50" s="6">
        <f>29.5+8.5</f>
        <v>38</v>
      </c>
      <c r="M50" t="s">
        <v>19</v>
      </c>
      <c r="N50" s="6" t="s">
        <v>84</v>
      </c>
    </row>
    <row r="51" spans="1:15" x14ac:dyDescent="0.25">
      <c r="A51" s="6" t="s">
        <v>61</v>
      </c>
      <c r="B51" t="s">
        <v>81</v>
      </c>
      <c r="K51" t="s">
        <v>18</v>
      </c>
      <c r="L51" s="6">
        <f>80.7+14.4+0.3*5</f>
        <v>96.600000000000009</v>
      </c>
      <c r="M51" t="s">
        <v>19</v>
      </c>
      <c r="N51" s="6" t="s">
        <v>84</v>
      </c>
    </row>
    <row r="52" spans="1:15" x14ac:dyDescent="0.25">
      <c r="A52" s="6" t="s">
        <v>63</v>
      </c>
      <c r="B52" t="s">
        <v>81</v>
      </c>
      <c r="K52" t="s">
        <v>18</v>
      </c>
      <c r="L52" s="6">
        <f>45.6+44.1+1.3*5+1.8*10</f>
        <v>114.2</v>
      </c>
      <c r="M52" t="s">
        <v>19</v>
      </c>
      <c r="N52" s="6" t="s">
        <v>84</v>
      </c>
    </row>
    <row r="53" spans="1:15" x14ac:dyDescent="0.25">
      <c r="A53" s="6" t="s">
        <v>64</v>
      </c>
      <c r="B53" t="s">
        <v>81</v>
      </c>
      <c r="K53" t="s">
        <v>18</v>
      </c>
      <c r="L53">
        <v>46.8</v>
      </c>
      <c r="M53" t="s">
        <v>19</v>
      </c>
    </row>
    <row r="54" spans="1:15" x14ac:dyDescent="0.25">
      <c r="A54" s="6" t="s">
        <v>68</v>
      </c>
      <c r="B54" t="s">
        <v>81</v>
      </c>
      <c r="K54" t="s">
        <v>18</v>
      </c>
      <c r="L54">
        <v>8.1</v>
      </c>
      <c r="M54" t="s">
        <v>19</v>
      </c>
    </row>
    <row r="55" spans="1:15" x14ac:dyDescent="0.25">
      <c r="A55" s="6" t="s">
        <v>69</v>
      </c>
      <c r="B55" t="s">
        <v>81</v>
      </c>
      <c r="K55" t="s">
        <v>18</v>
      </c>
      <c r="L55">
        <v>1</v>
      </c>
      <c r="M55" t="s">
        <v>19</v>
      </c>
    </row>
    <row r="56" spans="1:15" x14ac:dyDescent="0.25">
      <c r="A56" s="6" t="s">
        <v>66</v>
      </c>
      <c r="B56" t="s">
        <v>81</v>
      </c>
      <c r="K56" t="s">
        <v>18</v>
      </c>
      <c r="L56">
        <v>6.6</v>
      </c>
      <c r="M56" t="s">
        <v>19</v>
      </c>
    </row>
    <row r="57" spans="1:15" x14ac:dyDescent="0.25">
      <c r="A57" s="6" t="s">
        <v>67</v>
      </c>
      <c r="B57" t="s">
        <v>81</v>
      </c>
      <c r="K57" t="s">
        <v>18</v>
      </c>
      <c r="L57">
        <v>8.3000000000000007</v>
      </c>
      <c r="M57" t="s">
        <v>19</v>
      </c>
    </row>
    <row r="58" spans="1:15" x14ac:dyDescent="0.25">
      <c r="A58" s="6" t="s">
        <v>65</v>
      </c>
      <c r="B58" t="s">
        <v>81</v>
      </c>
      <c r="K58" t="s">
        <v>18</v>
      </c>
      <c r="L58">
        <v>15.3</v>
      </c>
      <c r="M58" t="s">
        <v>19</v>
      </c>
    </row>
    <row r="59" spans="1:15" x14ac:dyDescent="0.25">
      <c r="A59" s="7" t="s">
        <v>384</v>
      </c>
      <c r="B59" s="7" t="s">
        <v>81</v>
      </c>
      <c r="C59" s="7"/>
      <c r="D59" s="7"/>
      <c r="E59" s="7"/>
      <c r="F59" s="7"/>
      <c r="G59" s="7"/>
      <c r="H59" s="7"/>
      <c r="I59" s="7"/>
      <c r="J59" s="7"/>
      <c r="K59" s="7" t="s">
        <v>18</v>
      </c>
      <c r="L59" s="7">
        <v>0</v>
      </c>
      <c r="M59" s="7" t="s">
        <v>19</v>
      </c>
    </row>
    <row r="60" spans="1:15" x14ac:dyDescent="0.25">
      <c r="A60" s="4" t="s">
        <v>23</v>
      </c>
      <c r="B60" s="4"/>
      <c r="C60" s="4"/>
      <c r="D60" s="4"/>
      <c r="E60" s="4"/>
      <c r="F60" s="4"/>
      <c r="G60" s="4"/>
      <c r="H60" s="4"/>
      <c r="I60" s="4"/>
      <c r="J60" s="4"/>
      <c r="K60" s="5"/>
      <c r="L60" s="5"/>
      <c r="M60" s="5"/>
      <c r="N60" s="5"/>
      <c r="O60" s="5"/>
    </row>
    <row r="61" spans="1:15" x14ac:dyDescent="0.25">
      <c r="A61" t="s">
        <v>54</v>
      </c>
      <c r="B61" t="s">
        <v>55</v>
      </c>
      <c r="K61" t="s">
        <v>18</v>
      </c>
      <c r="L61">
        <v>60.6</v>
      </c>
      <c r="M61" t="s">
        <v>19</v>
      </c>
    </row>
    <row r="62" spans="1:15" x14ac:dyDescent="0.25">
      <c r="A62" t="s">
        <v>95</v>
      </c>
      <c r="B62" t="s">
        <v>55</v>
      </c>
      <c r="K62" t="s">
        <v>18</v>
      </c>
      <c r="L62">
        <v>39.9</v>
      </c>
      <c r="M62" t="s">
        <v>19</v>
      </c>
    </row>
    <row r="63" spans="1:15" x14ac:dyDescent="0.25">
      <c r="A63" t="s">
        <v>346</v>
      </c>
      <c r="B63" t="s">
        <v>55</v>
      </c>
      <c r="K63" t="s">
        <v>18</v>
      </c>
      <c r="L63" s="6">
        <v>2.1</v>
      </c>
      <c r="M63" t="s">
        <v>19</v>
      </c>
      <c r="N63" t="s">
        <v>372</v>
      </c>
    </row>
    <row r="64" spans="1:15" x14ac:dyDescent="0.25">
      <c r="A64" t="s">
        <v>267</v>
      </c>
      <c r="B64" t="s">
        <v>55</v>
      </c>
      <c r="K64" t="s">
        <v>18</v>
      </c>
      <c r="L64">
        <v>49.5</v>
      </c>
      <c r="M64" t="s">
        <v>19</v>
      </c>
    </row>
    <row r="65" spans="1:15" x14ac:dyDescent="0.25">
      <c r="A65" s="4" t="s">
        <v>15</v>
      </c>
      <c r="B65" s="4"/>
      <c r="C65" s="4"/>
      <c r="D65" s="4"/>
      <c r="E65" s="4"/>
      <c r="F65" s="4"/>
      <c r="G65" s="4"/>
      <c r="H65" s="4"/>
      <c r="I65" s="4"/>
      <c r="J65" s="4"/>
      <c r="K65" s="5"/>
      <c r="L65" s="5"/>
      <c r="M65" s="5"/>
      <c r="N65" s="5"/>
      <c r="O65" s="5"/>
    </row>
    <row r="66" spans="1:15" x14ac:dyDescent="0.25">
      <c r="A66" t="s">
        <v>15</v>
      </c>
      <c r="B66" t="s">
        <v>325</v>
      </c>
      <c r="K66" t="s">
        <v>18</v>
      </c>
      <c r="L66" s="6">
        <f>29.3+1.6</f>
        <v>30.900000000000002</v>
      </c>
      <c r="M66" t="s">
        <v>19</v>
      </c>
      <c r="N66" s="6" t="s">
        <v>328</v>
      </c>
    </row>
    <row r="67" spans="1:15" x14ac:dyDescent="0.25">
      <c r="A67" s="7" t="s">
        <v>385</v>
      </c>
      <c r="B67" s="7" t="s">
        <v>325</v>
      </c>
      <c r="C67" s="7"/>
      <c r="D67" s="7"/>
      <c r="E67" s="7"/>
      <c r="F67" s="7"/>
      <c r="G67" s="7"/>
      <c r="H67" s="7"/>
      <c r="I67" s="7"/>
      <c r="J67" s="7"/>
      <c r="K67" s="7" t="s">
        <v>18</v>
      </c>
      <c r="L67" s="7">
        <v>0</v>
      </c>
      <c r="M67" s="7" t="s">
        <v>19</v>
      </c>
      <c r="N67" s="7" t="s">
        <v>386</v>
      </c>
    </row>
    <row r="68" spans="1:15" x14ac:dyDescent="0.25">
      <c r="A68" s="4" t="s">
        <v>16</v>
      </c>
      <c r="B68" s="4"/>
      <c r="C68" s="4"/>
      <c r="D68" s="4"/>
      <c r="E68" s="4"/>
      <c r="F68" s="4"/>
      <c r="G68" s="4"/>
      <c r="H68" s="4"/>
      <c r="I68" s="4"/>
      <c r="J68" s="4"/>
      <c r="K68" s="5"/>
      <c r="L68" s="5"/>
      <c r="M68" s="5"/>
      <c r="N68" s="5"/>
      <c r="O68" s="5"/>
    </row>
    <row r="69" spans="1:15" x14ac:dyDescent="0.25">
      <c r="A69" s="4" t="s">
        <v>20</v>
      </c>
      <c r="B69" s="4"/>
      <c r="C69" s="4"/>
      <c r="D69" s="4"/>
      <c r="E69" s="4"/>
      <c r="F69" s="4"/>
      <c r="G69" s="4"/>
      <c r="H69" s="4"/>
      <c r="I69" s="4"/>
      <c r="J69" s="4"/>
      <c r="K69" s="5"/>
      <c r="L69" s="5"/>
      <c r="M69" s="5"/>
      <c r="N69" s="5"/>
      <c r="O69" s="5"/>
    </row>
    <row r="70" spans="1:15" x14ac:dyDescent="0.25">
      <c r="A70" t="s">
        <v>202</v>
      </c>
      <c r="B70" t="s">
        <v>207</v>
      </c>
      <c r="K70" t="s">
        <v>18</v>
      </c>
      <c r="L70">
        <v>4.5</v>
      </c>
      <c r="M70" t="s">
        <v>19</v>
      </c>
    </row>
    <row r="71" spans="1:15" x14ac:dyDescent="0.25">
      <c r="A71" s="26" t="s">
        <v>203</v>
      </c>
      <c r="B71" t="s">
        <v>207</v>
      </c>
      <c r="K71" t="s">
        <v>18</v>
      </c>
      <c r="L71" s="6">
        <v>0</v>
      </c>
      <c r="M71" t="s">
        <v>19</v>
      </c>
    </row>
    <row r="72" spans="1:15" x14ac:dyDescent="0.25">
      <c r="A72" s="26" t="s">
        <v>204</v>
      </c>
      <c r="B72" t="s">
        <v>207</v>
      </c>
      <c r="K72" t="s">
        <v>18</v>
      </c>
      <c r="L72">
        <v>0.7</v>
      </c>
      <c r="M72" t="s">
        <v>19</v>
      </c>
    </row>
    <row r="73" spans="1:15" x14ac:dyDescent="0.25">
      <c r="A73" s="26" t="s">
        <v>205</v>
      </c>
      <c r="B73" t="s">
        <v>207</v>
      </c>
      <c r="K73" t="s">
        <v>18</v>
      </c>
      <c r="L73">
        <v>0.3</v>
      </c>
      <c r="M73" t="s">
        <v>19</v>
      </c>
    </row>
    <row r="74" spans="1:15" x14ac:dyDescent="0.25">
      <c r="A74" s="7" t="s">
        <v>387</v>
      </c>
      <c r="B74" s="7" t="s">
        <v>207</v>
      </c>
      <c r="C74" s="7"/>
      <c r="D74" s="7"/>
      <c r="E74" s="7"/>
      <c r="F74" s="7"/>
      <c r="G74" s="7"/>
      <c r="H74" s="7"/>
      <c r="I74" s="7"/>
      <c r="J74" s="7"/>
      <c r="K74" s="7" t="s">
        <v>18</v>
      </c>
      <c r="L74" s="7">
        <v>0</v>
      </c>
      <c r="M74" s="7" t="s">
        <v>19</v>
      </c>
      <c r="N74" s="7"/>
    </row>
    <row r="75" spans="1:15" x14ac:dyDescent="0.25">
      <c r="A75" s="7" t="s">
        <v>388</v>
      </c>
      <c r="B75" s="7" t="s">
        <v>207</v>
      </c>
      <c r="C75" s="7"/>
      <c r="D75" s="7"/>
      <c r="E75" s="7"/>
      <c r="F75" s="7"/>
      <c r="G75" s="7"/>
      <c r="H75" s="7"/>
      <c r="I75" s="7"/>
      <c r="J75" s="7"/>
      <c r="K75" s="7" t="s">
        <v>18</v>
      </c>
      <c r="L75" s="7">
        <v>0</v>
      </c>
      <c r="M75" s="7" t="s">
        <v>19</v>
      </c>
      <c r="N75" s="7"/>
    </row>
    <row r="76" spans="1:15" x14ac:dyDescent="0.25">
      <c r="A76" s="26" t="s">
        <v>206</v>
      </c>
      <c r="B76" t="s">
        <v>207</v>
      </c>
      <c r="K76" t="s">
        <v>18</v>
      </c>
      <c r="L76">
        <v>0.6</v>
      </c>
      <c r="M76" t="s">
        <v>19</v>
      </c>
    </row>
    <row r="77" spans="1:15" x14ac:dyDescent="0.25">
      <c r="A77" s="4" t="s">
        <v>21</v>
      </c>
      <c r="B77" s="4"/>
      <c r="C77" s="4"/>
      <c r="D77" s="4"/>
      <c r="E77" s="4"/>
      <c r="F77" s="4"/>
      <c r="G77" s="4"/>
      <c r="H77" s="4"/>
      <c r="I77" s="4"/>
      <c r="J77" s="4"/>
      <c r="K77" s="5"/>
      <c r="L77" s="5"/>
      <c r="M77" s="5"/>
      <c r="N77" s="5"/>
      <c r="O77" s="5"/>
    </row>
    <row r="78" spans="1:15" s="44" customFormat="1" x14ac:dyDescent="0.25">
      <c r="A78" s="48" t="s">
        <v>389</v>
      </c>
      <c r="B78" s="48" t="s">
        <v>390</v>
      </c>
      <c r="C78" s="49"/>
      <c r="D78" s="49"/>
      <c r="E78" s="49"/>
      <c r="F78" s="49"/>
      <c r="G78" s="49"/>
      <c r="H78" s="49"/>
      <c r="I78" s="49"/>
      <c r="J78" s="49"/>
      <c r="K78" s="7" t="s">
        <v>18</v>
      </c>
      <c r="L78" s="48">
        <v>0.2</v>
      </c>
      <c r="M78" s="48" t="s">
        <v>19</v>
      </c>
    </row>
    <row r="79" spans="1:15" s="44" customFormat="1" x14ac:dyDescent="0.25">
      <c r="A79" s="48" t="s">
        <v>391</v>
      </c>
      <c r="B79" s="48" t="s">
        <v>390</v>
      </c>
      <c r="C79" s="49"/>
      <c r="D79" s="49"/>
      <c r="E79" s="49"/>
      <c r="F79" s="49"/>
      <c r="G79" s="49"/>
      <c r="H79" s="49"/>
      <c r="I79" s="49"/>
      <c r="J79" s="49"/>
      <c r="K79" s="7" t="s">
        <v>18</v>
      </c>
      <c r="L79" s="48">
        <v>0.1</v>
      </c>
      <c r="M79" s="48" t="s">
        <v>19</v>
      </c>
    </row>
    <row r="80" spans="1:15" s="44" customFormat="1" x14ac:dyDescent="0.25">
      <c r="A80" s="50" t="s">
        <v>392</v>
      </c>
      <c r="B80" s="51"/>
      <c r="C80" s="50"/>
      <c r="D80" s="50"/>
      <c r="E80" s="50"/>
      <c r="F80" s="50"/>
      <c r="G80" s="50"/>
      <c r="H80" s="50"/>
      <c r="I80" s="50"/>
      <c r="J80" s="50"/>
      <c r="K80" s="51"/>
      <c r="L80" s="51"/>
      <c r="M80" s="51"/>
      <c r="N80" s="5"/>
      <c r="O80" s="5"/>
    </row>
    <row r="81" spans="1:15" s="44" customFormat="1" x14ac:dyDescent="0.25">
      <c r="A81" s="48" t="s">
        <v>393</v>
      </c>
      <c r="B81" s="48" t="s">
        <v>394</v>
      </c>
      <c r="C81" s="49"/>
      <c r="D81" s="49"/>
      <c r="E81" s="49"/>
      <c r="F81" s="49"/>
      <c r="G81" s="49"/>
      <c r="H81" s="49"/>
      <c r="I81" s="49"/>
      <c r="J81" s="49"/>
      <c r="K81" s="7" t="s">
        <v>18</v>
      </c>
      <c r="L81" s="48">
        <v>0</v>
      </c>
      <c r="M81" s="48" t="s">
        <v>19</v>
      </c>
    </row>
    <row r="82" spans="1:15" x14ac:dyDescent="0.25">
      <c r="A82" s="4" t="s">
        <v>22</v>
      </c>
      <c r="B82" s="4"/>
      <c r="C82" s="4"/>
      <c r="D82" s="4"/>
      <c r="E82" s="4"/>
      <c r="F82" s="4"/>
      <c r="G82" s="4"/>
      <c r="H82" s="4"/>
      <c r="I82" s="4"/>
      <c r="J82" s="4"/>
      <c r="K82" s="5"/>
      <c r="L82" s="5"/>
      <c r="M82" s="5"/>
      <c r="N82" s="5"/>
      <c r="O82" s="5"/>
    </row>
    <row r="83" spans="1:15" x14ac:dyDescent="0.25">
      <c r="A83" t="s">
        <v>126</v>
      </c>
      <c r="B83" t="s">
        <v>127</v>
      </c>
      <c r="K83" t="s">
        <v>18</v>
      </c>
      <c r="L83" s="13">
        <f>6+4.4/3+13*0.6</f>
        <v>15.266666666666666</v>
      </c>
      <c r="M83" t="s">
        <v>19</v>
      </c>
      <c r="N83" s="6" t="s">
        <v>208</v>
      </c>
    </row>
    <row r="84" spans="1:15" s="7" customFormat="1" x14ac:dyDescent="0.25">
      <c r="A84" s="7" t="s">
        <v>395</v>
      </c>
      <c r="B84" s="7" t="s">
        <v>127</v>
      </c>
      <c r="K84" s="7" t="s">
        <v>18</v>
      </c>
      <c r="L84" s="52">
        <v>0</v>
      </c>
      <c r="M84" s="7" t="s">
        <v>19</v>
      </c>
      <c r="N84" s="7" t="s">
        <v>396</v>
      </c>
    </row>
    <row r="85" spans="1:15" x14ac:dyDescent="0.25">
      <c r="A85" t="s">
        <v>133</v>
      </c>
      <c r="B85" t="s">
        <v>127</v>
      </c>
      <c r="K85" t="s">
        <v>18</v>
      </c>
      <c r="L85" s="22">
        <f>8.2+4.4/3</f>
        <v>9.6666666666666661</v>
      </c>
      <c r="M85" t="s">
        <v>19</v>
      </c>
      <c r="N85" t="s">
        <v>132</v>
      </c>
    </row>
    <row r="86" spans="1:15" x14ac:dyDescent="0.25">
      <c r="A86" t="s">
        <v>134</v>
      </c>
      <c r="B86" t="s">
        <v>127</v>
      </c>
      <c r="K86" t="s">
        <v>18</v>
      </c>
      <c r="L86" s="22">
        <f>2.8+4.4/3</f>
        <v>4.2666666666666666</v>
      </c>
      <c r="M86" t="s">
        <v>19</v>
      </c>
      <c r="N86" t="s">
        <v>132</v>
      </c>
    </row>
    <row r="87" spans="1:15" x14ac:dyDescent="0.25">
      <c r="A87" s="4" t="s">
        <v>24</v>
      </c>
      <c r="B87" s="4"/>
      <c r="C87" s="4"/>
      <c r="D87" s="4"/>
      <c r="E87" s="4"/>
      <c r="F87" s="4"/>
      <c r="G87" s="4"/>
      <c r="H87" s="4"/>
      <c r="I87" s="4"/>
      <c r="J87" s="4"/>
      <c r="K87" s="5"/>
      <c r="L87" s="5"/>
      <c r="M87" s="5"/>
      <c r="N87" s="5"/>
      <c r="O87" s="5"/>
    </row>
    <row r="88" spans="1:15" x14ac:dyDescent="0.25">
      <c r="A88" t="s">
        <v>217</v>
      </c>
      <c r="B88" t="s">
        <v>220</v>
      </c>
      <c r="K88" t="s">
        <v>18</v>
      </c>
      <c r="L88">
        <v>79.3</v>
      </c>
      <c r="M88" t="s">
        <v>19</v>
      </c>
    </row>
    <row r="89" spans="1:15" x14ac:dyDescent="0.25">
      <c r="A89" t="s">
        <v>219</v>
      </c>
      <c r="B89" t="s">
        <v>220</v>
      </c>
      <c r="K89" t="s">
        <v>18</v>
      </c>
      <c r="L89">
        <v>10</v>
      </c>
      <c r="M89" t="s">
        <v>19</v>
      </c>
      <c r="N89" t="s">
        <v>223</v>
      </c>
    </row>
    <row r="90" spans="1:15" x14ac:dyDescent="0.25">
      <c r="A90" t="s">
        <v>218</v>
      </c>
      <c r="B90" t="s">
        <v>220</v>
      </c>
      <c r="K90" t="s">
        <v>18</v>
      </c>
      <c r="L90">
        <v>1</v>
      </c>
      <c r="M90" t="s">
        <v>19</v>
      </c>
    </row>
    <row r="91" spans="1:15" x14ac:dyDescent="0.25">
      <c r="A91" s="4" t="s">
        <v>29</v>
      </c>
      <c r="B91" s="4"/>
      <c r="C91" s="4"/>
      <c r="D91" s="4"/>
      <c r="E91" s="4"/>
      <c r="F91" s="4"/>
      <c r="G91" s="4"/>
      <c r="H91" s="4"/>
      <c r="I91" s="4"/>
      <c r="J91" s="4"/>
      <c r="K91" s="5"/>
      <c r="L91" s="5"/>
      <c r="M91" s="5"/>
      <c r="N91" s="5"/>
      <c r="O91" s="5"/>
    </row>
    <row r="92" spans="1:15" x14ac:dyDescent="0.25">
      <c r="A92" t="s">
        <v>227</v>
      </c>
      <c r="B92" t="s">
        <v>112</v>
      </c>
      <c r="K92" t="s">
        <v>18</v>
      </c>
      <c r="L92">
        <v>67.400000000000006</v>
      </c>
      <c r="M92" t="s">
        <v>19</v>
      </c>
    </row>
    <row r="93" spans="1:15" x14ac:dyDescent="0.25">
      <c r="A93" t="s">
        <v>230</v>
      </c>
      <c r="B93" t="s">
        <v>112</v>
      </c>
      <c r="K93" t="s">
        <v>18</v>
      </c>
      <c r="L93">
        <v>125.5</v>
      </c>
      <c r="M93" t="s">
        <v>19</v>
      </c>
    </row>
    <row r="94" spans="1:15" x14ac:dyDescent="0.25">
      <c r="A94" t="s">
        <v>228</v>
      </c>
      <c r="B94" t="s">
        <v>112</v>
      </c>
      <c r="K94" t="s">
        <v>18</v>
      </c>
      <c r="L94">
        <v>6.9</v>
      </c>
      <c r="M94" t="s">
        <v>19</v>
      </c>
      <c r="N94" t="s">
        <v>229</v>
      </c>
    </row>
    <row r="95" spans="1:15" x14ac:dyDescent="0.25">
      <c r="A95" t="s">
        <v>231</v>
      </c>
      <c r="B95" t="s">
        <v>112</v>
      </c>
      <c r="K95" t="s">
        <v>18</v>
      </c>
      <c r="L95">
        <v>7.9</v>
      </c>
      <c r="M95" t="s">
        <v>19</v>
      </c>
      <c r="N95" t="s">
        <v>232</v>
      </c>
    </row>
    <row r="96" spans="1:15" x14ac:dyDescent="0.25">
      <c r="A96" s="4" t="s">
        <v>30</v>
      </c>
      <c r="B96" s="4"/>
      <c r="C96" s="4"/>
      <c r="D96" s="4"/>
      <c r="E96" s="4"/>
      <c r="F96" s="4"/>
      <c r="G96" s="4"/>
      <c r="H96" s="4"/>
      <c r="I96" s="4"/>
      <c r="J96" s="4"/>
      <c r="K96" s="5"/>
      <c r="L96" s="5"/>
      <c r="M96" s="5"/>
      <c r="N96" s="5"/>
      <c r="O96" s="5"/>
    </row>
    <row r="97" spans="1:15" x14ac:dyDescent="0.25">
      <c r="A97" s="4" t="s">
        <v>31</v>
      </c>
      <c r="B97" s="4"/>
      <c r="C97" s="4"/>
      <c r="D97" s="4"/>
      <c r="E97" s="4"/>
      <c r="F97" s="4"/>
      <c r="G97" s="4"/>
      <c r="H97" s="4"/>
      <c r="I97" s="4"/>
      <c r="J97" s="4"/>
      <c r="K97" s="5"/>
      <c r="L97" s="5"/>
      <c r="M97" s="5"/>
      <c r="N97" s="5"/>
      <c r="O97" s="5"/>
    </row>
    <row r="98" spans="1:15" x14ac:dyDescent="0.25">
      <c r="A98" s="4" t="s">
        <v>32</v>
      </c>
      <c r="B98" s="4"/>
      <c r="C98" s="4"/>
      <c r="D98" s="4"/>
      <c r="E98" s="4"/>
      <c r="F98" s="4"/>
      <c r="G98" s="4"/>
      <c r="H98" s="4"/>
      <c r="I98" s="4"/>
      <c r="J98" s="4"/>
      <c r="K98" s="5"/>
      <c r="L98" s="5"/>
      <c r="M98" s="5"/>
      <c r="N98" s="5"/>
      <c r="O98" s="5"/>
    </row>
    <row r="99" spans="1:15" x14ac:dyDescent="0.25">
      <c r="A99" s="4" t="s">
        <v>33</v>
      </c>
      <c r="B99" s="4"/>
      <c r="C99" s="4"/>
      <c r="D99" s="4"/>
      <c r="E99" s="4"/>
      <c r="F99" s="4"/>
      <c r="G99" s="4"/>
      <c r="H99" s="4"/>
      <c r="I99" s="4"/>
      <c r="J99" s="4"/>
      <c r="K99" s="5"/>
      <c r="L99" s="5"/>
      <c r="M99" s="5"/>
      <c r="N99" s="5"/>
      <c r="O99" s="5"/>
    </row>
    <row r="100" spans="1:15" s="44" customFormat="1" x14ac:dyDescent="0.25">
      <c r="A100" s="48" t="s">
        <v>397</v>
      </c>
      <c r="B100" s="48" t="s">
        <v>398</v>
      </c>
      <c r="C100" s="49"/>
      <c r="D100" s="49"/>
      <c r="E100" s="49"/>
      <c r="F100" s="49"/>
      <c r="G100" s="49"/>
      <c r="H100" s="49"/>
      <c r="I100" s="49"/>
      <c r="J100" s="49"/>
      <c r="K100" s="48" t="s">
        <v>18</v>
      </c>
      <c r="L100" s="48">
        <v>0</v>
      </c>
      <c r="M100" s="48" t="s">
        <v>19</v>
      </c>
    </row>
    <row r="101" spans="1:15" s="44" customFormat="1" x14ac:dyDescent="0.25">
      <c r="A101" s="48" t="s">
        <v>399</v>
      </c>
      <c r="B101" s="48" t="s">
        <v>398</v>
      </c>
      <c r="C101" s="49"/>
      <c r="D101" s="49"/>
      <c r="E101" s="49"/>
      <c r="F101" s="49"/>
      <c r="G101" s="49"/>
      <c r="H101" s="49"/>
      <c r="I101" s="49"/>
      <c r="J101" s="49"/>
      <c r="K101" s="48" t="s">
        <v>18</v>
      </c>
      <c r="L101" s="48">
        <v>0</v>
      </c>
      <c r="M101" s="48" t="s">
        <v>19</v>
      </c>
      <c r="N101" s="48" t="s">
        <v>400</v>
      </c>
    </row>
    <row r="102" spans="1:15" s="44" customFormat="1" x14ac:dyDescent="0.25">
      <c r="A102" s="48" t="s">
        <v>401</v>
      </c>
      <c r="B102" s="48" t="s">
        <v>398</v>
      </c>
      <c r="C102" s="48"/>
      <c r="D102" s="48"/>
      <c r="E102" s="48"/>
      <c r="F102" s="48"/>
      <c r="G102" s="48"/>
      <c r="H102" s="48"/>
      <c r="I102" s="48"/>
      <c r="J102" s="48"/>
      <c r="K102" s="48" t="s">
        <v>18</v>
      </c>
      <c r="L102" s="48">
        <v>0</v>
      </c>
      <c r="M102" s="48" t="s">
        <v>19</v>
      </c>
    </row>
    <row r="103" spans="1:15" x14ac:dyDescent="0.25">
      <c r="A103" s="48" t="s">
        <v>402</v>
      </c>
      <c r="B103" s="48" t="s">
        <v>403</v>
      </c>
      <c r="C103" s="48"/>
      <c r="D103" s="48"/>
      <c r="E103" s="48"/>
      <c r="F103" s="48"/>
      <c r="G103" s="48"/>
      <c r="H103" s="48"/>
      <c r="I103" s="48"/>
      <c r="J103" s="48"/>
      <c r="K103" s="48" t="s">
        <v>18</v>
      </c>
      <c r="L103" s="48">
        <v>0</v>
      </c>
      <c r="M103" s="48" t="s">
        <v>19</v>
      </c>
    </row>
    <row r="104" spans="1:15" x14ac:dyDescent="0.25">
      <c r="A104" s="48" t="s">
        <v>404</v>
      </c>
      <c r="B104" s="48" t="s">
        <v>398</v>
      </c>
      <c r="C104" s="53"/>
      <c r="D104" s="49"/>
      <c r="E104" s="53"/>
      <c r="F104" s="53"/>
      <c r="G104" s="53"/>
      <c r="H104" s="53"/>
      <c r="I104" s="53"/>
      <c r="J104" s="53"/>
      <c r="K104" s="48" t="s">
        <v>18</v>
      </c>
      <c r="L104" s="48">
        <v>0</v>
      </c>
      <c r="M104" s="48" t="s">
        <v>19</v>
      </c>
      <c r="N104" s="54"/>
      <c r="O104" s="54"/>
    </row>
    <row r="105" spans="1:15" x14ac:dyDescent="0.25">
      <c r="A105" s="48" t="s">
        <v>405</v>
      </c>
      <c r="B105" s="48" t="s">
        <v>403</v>
      </c>
      <c r="C105" s="53"/>
      <c r="D105" s="49"/>
      <c r="E105" s="53"/>
      <c r="F105" s="53"/>
      <c r="G105" s="53"/>
      <c r="H105" s="53"/>
      <c r="I105" s="53"/>
      <c r="J105" s="53"/>
      <c r="K105" s="48" t="s">
        <v>18</v>
      </c>
      <c r="L105" s="48">
        <v>0</v>
      </c>
      <c r="M105" s="48" t="s">
        <v>19</v>
      </c>
      <c r="N105" s="54"/>
      <c r="O105" s="54"/>
    </row>
    <row r="106" spans="1:15" x14ac:dyDescent="0.25">
      <c r="A106" s="48" t="s">
        <v>406</v>
      </c>
      <c r="B106" s="48" t="s">
        <v>398</v>
      </c>
      <c r="C106" s="48"/>
      <c r="D106" s="48"/>
      <c r="E106" s="48"/>
      <c r="F106" s="48"/>
      <c r="G106" s="48"/>
      <c r="H106" s="48"/>
      <c r="I106" s="48"/>
      <c r="J106" s="48"/>
      <c r="K106" s="48" t="s">
        <v>18</v>
      </c>
      <c r="L106" s="48">
        <v>0</v>
      </c>
      <c r="M106" s="48" t="s">
        <v>19</v>
      </c>
      <c r="N106" s="54"/>
      <c r="O106" s="54"/>
    </row>
    <row r="107" spans="1:15" x14ac:dyDescent="0.25">
      <c r="A107" s="48" t="s">
        <v>407</v>
      </c>
      <c r="B107" s="48" t="s">
        <v>398</v>
      </c>
      <c r="C107" s="53"/>
      <c r="D107" s="49"/>
      <c r="E107" s="53"/>
      <c r="F107" s="53"/>
      <c r="G107" s="53"/>
      <c r="H107" s="53"/>
      <c r="I107" s="53"/>
      <c r="J107" s="53"/>
      <c r="K107" s="48" t="s">
        <v>18</v>
      </c>
      <c r="L107" s="48">
        <v>0</v>
      </c>
      <c r="M107" s="48" t="s">
        <v>19</v>
      </c>
      <c r="N107" s="54"/>
      <c r="O107" s="54"/>
    </row>
    <row r="108" spans="1:15" x14ac:dyDescent="0.25">
      <c r="A108" s="48" t="s">
        <v>408</v>
      </c>
      <c r="B108" s="48" t="s">
        <v>398</v>
      </c>
      <c r="C108" s="53"/>
      <c r="D108" s="49"/>
      <c r="E108" s="53"/>
      <c r="F108" s="53"/>
      <c r="G108" s="53"/>
      <c r="H108" s="53"/>
      <c r="I108" s="53"/>
      <c r="J108" s="53"/>
      <c r="K108" s="48" t="s">
        <v>18</v>
      </c>
      <c r="L108" s="48">
        <v>0</v>
      </c>
      <c r="M108" s="48" t="s">
        <v>19</v>
      </c>
      <c r="N108" s="54"/>
      <c r="O108" s="54"/>
    </row>
    <row r="109" spans="1:15" x14ac:dyDescent="0.25">
      <c r="A109" s="48" t="s">
        <v>409</v>
      </c>
      <c r="B109" s="48" t="s">
        <v>398</v>
      </c>
      <c r="C109" s="53"/>
      <c r="D109" s="49"/>
      <c r="E109" s="53"/>
      <c r="F109" s="53"/>
      <c r="G109" s="53"/>
      <c r="H109" s="53"/>
      <c r="I109" s="53"/>
      <c r="J109" s="53"/>
      <c r="K109" s="48" t="s">
        <v>18</v>
      </c>
      <c r="L109" s="48">
        <v>0</v>
      </c>
      <c r="M109" s="48" t="s">
        <v>19</v>
      </c>
      <c r="N109" s="54"/>
      <c r="O109" s="54"/>
    </row>
    <row r="110" spans="1:15" x14ac:dyDescent="0.25">
      <c r="A110" s="48" t="s">
        <v>410</v>
      </c>
      <c r="B110" s="48" t="s">
        <v>398</v>
      </c>
      <c r="C110" s="53"/>
      <c r="D110" s="49"/>
      <c r="E110" s="53"/>
      <c r="F110" s="53"/>
      <c r="G110" s="53"/>
      <c r="H110" s="53"/>
      <c r="I110" s="53"/>
      <c r="J110" s="53"/>
      <c r="K110" s="48" t="s">
        <v>18</v>
      </c>
      <c r="L110" s="48">
        <v>0</v>
      </c>
      <c r="M110" s="48" t="s">
        <v>19</v>
      </c>
      <c r="N110" s="54"/>
      <c r="O110" s="54"/>
    </row>
    <row r="111" spans="1:15" x14ac:dyDescent="0.25">
      <c r="A111" s="48" t="s">
        <v>411</v>
      </c>
      <c r="B111" s="48" t="s">
        <v>398</v>
      </c>
      <c r="C111" s="53"/>
      <c r="D111" s="49"/>
      <c r="E111" s="53"/>
      <c r="F111" s="53"/>
      <c r="G111" s="53"/>
      <c r="H111" s="53"/>
      <c r="I111" s="53"/>
      <c r="J111" s="53"/>
      <c r="K111" s="48" t="s">
        <v>18</v>
      </c>
      <c r="L111" s="48">
        <v>0</v>
      </c>
      <c r="M111" s="48" t="s">
        <v>19</v>
      </c>
      <c r="N111" s="54"/>
      <c r="O111" s="54"/>
    </row>
    <row r="112" spans="1:15" x14ac:dyDescent="0.25">
      <c r="A112" s="48" t="s">
        <v>412</v>
      </c>
      <c r="B112" s="48" t="s">
        <v>398</v>
      </c>
      <c r="D112" s="7"/>
      <c r="K112" s="48" t="s">
        <v>18</v>
      </c>
      <c r="L112" s="48">
        <v>0</v>
      </c>
      <c r="M112" s="48" t="s">
        <v>19</v>
      </c>
      <c r="N112" s="54"/>
      <c r="O112" s="54"/>
    </row>
    <row r="114" spans="1:15" x14ac:dyDescent="0.25">
      <c r="A114" s="2" t="s">
        <v>198</v>
      </c>
      <c r="B114" s="2"/>
      <c r="C114" s="2"/>
      <c r="D114" s="2"/>
      <c r="E114" s="2"/>
      <c r="F114" s="2"/>
      <c r="G114" s="2"/>
      <c r="H114" s="2"/>
      <c r="I114" s="2"/>
      <c r="J114" s="2"/>
      <c r="K114" s="3"/>
      <c r="L114" s="3"/>
      <c r="M114" s="3"/>
      <c r="N114" s="3"/>
      <c r="O114" s="3"/>
    </row>
    <row r="115" spans="1:15" x14ac:dyDescent="0.25">
      <c r="A115" t="s">
        <v>194</v>
      </c>
      <c r="B115" t="s">
        <v>200</v>
      </c>
      <c r="I115" t="s">
        <v>45</v>
      </c>
      <c r="K115" t="s">
        <v>197</v>
      </c>
      <c r="L115" s="33">
        <f>600000*(L532/100)</f>
        <v>188217.14285714284</v>
      </c>
      <c r="M115" t="s">
        <v>190</v>
      </c>
      <c r="N115" s="17" t="s">
        <v>334</v>
      </c>
      <c r="O115" s="21"/>
    </row>
    <row r="116" spans="1:15" x14ac:dyDescent="0.25">
      <c r="A116" t="s">
        <v>195</v>
      </c>
      <c r="B116" t="s">
        <v>200</v>
      </c>
      <c r="I116" t="s">
        <v>45</v>
      </c>
      <c r="K116" t="s">
        <v>197</v>
      </c>
      <c r="L116" s="33">
        <v>10000</v>
      </c>
      <c r="M116" t="s">
        <v>190</v>
      </c>
      <c r="N116" t="s">
        <v>196</v>
      </c>
    </row>
    <row r="117" spans="1:15" x14ac:dyDescent="0.25">
      <c r="A117" s="7" t="s">
        <v>413</v>
      </c>
      <c r="B117" s="7" t="s">
        <v>200</v>
      </c>
      <c r="C117" s="7"/>
      <c r="D117" s="7"/>
      <c r="E117" s="7"/>
      <c r="F117" s="7"/>
      <c r="G117" s="7"/>
      <c r="H117" s="7"/>
      <c r="I117" s="7" t="s">
        <v>45</v>
      </c>
      <c r="J117" s="7"/>
      <c r="K117" s="7" t="s">
        <v>197</v>
      </c>
      <c r="L117" s="55">
        <v>0</v>
      </c>
      <c r="M117" s="7" t="s">
        <v>190</v>
      </c>
      <c r="N117" s="7" t="s">
        <v>414</v>
      </c>
      <c r="O117" s="7"/>
    </row>
    <row r="118" spans="1:15" x14ac:dyDescent="0.25">
      <c r="L118" s="33"/>
    </row>
    <row r="119" spans="1:15" x14ac:dyDescent="0.25">
      <c r="A119" t="s">
        <v>101</v>
      </c>
      <c r="B119" t="s">
        <v>200</v>
      </c>
      <c r="I119" t="s">
        <v>45</v>
      </c>
      <c r="K119" t="s">
        <v>197</v>
      </c>
      <c r="L119" s="33">
        <v>34000</v>
      </c>
      <c r="M119" t="s">
        <v>190</v>
      </c>
      <c r="N119" t="s">
        <v>301</v>
      </c>
      <c r="O119" t="s">
        <v>296</v>
      </c>
    </row>
    <row r="120" spans="1:15" x14ac:dyDescent="0.25">
      <c r="L120" s="33"/>
    </row>
    <row r="121" spans="1:15" x14ac:dyDescent="0.25">
      <c r="A121" t="s">
        <v>272</v>
      </c>
      <c r="B121" t="s">
        <v>200</v>
      </c>
      <c r="I121" t="s">
        <v>45</v>
      </c>
      <c r="K121" t="s">
        <v>197</v>
      </c>
      <c r="L121" s="37">
        <v>355.5</v>
      </c>
      <c r="M121" t="s">
        <v>273</v>
      </c>
      <c r="N121" t="s">
        <v>274</v>
      </c>
    </row>
    <row r="122" spans="1:15" x14ac:dyDescent="0.25">
      <c r="A122" s="45" t="s">
        <v>356</v>
      </c>
      <c r="L122" s="37"/>
    </row>
    <row r="123" spans="1:15" x14ac:dyDescent="0.25">
      <c r="A123" t="s">
        <v>347</v>
      </c>
      <c r="B123" t="s">
        <v>200</v>
      </c>
      <c r="I123" t="s">
        <v>45</v>
      </c>
      <c r="K123" s="44"/>
      <c r="L123" s="37">
        <f>103.1*1.12*0.78</f>
        <v>90.068160000000006</v>
      </c>
      <c r="M123" t="s">
        <v>273</v>
      </c>
      <c r="N123" t="s">
        <v>348</v>
      </c>
    </row>
    <row r="124" spans="1:15" x14ac:dyDescent="0.25">
      <c r="A124" t="s">
        <v>347</v>
      </c>
      <c r="B124" t="s">
        <v>200</v>
      </c>
      <c r="I124" t="s">
        <v>43</v>
      </c>
      <c r="K124" s="44"/>
      <c r="L124" s="37">
        <f>103.1*1.12*(1-0.78)</f>
        <v>25.403839999999999</v>
      </c>
      <c r="M124" t="s">
        <v>273</v>
      </c>
    </row>
    <row r="125" spans="1:15" x14ac:dyDescent="0.25">
      <c r="K125" s="44"/>
      <c r="L125" s="37"/>
    </row>
    <row r="126" spans="1:15" x14ac:dyDescent="0.25">
      <c r="K126" s="44"/>
      <c r="L126" s="37"/>
    </row>
    <row r="127" spans="1:15" x14ac:dyDescent="0.25">
      <c r="A127" s="17" t="s">
        <v>380</v>
      </c>
      <c r="B127" t="s">
        <v>200</v>
      </c>
      <c r="I127" t="s">
        <v>45</v>
      </c>
      <c r="K127" t="s">
        <v>197</v>
      </c>
      <c r="L127" s="15">
        <v>1000</v>
      </c>
      <c r="M127" t="s">
        <v>381</v>
      </c>
      <c r="N127" s="6"/>
      <c r="O127" s="9"/>
    </row>
    <row r="128" spans="1:15" x14ac:dyDescent="0.25">
      <c r="L128" s="33"/>
    </row>
    <row r="129" spans="1:19" x14ac:dyDescent="0.25">
      <c r="A129" s="2" t="s">
        <v>189</v>
      </c>
      <c r="B129" s="2"/>
      <c r="C129" s="2"/>
      <c r="D129" s="2"/>
      <c r="E129" s="2"/>
      <c r="F129" s="2"/>
      <c r="G129" s="2"/>
      <c r="H129" s="2"/>
      <c r="I129" s="2"/>
      <c r="J129" s="2"/>
      <c r="K129" s="3"/>
      <c r="L129" s="36"/>
      <c r="M129" s="3"/>
      <c r="N129" s="3"/>
      <c r="O129" s="3"/>
    </row>
    <row r="130" spans="1:19" x14ac:dyDescent="0.25">
      <c r="A130" t="s">
        <v>289</v>
      </c>
      <c r="B130" t="s">
        <v>293</v>
      </c>
      <c r="I130" t="s">
        <v>45</v>
      </c>
      <c r="K130" t="s">
        <v>294</v>
      </c>
      <c r="L130" s="33">
        <v>558249.80000000005</v>
      </c>
      <c r="M130" t="s">
        <v>190</v>
      </c>
      <c r="N130" t="s">
        <v>297</v>
      </c>
      <c r="O130" t="s">
        <v>295</v>
      </c>
    </row>
    <row r="131" spans="1:19" x14ac:dyDescent="0.25">
      <c r="A131" t="s">
        <v>290</v>
      </c>
      <c r="B131" t="s">
        <v>293</v>
      </c>
      <c r="I131" t="s">
        <v>45</v>
      </c>
      <c r="K131" t="s">
        <v>294</v>
      </c>
      <c r="L131" s="33">
        <f>304650.4+303000</f>
        <v>607650.4</v>
      </c>
      <c r="M131" t="s">
        <v>190</v>
      </c>
      <c r="N131" t="s">
        <v>297</v>
      </c>
      <c r="O131" t="s">
        <v>295</v>
      </c>
      <c r="S131" s="6" t="s">
        <v>344</v>
      </c>
    </row>
    <row r="132" spans="1:19" x14ac:dyDescent="0.25">
      <c r="A132" t="s">
        <v>291</v>
      </c>
      <c r="B132" t="s">
        <v>293</v>
      </c>
      <c r="I132" t="s">
        <v>45</v>
      </c>
      <c r="K132" t="s">
        <v>294</v>
      </c>
      <c r="L132" s="33">
        <v>32965.800000000003</v>
      </c>
      <c r="M132" t="s">
        <v>190</v>
      </c>
      <c r="N132" t="s">
        <v>309</v>
      </c>
      <c r="O132" t="s">
        <v>295</v>
      </c>
    </row>
    <row r="133" spans="1:19" x14ac:dyDescent="0.25">
      <c r="A133" t="s">
        <v>292</v>
      </c>
      <c r="B133" t="s">
        <v>293</v>
      </c>
      <c r="I133" t="s">
        <v>45</v>
      </c>
      <c r="K133" t="s">
        <v>294</v>
      </c>
      <c r="L133" s="33">
        <f>177249.6+246000</f>
        <v>423249.6</v>
      </c>
      <c r="M133" t="s">
        <v>190</v>
      </c>
      <c r="N133" t="s">
        <v>297</v>
      </c>
      <c r="O133" t="s">
        <v>295</v>
      </c>
      <c r="S133" s="6" t="s">
        <v>345</v>
      </c>
    </row>
    <row r="134" spans="1:19" x14ac:dyDescent="0.25">
      <c r="A134" t="s">
        <v>202</v>
      </c>
      <c r="B134" t="s">
        <v>293</v>
      </c>
      <c r="I134" t="s">
        <v>45</v>
      </c>
      <c r="K134" t="s">
        <v>294</v>
      </c>
      <c r="L134" s="33">
        <v>22062.799999999999</v>
      </c>
      <c r="M134" t="s">
        <v>190</v>
      </c>
      <c r="N134" t="s">
        <v>297</v>
      </c>
      <c r="O134" t="s">
        <v>295</v>
      </c>
    </row>
    <row r="135" spans="1:19" x14ac:dyDescent="0.25">
      <c r="A135" t="s">
        <v>101</v>
      </c>
      <c r="B135" t="s">
        <v>293</v>
      </c>
      <c r="I135" t="s">
        <v>45</v>
      </c>
      <c r="K135" t="s">
        <v>294</v>
      </c>
      <c r="L135" s="33">
        <v>25000</v>
      </c>
      <c r="M135" t="s">
        <v>190</v>
      </c>
      <c r="N135" t="s">
        <v>299</v>
      </c>
      <c r="O135" t="s">
        <v>298</v>
      </c>
    </row>
    <row r="136" spans="1:19" x14ac:dyDescent="0.25">
      <c r="A136" s="7" t="s">
        <v>54</v>
      </c>
      <c r="B136" s="7" t="s">
        <v>293</v>
      </c>
      <c r="C136" s="7"/>
      <c r="D136" s="7"/>
      <c r="E136" s="7"/>
      <c r="F136" s="7"/>
      <c r="G136" s="7"/>
      <c r="H136" s="7"/>
      <c r="I136" s="7" t="s">
        <v>45</v>
      </c>
      <c r="J136" s="7"/>
      <c r="K136" s="7" t="s">
        <v>294</v>
      </c>
      <c r="L136" s="55">
        <v>0</v>
      </c>
      <c r="M136" s="7" t="s">
        <v>190</v>
      </c>
      <c r="N136" s="7"/>
    </row>
    <row r="137" spans="1:19" x14ac:dyDescent="0.25">
      <c r="A137" s="7" t="s">
        <v>54</v>
      </c>
      <c r="B137" s="7" t="s">
        <v>293</v>
      </c>
      <c r="C137" s="7"/>
      <c r="D137" s="7"/>
      <c r="E137" s="7"/>
      <c r="F137" s="7"/>
      <c r="G137" s="7"/>
      <c r="H137" s="7"/>
      <c r="I137" s="7" t="s">
        <v>43</v>
      </c>
      <c r="J137" s="7"/>
      <c r="K137" s="7" t="s">
        <v>294</v>
      </c>
      <c r="L137" s="55">
        <v>0</v>
      </c>
      <c r="M137" s="7" t="s">
        <v>190</v>
      </c>
      <c r="N137" s="7"/>
    </row>
    <row r="138" spans="1:19" x14ac:dyDescent="0.25">
      <c r="A138" s="7" t="s">
        <v>95</v>
      </c>
      <c r="B138" s="7" t="s">
        <v>293</v>
      </c>
      <c r="C138" s="7"/>
      <c r="D138" s="7"/>
      <c r="E138" s="7"/>
      <c r="F138" s="7"/>
      <c r="G138" s="7"/>
      <c r="H138" s="7"/>
      <c r="I138" s="7" t="s">
        <v>45</v>
      </c>
      <c r="J138" s="7"/>
      <c r="K138" s="7" t="s">
        <v>294</v>
      </c>
      <c r="L138" s="55">
        <v>0</v>
      </c>
      <c r="M138" s="7" t="s">
        <v>190</v>
      </c>
      <c r="N138" s="7" t="s">
        <v>415</v>
      </c>
      <c r="O138">
        <v>20000</v>
      </c>
    </row>
    <row r="139" spans="1:19" x14ac:dyDescent="0.25">
      <c r="A139" s="7" t="s">
        <v>95</v>
      </c>
      <c r="B139" s="7" t="s">
        <v>293</v>
      </c>
      <c r="C139" s="7"/>
      <c r="D139" s="7"/>
      <c r="E139" s="7"/>
      <c r="F139" s="7"/>
      <c r="G139" s="7"/>
      <c r="H139" s="7"/>
      <c r="I139" s="7" t="s">
        <v>43</v>
      </c>
      <c r="J139" s="7"/>
      <c r="K139" s="7" t="s">
        <v>294</v>
      </c>
      <c r="L139" s="55">
        <v>0</v>
      </c>
      <c r="M139" s="7" t="s">
        <v>190</v>
      </c>
      <c r="N139" s="7"/>
    </row>
    <row r="140" spans="1:19" x14ac:dyDescent="0.25">
      <c r="A140" s="7" t="s">
        <v>346</v>
      </c>
      <c r="B140" s="7" t="s">
        <v>293</v>
      </c>
      <c r="C140" s="7"/>
      <c r="D140" s="7"/>
      <c r="E140" s="7"/>
      <c r="F140" s="7"/>
      <c r="G140" s="7"/>
      <c r="H140" s="7"/>
      <c r="I140" s="7" t="s">
        <v>45</v>
      </c>
      <c r="J140" s="7"/>
      <c r="K140" s="7" t="s">
        <v>294</v>
      </c>
      <c r="L140" s="55">
        <v>0</v>
      </c>
      <c r="M140" s="7" t="s">
        <v>190</v>
      </c>
      <c r="N140" s="7"/>
    </row>
    <row r="141" spans="1:19" x14ac:dyDescent="0.25">
      <c r="A141" s="7" t="s">
        <v>346</v>
      </c>
      <c r="B141" s="7" t="s">
        <v>293</v>
      </c>
      <c r="C141" s="7"/>
      <c r="D141" s="7"/>
      <c r="E141" s="7"/>
      <c r="F141" s="7"/>
      <c r="G141" s="7"/>
      <c r="H141" s="7"/>
      <c r="I141" s="7" t="s">
        <v>43</v>
      </c>
      <c r="J141" s="7"/>
      <c r="K141" s="7" t="s">
        <v>294</v>
      </c>
      <c r="L141" s="55">
        <v>0</v>
      </c>
      <c r="M141" s="7" t="s">
        <v>190</v>
      </c>
      <c r="N141" s="7"/>
    </row>
    <row r="142" spans="1:19" x14ac:dyDescent="0.25">
      <c r="A142" s="7" t="s">
        <v>267</v>
      </c>
      <c r="B142" s="7" t="s">
        <v>293</v>
      </c>
      <c r="C142" s="7"/>
      <c r="D142" s="7"/>
      <c r="E142" s="7"/>
      <c r="F142" s="7"/>
      <c r="G142" s="7"/>
      <c r="H142" s="7"/>
      <c r="I142" s="7" t="s">
        <v>45</v>
      </c>
      <c r="J142" s="7"/>
      <c r="K142" s="7" t="s">
        <v>294</v>
      </c>
      <c r="L142" s="55">
        <v>0</v>
      </c>
      <c r="M142" s="7" t="s">
        <v>190</v>
      </c>
      <c r="N142" s="7"/>
    </row>
    <row r="143" spans="1:19" x14ac:dyDescent="0.25">
      <c r="A143" s="7" t="s">
        <v>267</v>
      </c>
      <c r="B143" s="7" t="s">
        <v>293</v>
      </c>
      <c r="C143" s="7"/>
      <c r="D143" s="7"/>
      <c r="E143" s="7"/>
      <c r="F143" s="7"/>
      <c r="G143" s="7"/>
      <c r="H143" s="7"/>
      <c r="I143" s="7" t="s">
        <v>43</v>
      </c>
      <c r="J143" s="7"/>
      <c r="K143" s="7" t="s">
        <v>294</v>
      </c>
      <c r="L143" s="55">
        <v>0</v>
      </c>
      <c r="M143" s="7" t="s">
        <v>190</v>
      </c>
      <c r="N143" s="7"/>
    </row>
    <row r="144" spans="1:19" x14ac:dyDescent="0.25">
      <c r="A144" s="7" t="s">
        <v>384</v>
      </c>
      <c r="B144" s="7" t="s">
        <v>293</v>
      </c>
      <c r="C144" s="7"/>
      <c r="D144" s="7"/>
      <c r="E144" s="7"/>
      <c r="F144" s="7"/>
      <c r="G144" s="7"/>
      <c r="H144" s="7"/>
      <c r="I144" s="7" t="s">
        <v>45</v>
      </c>
      <c r="J144" s="7"/>
      <c r="K144" s="7" t="s">
        <v>294</v>
      </c>
      <c r="L144" s="55">
        <v>0</v>
      </c>
      <c r="M144" s="7" t="s">
        <v>190</v>
      </c>
      <c r="N144" s="7"/>
    </row>
    <row r="145" spans="1:15" x14ac:dyDescent="0.25">
      <c r="A145" s="7" t="s">
        <v>384</v>
      </c>
      <c r="B145" s="7" t="s">
        <v>293</v>
      </c>
      <c r="C145" s="7"/>
      <c r="D145" s="7"/>
      <c r="E145" s="7"/>
      <c r="F145" s="7"/>
      <c r="G145" s="7"/>
      <c r="H145" s="7"/>
      <c r="I145" s="7" t="s">
        <v>43</v>
      </c>
      <c r="J145" s="7"/>
      <c r="K145" s="7" t="s">
        <v>294</v>
      </c>
      <c r="L145" s="55">
        <v>0</v>
      </c>
      <c r="M145" s="7" t="s">
        <v>190</v>
      </c>
      <c r="N145" s="7"/>
    </row>
    <row r="146" spans="1:15" x14ac:dyDescent="0.25">
      <c r="A146" s="7" t="s">
        <v>64</v>
      </c>
      <c r="B146" s="7" t="s">
        <v>293</v>
      </c>
      <c r="C146" s="7"/>
      <c r="D146" s="7"/>
      <c r="E146" s="7"/>
      <c r="F146" s="7"/>
      <c r="G146" s="7"/>
      <c r="H146" s="7"/>
      <c r="I146" s="7" t="s">
        <v>45</v>
      </c>
      <c r="J146" s="7"/>
      <c r="K146" s="7" t="s">
        <v>294</v>
      </c>
      <c r="L146" s="55">
        <v>20000</v>
      </c>
      <c r="M146" s="7" t="s">
        <v>190</v>
      </c>
      <c r="N146" s="7" t="s">
        <v>416</v>
      </c>
    </row>
    <row r="147" spans="1:15" x14ac:dyDescent="0.25">
      <c r="A147" s="7" t="s">
        <v>64</v>
      </c>
      <c r="B147" s="7" t="s">
        <v>293</v>
      </c>
      <c r="C147" s="7"/>
      <c r="D147" s="7"/>
      <c r="E147" s="7"/>
      <c r="F147" s="7"/>
      <c r="G147" s="7"/>
      <c r="H147" s="7"/>
      <c r="I147" s="7" t="s">
        <v>43</v>
      </c>
      <c r="J147" s="7"/>
      <c r="K147" s="7" t="s">
        <v>294</v>
      </c>
      <c r="L147" s="55">
        <v>0</v>
      </c>
      <c r="M147" s="7" t="s">
        <v>190</v>
      </c>
      <c r="N147" s="7"/>
    </row>
    <row r="148" spans="1:15" x14ac:dyDescent="0.25">
      <c r="A148" s="48" t="s">
        <v>397</v>
      </c>
      <c r="B148" s="7" t="s">
        <v>293</v>
      </c>
      <c r="C148" s="7"/>
      <c r="D148" s="7"/>
      <c r="E148" s="7"/>
      <c r="F148" s="7"/>
      <c r="G148" s="7"/>
      <c r="H148" s="7"/>
      <c r="I148" s="7" t="s">
        <v>45</v>
      </c>
      <c r="J148" s="7"/>
      <c r="K148" s="7" t="s">
        <v>294</v>
      </c>
      <c r="L148" s="55">
        <v>0</v>
      </c>
      <c r="M148" s="7" t="s">
        <v>190</v>
      </c>
      <c r="N148" s="7"/>
    </row>
    <row r="149" spans="1:15" x14ac:dyDescent="0.25">
      <c r="A149" s="48" t="s">
        <v>404</v>
      </c>
      <c r="B149" s="7" t="s">
        <v>293</v>
      </c>
      <c r="C149" s="7"/>
      <c r="D149" s="7"/>
      <c r="E149" s="7"/>
      <c r="F149" s="7"/>
      <c r="G149" s="7"/>
      <c r="H149" s="7"/>
      <c r="I149" s="7" t="s">
        <v>45</v>
      </c>
      <c r="J149" s="7"/>
      <c r="K149" s="7" t="s">
        <v>294</v>
      </c>
      <c r="L149" s="55">
        <v>0</v>
      </c>
      <c r="M149" s="7" t="s">
        <v>190</v>
      </c>
      <c r="N149" s="7"/>
    </row>
    <row r="150" spans="1:15" x14ac:dyDescent="0.25">
      <c r="A150" s="48" t="s">
        <v>404</v>
      </c>
      <c r="B150" s="7" t="s">
        <v>293</v>
      </c>
      <c r="C150" s="7"/>
      <c r="D150" s="7"/>
      <c r="E150" s="7"/>
      <c r="F150" s="7"/>
      <c r="G150" s="7"/>
      <c r="H150" s="7"/>
      <c r="I150" s="7" t="s">
        <v>43</v>
      </c>
      <c r="J150" s="7"/>
      <c r="K150" s="7" t="s">
        <v>294</v>
      </c>
      <c r="L150" s="55">
        <v>0</v>
      </c>
      <c r="M150" s="7" t="s">
        <v>190</v>
      </c>
      <c r="N150" s="7"/>
    </row>
    <row r="151" spans="1:15" x14ac:dyDescent="0.25">
      <c r="A151" s="48" t="s">
        <v>405</v>
      </c>
      <c r="B151" s="7" t="s">
        <v>293</v>
      </c>
      <c r="C151" s="7"/>
      <c r="D151" s="7"/>
      <c r="E151" s="7"/>
      <c r="F151" s="7"/>
      <c r="G151" s="7"/>
      <c r="H151" s="7"/>
      <c r="I151" s="7" t="s">
        <v>45</v>
      </c>
      <c r="J151" s="7"/>
      <c r="K151" s="7" t="s">
        <v>294</v>
      </c>
      <c r="L151" s="55">
        <v>0</v>
      </c>
      <c r="M151" s="7" t="s">
        <v>190</v>
      </c>
      <c r="N151" s="7"/>
    </row>
    <row r="152" spans="1:15" x14ac:dyDescent="0.25">
      <c r="A152" s="48" t="s">
        <v>405</v>
      </c>
      <c r="B152" s="7" t="s">
        <v>293</v>
      </c>
      <c r="C152" s="7"/>
      <c r="D152" s="7"/>
      <c r="E152" s="7"/>
      <c r="F152" s="7"/>
      <c r="G152" s="7"/>
      <c r="H152" s="7"/>
      <c r="I152" s="7" t="s">
        <v>43</v>
      </c>
      <c r="J152" s="7"/>
      <c r="K152" s="7" t="s">
        <v>294</v>
      </c>
      <c r="L152" s="55">
        <v>0</v>
      </c>
      <c r="M152" s="7" t="s">
        <v>190</v>
      </c>
      <c r="N152" s="7"/>
    </row>
    <row r="153" spans="1:15" x14ac:dyDescent="0.25">
      <c r="A153" s="48" t="s">
        <v>409</v>
      </c>
      <c r="B153" s="7" t="s">
        <v>293</v>
      </c>
      <c r="C153" s="7"/>
      <c r="D153" s="7"/>
      <c r="E153" s="7"/>
      <c r="F153" s="7"/>
      <c r="G153" s="7"/>
      <c r="H153" s="7"/>
      <c r="I153" s="7" t="s">
        <v>45</v>
      </c>
      <c r="J153" s="7"/>
      <c r="K153" s="7" t="s">
        <v>294</v>
      </c>
      <c r="L153" s="55">
        <v>0</v>
      </c>
      <c r="M153" s="7" t="s">
        <v>190</v>
      </c>
      <c r="N153" s="7"/>
    </row>
    <row r="154" spans="1:15" x14ac:dyDescent="0.25">
      <c r="A154" s="48" t="s">
        <v>409</v>
      </c>
      <c r="B154" s="7" t="s">
        <v>293</v>
      </c>
      <c r="C154" s="7"/>
      <c r="D154" s="7"/>
      <c r="E154" s="7"/>
      <c r="F154" s="7"/>
      <c r="G154" s="7"/>
      <c r="H154" s="7"/>
      <c r="I154" s="7" t="s">
        <v>43</v>
      </c>
      <c r="J154" s="7"/>
      <c r="K154" s="7" t="s">
        <v>294</v>
      </c>
      <c r="L154" s="55">
        <v>0</v>
      </c>
      <c r="M154" s="7" t="s">
        <v>190</v>
      </c>
      <c r="N154" s="7"/>
    </row>
    <row r="155" spans="1:15" x14ac:dyDescent="0.25">
      <c r="A155" s="7" t="s">
        <v>407</v>
      </c>
      <c r="B155" s="7" t="s">
        <v>293</v>
      </c>
      <c r="C155" s="7"/>
      <c r="D155" s="7"/>
      <c r="E155" s="7"/>
      <c r="F155" s="7"/>
      <c r="G155" s="7"/>
      <c r="H155" s="7"/>
      <c r="I155" s="7" t="s">
        <v>45</v>
      </c>
      <c r="J155" s="7"/>
      <c r="K155" s="7" t="s">
        <v>294</v>
      </c>
      <c r="L155" s="55">
        <v>0</v>
      </c>
      <c r="M155" s="7" t="s">
        <v>190</v>
      </c>
      <c r="N155" s="7"/>
    </row>
    <row r="156" spans="1:15" x14ac:dyDescent="0.25">
      <c r="A156" s="7" t="s">
        <v>407</v>
      </c>
      <c r="B156" s="7" t="s">
        <v>293</v>
      </c>
      <c r="C156" s="7"/>
      <c r="D156" s="7"/>
      <c r="E156" s="7"/>
      <c r="F156" s="7"/>
      <c r="G156" s="7"/>
      <c r="H156" s="7"/>
      <c r="I156" s="7" t="s">
        <v>43</v>
      </c>
      <c r="J156" s="7"/>
      <c r="K156" s="7" t="s">
        <v>294</v>
      </c>
      <c r="L156" s="55">
        <v>0</v>
      </c>
      <c r="M156" s="7" t="s">
        <v>190</v>
      </c>
      <c r="N156" s="7"/>
    </row>
    <row r="157" spans="1:15" x14ac:dyDescent="0.25">
      <c r="A157" s="7" t="s">
        <v>408</v>
      </c>
      <c r="B157" s="7" t="s">
        <v>293</v>
      </c>
      <c r="C157" s="7"/>
      <c r="D157" s="7"/>
      <c r="E157" s="7"/>
      <c r="F157" s="7"/>
      <c r="G157" s="7"/>
      <c r="H157" s="7"/>
      <c r="I157" s="7" t="s">
        <v>45</v>
      </c>
      <c r="J157" s="7"/>
      <c r="K157" s="7" t="s">
        <v>294</v>
      </c>
      <c r="L157" s="55">
        <v>0</v>
      </c>
      <c r="M157" s="7" t="s">
        <v>190</v>
      </c>
      <c r="N157" s="7"/>
    </row>
    <row r="158" spans="1:15" x14ac:dyDescent="0.25">
      <c r="A158" s="7" t="s">
        <v>408</v>
      </c>
      <c r="B158" s="7" t="s">
        <v>293</v>
      </c>
      <c r="C158" s="7"/>
      <c r="D158" s="7"/>
      <c r="E158" s="7"/>
      <c r="F158" s="7"/>
      <c r="G158" s="7"/>
      <c r="H158" s="7"/>
      <c r="I158" s="7" t="s">
        <v>43</v>
      </c>
      <c r="J158" s="7"/>
      <c r="K158" s="7" t="s">
        <v>294</v>
      </c>
      <c r="L158" s="55">
        <v>0</v>
      </c>
      <c r="M158" s="7" t="s">
        <v>190</v>
      </c>
      <c r="N158" s="7"/>
    </row>
    <row r="160" spans="1:15" x14ac:dyDescent="0.25">
      <c r="A160" s="2" t="s">
        <v>34</v>
      </c>
      <c r="B160" s="2"/>
      <c r="C160" s="2"/>
      <c r="D160" s="2"/>
      <c r="E160" s="2"/>
      <c r="F160" s="2"/>
      <c r="G160" s="2"/>
      <c r="H160" s="2"/>
      <c r="I160" s="2"/>
      <c r="J160" s="2"/>
      <c r="K160" s="3"/>
      <c r="L160" s="3"/>
      <c r="M160" s="3"/>
      <c r="N160" s="3"/>
      <c r="O160" s="3"/>
    </row>
    <row r="161" spans="2:14" x14ac:dyDescent="0.25">
      <c r="B161" t="s">
        <v>26</v>
      </c>
      <c r="J161" t="s">
        <v>50</v>
      </c>
      <c r="K161" t="s">
        <v>53</v>
      </c>
      <c r="L161">
        <v>25</v>
      </c>
      <c r="M161" t="s">
        <v>38</v>
      </c>
    </row>
    <row r="162" spans="2:14" x14ac:dyDescent="0.25">
      <c r="B162" t="s">
        <v>26</v>
      </c>
      <c r="J162" t="s">
        <v>51</v>
      </c>
      <c r="K162" t="s">
        <v>53</v>
      </c>
      <c r="L162">
        <v>2</v>
      </c>
      <c r="M162" t="s">
        <v>38</v>
      </c>
    </row>
    <row r="163" spans="2:14" x14ac:dyDescent="0.25">
      <c r="B163" t="s">
        <v>26</v>
      </c>
      <c r="J163" t="s">
        <v>52</v>
      </c>
      <c r="K163" t="s">
        <v>53</v>
      </c>
      <c r="L163" s="6">
        <v>10.5</v>
      </c>
      <c r="M163" t="s">
        <v>38</v>
      </c>
      <c r="N163" s="6" t="s">
        <v>89</v>
      </c>
    </row>
    <row r="164" spans="2:14" x14ac:dyDescent="0.25">
      <c r="B164" t="s">
        <v>103</v>
      </c>
      <c r="J164" t="s">
        <v>50</v>
      </c>
      <c r="K164" t="s">
        <v>53</v>
      </c>
      <c r="L164">
        <v>17</v>
      </c>
      <c r="M164" t="s">
        <v>38</v>
      </c>
    </row>
    <row r="165" spans="2:14" x14ac:dyDescent="0.25">
      <c r="B165" t="s">
        <v>103</v>
      </c>
      <c r="J165" t="s">
        <v>51</v>
      </c>
      <c r="K165" t="s">
        <v>53</v>
      </c>
      <c r="L165">
        <v>7</v>
      </c>
      <c r="M165" t="s">
        <v>38</v>
      </c>
    </row>
    <row r="166" spans="2:14" x14ac:dyDescent="0.25">
      <c r="B166" t="s">
        <v>103</v>
      </c>
      <c r="J166" t="s">
        <v>52</v>
      </c>
      <c r="K166" t="s">
        <v>53</v>
      </c>
      <c r="L166" s="6">
        <v>15</v>
      </c>
      <c r="M166" t="s">
        <v>38</v>
      </c>
      <c r="N166" s="6" t="s">
        <v>89</v>
      </c>
    </row>
    <row r="167" spans="2:14" x14ac:dyDescent="0.25">
      <c r="B167" t="s">
        <v>108</v>
      </c>
      <c r="J167" t="s">
        <v>50</v>
      </c>
      <c r="K167" t="s">
        <v>53</v>
      </c>
      <c r="L167">
        <v>19</v>
      </c>
      <c r="M167" t="s">
        <v>38</v>
      </c>
    </row>
    <row r="168" spans="2:14" x14ac:dyDescent="0.25">
      <c r="B168" t="s">
        <v>108</v>
      </c>
      <c r="J168" t="s">
        <v>51</v>
      </c>
      <c r="K168" t="s">
        <v>53</v>
      </c>
      <c r="L168">
        <v>10</v>
      </c>
      <c r="M168" t="s">
        <v>38</v>
      </c>
    </row>
    <row r="169" spans="2:14" x14ac:dyDescent="0.25">
      <c r="B169" t="s">
        <v>108</v>
      </c>
      <c r="J169" t="s">
        <v>52</v>
      </c>
      <c r="K169" t="s">
        <v>53</v>
      </c>
      <c r="L169" s="6">
        <v>2</v>
      </c>
      <c r="M169" t="s">
        <v>38</v>
      </c>
      <c r="N169" s="6" t="s">
        <v>89</v>
      </c>
    </row>
    <row r="170" spans="2:14" x14ac:dyDescent="0.25">
      <c r="B170" t="s">
        <v>244</v>
      </c>
      <c r="J170" t="s">
        <v>50</v>
      </c>
      <c r="K170" t="s">
        <v>53</v>
      </c>
      <c r="L170">
        <v>19</v>
      </c>
      <c r="M170" t="s">
        <v>38</v>
      </c>
    </row>
    <row r="171" spans="2:14" x14ac:dyDescent="0.25">
      <c r="B171" t="s">
        <v>244</v>
      </c>
      <c r="J171" t="s">
        <v>51</v>
      </c>
      <c r="K171" t="s">
        <v>53</v>
      </c>
      <c r="L171">
        <v>10</v>
      </c>
      <c r="M171" t="s">
        <v>38</v>
      </c>
    </row>
    <row r="172" spans="2:14" x14ac:dyDescent="0.25">
      <c r="B172" t="s">
        <v>244</v>
      </c>
      <c r="J172" t="s">
        <v>52</v>
      </c>
      <c r="K172" t="s">
        <v>53</v>
      </c>
      <c r="L172" s="6">
        <v>2</v>
      </c>
      <c r="M172" t="s">
        <v>38</v>
      </c>
      <c r="N172" s="6" t="s">
        <v>89</v>
      </c>
    </row>
    <row r="173" spans="2:14" x14ac:dyDescent="0.25">
      <c r="B173" t="s">
        <v>81</v>
      </c>
      <c r="J173" t="s">
        <v>50</v>
      </c>
      <c r="K173" t="s">
        <v>53</v>
      </c>
      <c r="L173">
        <v>11</v>
      </c>
      <c r="M173" t="s">
        <v>38</v>
      </c>
    </row>
    <row r="174" spans="2:14" x14ac:dyDescent="0.25">
      <c r="B174" t="s">
        <v>81</v>
      </c>
      <c r="J174" t="s">
        <v>51</v>
      </c>
      <c r="K174" t="s">
        <v>53</v>
      </c>
      <c r="L174">
        <f>0.5</f>
        <v>0.5</v>
      </c>
      <c r="M174" t="s">
        <v>38</v>
      </c>
    </row>
    <row r="175" spans="2:14" x14ac:dyDescent="0.25">
      <c r="B175" t="s">
        <v>81</v>
      </c>
      <c r="J175" t="s">
        <v>52</v>
      </c>
      <c r="K175" t="s">
        <v>53</v>
      </c>
      <c r="L175" s="6">
        <v>1</v>
      </c>
      <c r="M175" t="s">
        <v>38</v>
      </c>
      <c r="N175" s="6" t="s">
        <v>89</v>
      </c>
    </row>
    <row r="176" spans="2:14" x14ac:dyDescent="0.25">
      <c r="B176" t="s">
        <v>55</v>
      </c>
      <c r="J176" t="s">
        <v>50</v>
      </c>
      <c r="K176" t="s">
        <v>53</v>
      </c>
      <c r="L176">
        <v>11</v>
      </c>
      <c r="M176" t="s">
        <v>38</v>
      </c>
    </row>
    <row r="177" spans="2:14" x14ac:dyDescent="0.25">
      <c r="B177" t="s">
        <v>55</v>
      </c>
      <c r="J177" t="s">
        <v>51</v>
      </c>
      <c r="K177" t="s">
        <v>53</v>
      </c>
      <c r="L177">
        <v>4</v>
      </c>
      <c r="M177" t="s">
        <v>38</v>
      </c>
    </row>
    <row r="178" spans="2:14" x14ac:dyDescent="0.25">
      <c r="B178" t="s">
        <v>55</v>
      </c>
      <c r="J178" t="s">
        <v>52</v>
      </c>
      <c r="K178" t="s">
        <v>53</v>
      </c>
      <c r="L178" s="6">
        <v>5</v>
      </c>
      <c r="M178" t="s">
        <v>38</v>
      </c>
      <c r="N178" s="6" t="s">
        <v>89</v>
      </c>
    </row>
    <row r="179" spans="2:14" x14ac:dyDescent="0.25">
      <c r="B179" t="s">
        <v>325</v>
      </c>
      <c r="J179" t="s">
        <v>50</v>
      </c>
      <c r="K179" t="s">
        <v>53</v>
      </c>
      <c r="L179">
        <v>11</v>
      </c>
      <c r="M179" t="s">
        <v>38</v>
      </c>
    </row>
    <row r="180" spans="2:14" x14ac:dyDescent="0.25">
      <c r="B180" t="s">
        <v>325</v>
      </c>
      <c r="J180" t="s">
        <v>51</v>
      </c>
      <c r="K180" t="s">
        <v>53</v>
      </c>
      <c r="L180">
        <v>4</v>
      </c>
      <c r="M180" t="s">
        <v>38</v>
      </c>
    </row>
    <row r="181" spans="2:14" x14ac:dyDescent="0.25">
      <c r="B181" t="s">
        <v>325</v>
      </c>
      <c r="J181" t="s">
        <v>52</v>
      </c>
      <c r="K181" t="s">
        <v>53</v>
      </c>
      <c r="L181" s="6">
        <v>5</v>
      </c>
      <c r="M181" t="s">
        <v>38</v>
      </c>
      <c r="N181" s="6" t="s">
        <v>89</v>
      </c>
    </row>
    <row r="182" spans="2:14" x14ac:dyDescent="0.25">
      <c r="B182" t="s">
        <v>207</v>
      </c>
      <c r="J182" t="s">
        <v>50</v>
      </c>
      <c r="K182" t="s">
        <v>53</v>
      </c>
      <c r="L182">
        <v>4</v>
      </c>
      <c r="M182" t="s">
        <v>38</v>
      </c>
    </row>
    <row r="183" spans="2:14" x14ac:dyDescent="0.25">
      <c r="B183" t="s">
        <v>207</v>
      </c>
      <c r="J183" t="s">
        <v>51</v>
      </c>
      <c r="K183" t="s">
        <v>53</v>
      </c>
      <c r="L183">
        <v>1</v>
      </c>
      <c r="M183" t="s">
        <v>38</v>
      </c>
    </row>
    <row r="184" spans="2:14" x14ac:dyDescent="0.25">
      <c r="B184" t="s">
        <v>207</v>
      </c>
      <c r="J184" t="s">
        <v>52</v>
      </c>
      <c r="K184" t="s">
        <v>53</v>
      </c>
      <c r="L184" s="6">
        <v>5</v>
      </c>
      <c r="M184" t="s">
        <v>38</v>
      </c>
      <c r="N184" s="6" t="s">
        <v>89</v>
      </c>
    </row>
    <row r="185" spans="2:14" x14ac:dyDescent="0.25">
      <c r="B185" t="s">
        <v>127</v>
      </c>
      <c r="J185" t="s">
        <v>50</v>
      </c>
      <c r="K185" t="s">
        <v>53</v>
      </c>
      <c r="L185">
        <v>4</v>
      </c>
      <c r="M185" t="s">
        <v>38</v>
      </c>
    </row>
    <row r="186" spans="2:14" x14ac:dyDescent="0.25">
      <c r="B186" t="s">
        <v>127</v>
      </c>
      <c r="J186" t="s">
        <v>51</v>
      </c>
      <c r="K186" t="s">
        <v>53</v>
      </c>
      <c r="L186">
        <v>1</v>
      </c>
      <c r="M186" t="s">
        <v>38</v>
      </c>
    </row>
    <row r="187" spans="2:14" x14ac:dyDescent="0.25">
      <c r="B187" t="s">
        <v>127</v>
      </c>
      <c r="J187" t="s">
        <v>52</v>
      </c>
      <c r="K187" t="s">
        <v>53</v>
      </c>
      <c r="L187" s="6">
        <v>5</v>
      </c>
      <c r="M187" t="s">
        <v>38</v>
      </c>
      <c r="N187" s="6" t="s">
        <v>89</v>
      </c>
    </row>
    <row r="188" spans="2:14" x14ac:dyDescent="0.25">
      <c r="B188" t="s">
        <v>220</v>
      </c>
      <c r="J188" t="s">
        <v>50</v>
      </c>
      <c r="K188" t="s">
        <v>53</v>
      </c>
      <c r="L188">
        <v>13</v>
      </c>
      <c r="M188" t="s">
        <v>38</v>
      </c>
    </row>
    <row r="189" spans="2:14" x14ac:dyDescent="0.25">
      <c r="B189" t="s">
        <v>220</v>
      </c>
      <c r="J189" t="s">
        <v>51</v>
      </c>
      <c r="K189" t="s">
        <v>53</v>
      </c>
      <c r="L189">
        <v>5</v>
      </c>
      <c r="M189" t="s">
        <v>38</v>
      </c>
    </row>
    <row r="190" spans="2:14" x14ac:dyDescent="0.25">
      <c r="B190" t="s">
        <v>220</v>
      </c>
      <c r="J190" t="s">
        <v>52</v>
      </c>
      <c r="K190" t="s">
        <v>53</v>
      </c>
      <c r="L190" s="6">
        <v>5</v>
      </c>
      <c r="M190" t="s">
        <v>38</v>
      </c>
      <c r="N190" s="6" t="s">
        <v>89</v>
      </c>
    </row>
    <row r="191" spans="2:14" x14ac:dyDescent="0.25">
      <c r="B191" t="s">
        <v>112</v>
      </c>
      <c r="J191" t="s">
        <v>50</v>
      </c>
      <c r="K191" t="s">
        <v>53</v>
      </c>
      <c r="L191">
        <v>0</v>
      </c>
      <c r="M191" t="s">
        <v>38</v>
      </c>
    </row>
    <row r="192" spans="2:14" x14ac:dyDescent="0.25">
      <c r="B192" t="s">
        <v>112</v>
      </c>
      <c r="J192" t="s">
        <v>51</v>
      </c>
      <c r="K192" t="s">
        <v>53</v>
      </c>
      <c r="L192">
        <v>5</v>
      </c>
      <c r="M192" t="s">
        <v>38</v>
      </c>
    </row>
    <row r="193" spans="1:15" x14ac:dyDescent="0.25">
      <c r="B193" t="s">
        <v>112</v>
      </c>
      <c r="J193" t="s">
        <v>52</v>
      </c>
      <c r="K193" t="s">
        <v>53</v>
      </c>
      <c r="L193" s="6">
        <v>5</v>
      </c>
      <c r="M193" t="s">
        <v>38</v>
      </c>
      <c r="N193" s="6" t="s">
        <v>89</v>
      </c>
    </row>
    <row r="194" spans="1:15" x14ac:dyDescent="0.25">
      <c r="A194" s="7"/>
      <c r="B194" s="7" t="s">
        <v>398</v>
      </c>
      <c r="C194" s="7"/>
      <c r="D194" s="7"/>
      <c r="E194" s="7"/>
      <c r="F194" s="7"/>
      <c r="G194" s="7"/>
      <c r="H194" s="7"/>
      <c r="I194" s="7"/>
      <c r="J194" s="7" t="s">
        <v>50</v>
      </c>
      <c r="K194" s="7" t="s">
        <v>53</v>
      </c>
      <c r="L194" s="7">
        <v>11</v>
      </c>
      <c r="M194" s="7" t="s">
        <v>38</v>
      </c>
      <c r="N194" s="7"/>
    </row>
    <row r="195" spans="1:15" x14ac:dyDescent="0.25">
      <c r="A195" s="7"/>
      <c r="B195" s="7" t="s">
        <v>398</v>
      </c>
      <c r="C195" s="7"/>
      <c r="D195" s="7"/>
      <c r="E195" s="7"/>
      <c r="F195" s="7"/>
      <c r="G195" s="7"/>
      <c r="H195" s="7"/>
      <c r="I195" s="7"/>
      <c r="J195" s="7" t="s">
        <v>51</v>
      </c>
      <c r="K195" s="7" t="s">
        <v>53</v>
      </c>
      <c r="L195" s="7">
        <v>4</v>
      </c>
      <c r="M195" s="7" t="s">
        <v>38</v>
      </c>
      <c r="N195" s="7"/>
    </row>
    <row r="196" spans="1:15" x14ac:dyDescent="0.25">
      <c r="A196" s="7"/>
      <c r="B196" s="7" t="s">
        <v>398</v>
      </c>
      <c r="C196" s="7"/>
      <c r="D196" s="7"/>
      <c r="E196" s="7"/>
      <c r="F196" s="7"/>
      <c r="G196" s="7"/>
      <c r="H196" s="7"/>
      <c r="I196" s="7"/>
      <c r="J196" s="7" t="s">
        <v>52</v>
      </c>
      <c r="K196" s="7" t="s">
        <v>53</v>
      </c>
      <c r="L196" s="7">
        <v>5</v>
      </c>
      <c r="M196" s="7" t="s">
        <v>38</v>
      </c>
      <c r="N196" s="7"/>
    </row>
    <row r="197" spans="1:15" x14ac:dyDescent="0.25">
      <c r="A197" s="7"/>
      <c r="B197" s="48" t="s">
        <v>403</v>
      </c>
      <c r="C197" s="7"/>
      <c r="D197" s="7"/>
      <c r="E197" s="7"/>
      <c r="F197" s="7"/>
      <c r="G197" s="7"/>
      <c r="H197" s="7"/>
      <c r="I197" s="7"/>
      <c r="J197" s="7" t="s">
        <v>50</v>
      </c>
      <c r="K197" s="7" t="s">
        <v>53</v>
      </c>
      <c r="L197" s="7">
        <v>11</v>
      </c>
      <c r="M197" s="7" t="s">
        <v>38</v>
      </c>
      <c r="N197" s="7"/>
    </row>
    <row r="198" spans="1:15" x14ac:dyDescent="0.25">
      <c r="A198" s="7"/>
      <c r="B198" s="48" t="s">
        <v>403</v>
      </c>
      <c r="C198" s="7"/>
      <c r="D198" s="7"/>
      <c r="E198" s="7"/>
      <c r="F198" s="7"/>
      <c r="G198" s="7"/>
      <c r="H198" s="7"/>
      <c r="I198" s="7"/>
      <c r="J198" s="7" t="s">
        <v>51</v>
      </c>
      <c r="K198" s="7" t="s">
        <v>53</v>
      </c>
      <c r="L198" s="7">
        <f>0.5</f>
        <v>0.5</v>
      </c>
      <c r="M198" s="7" t="s">
        <v>38</v>
      </c>
      <c r="N198" s="7"/>
    </row>
    <row r="199" spans="1:15" x14ac:dyDescent="0.25">
      <c r="B199" s="48" t="s">
        <v>403</v>
      </c>
      <c r="C199" s="7"/>
      <c r="D199" s="7"/>
      <c r="E199" s="7"/>
      <c r="F199" s="7"/>
      <c r="G199" s="7"/>
      <c r="H199" s="7"/>
      <c r="I199" s="7"/>
      <c r="J199" s="7" t="s">
        <v>52</v>
      </c>
      <c r="K199" s="7" t="s">
        <v>53</v>
      </c>
      <c r="L199" s="7">
        <v>1</v>
      </c>
      <c r="M199" s="7" t="s">
        <v>38</v>
      </c>
      <c r="N199" s="6"/>
    </row>
    <row r="200" spans="1:15" x14ac:dyDescent="0.25">
      <c r="B200" s="48" t="s">
        <v>390</v>
      </c>
      <c r="C200" s="7"/>
      <c r="D200" s="7"/>
      <c r="E200" s="7"/>
      <c r="F200" s="7"/>
      <c r="G200" s="7"/>
      <c r="H200" s="7"/>
      <c r="I200" s="7"/>
      <c r="J200" s="7" t="s">
        <v>50</v>
      </c>
      <c r="K200" s="7" t="s">
        <v>53</v>
      </c>
      <c r="L200" s="7">
        <v>4</v>
      </c>
      <c r="M200" s="7" t="s">
        <v>38</v>
      </c>
      <c r="N200" s="6"/>
    </row>
    <row r="201" spans="1:15" x14ac:dyDescent="0.25">
      <c r="B201" s="48" t="s">
        <v>390</v>
      </c>
      <c r="C201" s="7"/>
      <c r="D201" s="7"/>
      <c r="E201" s="7"/>
      <c r="F201" s="7"/>
      <c r="G201" s="7"/>
      <c r="H201" s="7"/>
      <c r="I201" s="7"/>
      <c r="J201" s="7" t="s">
        <v>51</v>
      </c>
      <c r="K201" s="7" t="s">
        <v>53</v>
      </c>
      <c r="L201" s="7">
        <v>1</v>
      </c>
      <c r="M201" s="7" t="s">
        <v>38</v>
      </c>
      <c r="N201" s="6"/>
    </row>
    <row r="202" spans="1:15" x14ac:dyDescent="0.25">
      <c r="B202" s="48" t="s">
        <v>390</v>
      </c>
      <c r="C202" s="7"/>
      <c r="D202" s="7"/>
      <c r="E202" s="7"/>
      <c r="F202" s="7"/>
      <c r="G202" s="7"/>
      <c r="H202" s="7"/>
      <c r="I202" s="7"/>
      <c r="J202" s="7" t="s">
        <v>52</v>
      </c>
      <c r="K202" s="7" t="s">
        <v>53</v>
      </c>
      <c r="L202" s="7">
        <v>5</v>
      </c>
      <c r="M202" s="7" t="s">
        <v>38</v>
      </c>
      <c r="N202" s="6"/>
    </row>
    <row r="203" spans="1:15" x14ac:dyDescent="0.25">
      <c r="B203" s="48" t="s">
        <v>394</v>
      </c>
      <c r="C203" s="7"/>
      <c r="D203" s="7"/>
      <c r="E203" s="7"/>
      <c r="F203" s="7"/>
      <c r="G203" s="7"/>
      <c r="H203" s="7"/>
      <c r="I203" s="7"/>
      <c r="J203" s="7" t="s">
        <v>50</v>
      </c>
      <c r="K203" s="7" t="s">
        <v>53</v>
      </c>
      <c r="L203" s="7">
        <v>4</v>
      </c>
      <c r="M203" s="7" t="s">
        <v>38</v>
      </c>
      <c r="N203" s="6"/>
    </row>
    <row r="204" spans="1:15" x14ac:dyDescent="0.25">
      <c r="B204" s="48" t="s">
        <v>394</v>
      </c>
      <c r="C204" s="7"/>
      <c r="D204" s="7"/>
      <c r="E204" s="7"/>
      <c r="F204" s="7"/>
      <c r="G204" s="7"/>
      <c r="H204" s="7"/>
      <c r="I204" s="7"/>
      <c r="J204" s="7" t="s">
        <v>51</v>
      </c>
      <c r="K204" s="7" t="s">
        <v>53</v>
      </c>
      <c r="L204" s="7">
        <v>1</v>
      </c>
      <c r="M204" s="7" t="s">
        <v>38</v>
      </c>
      <c r="N204" s="6"/>
    </row>
    <row r="205" spans="1:15" x14ac:dyDescent="0.25">
      <c r="B205" s="48" t="s">
        <v>394</v>
      </c>
      <c r="C205" s="7"/>
      <c r="D205" s="7"/>
      <c r="E205" s="7"/>
      <c r="F205" s="7"/>
      <c r="G205" s="7"/>
      <c r="H205" s="7"/>
      <c r="I205" s="7"/>
      <c r="J205" s="7" t="s">
        <v>52</v>
      </c>
      <c r="K205" s="7" t="s">
        <v>53</v>
      </c>
      <c r="L205" s="7">
        <v>5</v>
      </c>
      <c r="M205" s="7" t="s">
        <v>38</v>
      </c>
      <c r="N205" s="6"/>
    </row>
    <row r="206" spans="1:15" x14ac:dyDescent="0.25">
      <c r="L206" s="6"/>
      <c r="N206" s="6"/>
    </row>
    <row r="207" spans="1:15" x14ac:dyDescent="0.25">
      <c r="A207" s="2" t="s">
        <v>39</v>
      </c>
      <c r="B207" s="2"/>
      <c r="C207" s="2"/>
      <c r="D207" s="2"/>
      <c r="E207" s="2"/>
      <c r="F207" s="2"/>
      <c r="G207" s="2"/>
      <c r="H207" s="2"/>
      <c r="I207" s="2"/>
      <c r="J207" s="2"/>
      <c r="K207" s="3"/>
      <c r="L207" s="3"/>
      <c r="M207" s="3"/>
      <c r="N207" s="3"/>
      <c r="O207" s="3"/>
    </row>
    <row r="208" spans="1:15" x14ac:dyDescent="0.25">
      <c r="K208" s="7" t="s">
        <v>40</v>
      </c>
      <c r="L208" s="7">
        <v>100</v>
      </c>
      <c r="M208" s="7" t="s">
        <v>38</v>
      </c>
      <c r="N208" s="7" t="s">
        <v>44</v>
      </c>
    </row>
    <row r="209" spans="1:15" x14ac:dyDescent="0.25">
      <c r="A209" s="4" t="s">
        <v>10</v>
      </c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5"/>
      <c r="M209" s="5"/>
      <c r="N209" s="5"/>
      <c r="O209" s="5"/>
    </row>
    <row r="210" spans="1:15" x14ac:dyDescent="0.25">
      <c r="A210" t="s">
        <v>179</v>
      </c>
      <c r="K210" t="s">
        <v>40</v>
      </c>
      <c r="L210">
        <v>22</v>
      </c>
      <c r="M210" t="s">
        <v>38</v>
      </c>
    </row>
    <row r="211" spans="1:15" x14ac:dyDescent="0.25">
      <c r="A211" t="s">
        <v>184</v>
      </c>
      <c r="K211" t="s">
        <v>40</v>
      </c>
      <c r="L211" s="27">
        <f>L210</f>
        <v>22</v>
      </c>
      <c r="M211" s="27" t="s">
        <v>38</v>
      </c>
      <c r="N211" s="27" t="s">
        <v>216</v>
      </c>
    </row>
    <row r="212" spans="1:15" x14ac:dyDescent="0.25">
      <c r="A212" t="s">
        <v>317</v>
      </c>
      <c r="K212" t="s">
        <v>40</v>
      </c>
      <c r="L212">
        <v>100</v>
      </c>
      <c r="M212" t="s">
        <v>38</v>
      </c>
    </row>
    <row r="213" spans="1:15" x14ac:dyDescent="0.25">
      <c r="A213" t="s">
        <v>318</v>
      </c>
      <c r="K213" t="s">
        <v>40</v>
      </c>
      <c r="L213" s="27">
        <f>L212</f>
        <v>100</v>
      </c>
      <c r="M213" s="27" t="s">
        <v>38</v>
      </c>
      <c r="N213" s="27" t="s">
        <v>216</v>
      </c>
    </row>
    <row r="214" spans="1:15" x14ac:dyDescent="0.25">
      <c r="A214" t="s">
        <v>180</v>
      </c>
      <c r="K214" t="s">
        <v>40</v>
      </c>
      <c r="L214">
        <v>4</v>
      </c>
      <c r="M214" t="s">
        <v>38</v>
      </c>
    </row>
    <row r="215" spans="1:15" x14ac:dyDescent="0.25">
      <c r="A215" t="s">
        <v>185</v>
      </c>
      <c r="K215" t="s">
        <v>40</v>
      </c>
      <c r="L215" s="27">
        <f>L214</f>
        <v>4</v>
      </c>
      <c r="M215" s="27" t="s">
        <v>38</v>
      </c>
      <c r="N215" s="27" t="s">
        <v>216</v>
      </c>
    </row>
    <row r="216" spans="1:15" x14ac:dyDescent="0.25">
      <c r="A216" t="s">
        <v>88</v>
      </c>
      <c r="K216" t="s">
        <v>40</v>
      </c>
      <c r="L216">
        <v>100</v>
      </c>
      <c r="M216" t="s">
        <v>38</v>
      </c>
    </row>
    <row r="217" spans="1:15" x14ac:dyDescent="0.25">
      <c r="A217" t="s">
        <v>181</v>
      </c>
      <c r="K217" t="s">
        <v>40</v>
      </c>
      <c r="L217">
        <v>8</v>
      </c>
      <c r="M217" t="s">
        <v>38</v>
      </c>
    </row>
    <row r="218" spans="1:15" x14ac:dyDescent="0.25">
      <c r="A218" t="s">
        <v>186</v>
      </c>
      <c r="K218" t="s">
        <v>40</v>
      </c>
      <c r="L218" s="27">
        <f>L217</f>
        <v>8</v>
      </c>
      <c r="M218" s="27" t="s">
        <v>38</v>
      </c>
      <c r="N218" s="27" t="s">
        <v>216</v>
      </c>
    </row>
    <row r="219" spans="1:15" x14ac:dyDescent="0.25">
      <c r="A219" t="s">
        <v>182</v>
      </c>
      <c r="K219" t="s">
        <v>40</v>
      </c>
      <c r="L219">
        <v>1</v>
      </c>
      <c r="M219" t="s">
        <v>38</v>
      </c>
    </row>
    <row r="220" spans="1:15" x14ac:dyDescent="0.25">
      <c r="A220" t="s">
        <v>187</v>
      </c>
      <c r="K220" t="s">
        <v>40</v>
      </c>
      <c r="L220" s="27">
        <f>L219</f>
        <v>1</v>
      </c>
      <c r="M220" s="27" t="s">
        <v>38</v>
      </c>
      <c r="N220" s="27" t="s">
        <v>216</v>
      </c>
    </row>
    <row r="221" spans="1:15" x14ac:dyDescent="0.25">
      <c r="A221" t="s">
        <v>183</v>
      </c>
      <c r="K221" t="s">
        <v>40</v>
      </c>
      <c r="L221" s="6">
        <v>22</v>
      </c>
      <c r="M221" s="17" t="s">
        <v>38</v>
      </c>
      <c r="N221" t="s">
        <v>149</v>
      </c>
    </row>
    <row r="222" spans="1:15" x14ac:dyDescent="0.25">
      <c r="A222" t="s">
        <v>188</v>
      </c>
      <c r="K222" t="s">
        <v>40</v>
      </c>
      <c r="L222" s="27">
        <f>L221</f>
        <v>22</v>
      </c>
      <c r="M222" s="27" t="s">
        <v>38</v>
      </c>
      <c r="N222" s="27" t="s">
        <v>216</v>
      </c>
    </row>
    <row r="223" spans="1:15" s="17" customFormat="1" x14ac:dyDescent="0.25">
      <c r="A223" s="17" t="s">
        <v>418</v>
      </c>
      <c r="K223" s="17" t="s">
        <v>40</v>
      </c>
      <c r="L223" s="17">
        <v>0</v>
      </c>
      <c r="M223" s="17" t="s">
        <v>38</v>
      </c>
    </row>
    <row r="224" spans="1:15" x14ac:dyDescent="0.25">
      <c r="A224" s="4" t="s">
        <v>11</v>
      </c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5"/>
      <c r="M224" s="5"/>
      <c r="N224" s="5"/>
      <c r="O224" s="5"/>
    </row>
    <row r="225" spans="1:15" x14ac:dyDescent="0.25">
      <c r="A225" s="17" t="s">
        <v>99</v>
      </c>
      <c r="K225" t="s">
        <v>40</v>
      </c>
      <c r="L225" s="17">
        <v>16</v>
      </c>
      <c r="M225" s="17" t="s">
        <v>38</v>
      </c>
    </row>
    <row r="226" spans="1:15" x14ac:dyDescent="0.25">
      <c r="A226" s="17" t="s">
        <v>100</v>
      </c>
      <c r="K226" t="s">
        <v>40</v>
      </c>
      <c r="L226" s="17">
        <v>16</v>
      </c>
      <c r="M226" s="17" t="s">
        <v>38</v>
      </c>
    </row>
    <row r="227" spans="1:15" x14ac:dyDescent="0.25">
      <c r="A227" s="17" t="s">
        <v>209</v>
      </c>
      <c r="K227" t="s">
        <v>40</v>
      </c>
      <c r="L227" s="17">
        <v>16</v>
      </c>
      <c r="M227" s="17" t="s">
        <v>38</v>
      </c>
    </row>
    <row r="228" spans="1:15" x14ac:dyDescent="0.25">
      <c r="A228" s="17" t="s">
        <v>101</v>
      </c>
      <c r="K228" t="s">
        <v>40</v>
      </c>
      <c r="L228" s="17">
        <v>16</v>
      </c>
      <c r="M228" s="17" t="s">
        <v>38</v>
      </c>
    </row>
    <row r="229" spans="1:15" x14ac:dyDescent="0.25">
      <c r="A229" s="4" t="s">
        <v>13</v>
      </c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5"/>
      <c r="M229" s="5"/>
      <c r="N229" s="5"/>
      <c r="O229" s="5"/>
    </row>
    <row r="230" spans="1:15" x14ac:dyDescent="0.25">
      <c r="A230" s="17" t="s">
        <v>241</v>
      </c>
      <c r="K230" t="s">
        <v>40</v>
      </c>
      <c r="L230" s="17">
        <v>85</v>
      </c>
      <c r="M230" s="17" t="s">
        <v>38</v>
      </c>
    </row>
    <row r="231" spans="1:15" x14ac:dyDescent="0.25">
      <c r="A231" s="17" t="s">
        <v>242</v>
      </c>
      <c r="K231" t="s">
        <v>40</v>
      </c>
      <c r="L231" s="17">
        <v>85</v>
      </c>
      <c r="M231" s="17" t="s">
        <v>38</v>
      </c>
    </row>
    <row r="232" spans="1:15" x14ac:dyDescent="0.25">
      <c r="A232" s="17" t="s">
        <v>243</v>
      </c>
      <c r="K232" t="s">
        <v>40</v>
      </c>
      <c r="L232" s="17">
        <v>85</v>
      </c>
      <c r="M232" s="17" t="s">
        <v>38</v>
      </c>
    </row>
    <row r="233" spans="1:15" x14ac:dyDescent="0.25">
      <c r="A233" s="17" t="s">
        <v>245</v>
      </c>
      <c r="K233" t="s">
        <v>40</v>
      </c>
      <c r="L233" s="17">
        <v>95</v>
      </c>
      <c r="M233" s="17" t="s">
        <v>38</v>
      </c>
    </row>
    <row r="234" spans="1:15" x14ac:dyDescent="0.25">
      <c r="A234" s="17" t="s">
        <v>254</v>
      </c>
      <c r="K234" t="s">
        <v>40</v>
      </c>
      <c r="L234" s="6">
        <v>97</v>
      </c>
      <c r="M234" s="17" t="s">
        <v>38</v>
      </c>
      <c r="N234" s="6" t="s">
        <v>266</v>
      </c>
    </row>
    <row r="235" spans="1:15" x14ac:dyDescent="0.25">
      <c r="A235" s="17" t="s">
        <v>255</v>
      </c>
      <c r="K235" t="s">
        <v>40</v>
      </c>
      <c r="L235" s="17">
        <v>29</v>
      </c>
      <c r="M235" s="17" t="s">
        <v>38</v>
      </c>
    </row>
    <row r="236" spans="1:15" x14ac:dyDescent="0.25">
      <c r="A236" s="17" t="s">
        <v>261</v>
      </c>
      <c r="C236" s="9"/>
      <c r="D236" s="9"/>
      <c r="K236" t="s">
        <v>40</v>
      </c>
      <c r="L236" s="6">
        <v>50</v>
      </c>
      <c r="M236" s="17" t="s">
        <v>38</v>
      </c>
      <c r="N236" s="6" t="s">
        <v>265</v>
      </c>
    </row>
    <row r="237" spans="1:15" x14ac:dyDescent="0.25">
      <c r="A237" s="17" t="s">
        <v>256</v>
      </c>
      <c r="K237" t="s">
        <v>40</v>
      </c>
      <c r="L237" s="6">
        <v>90</v>
      </c>
      <c r="M237" s="17" t="s">
        <v>38</v>
      </c>
      <c r="N237" s="6" t="s">
        <v>265</v>
      </c>
    </row>
    <row r="238" spans="1:15" x14ac:dyDescent="0.25">
      <c r="A238" s="4" t="s">
        <v>12</v>
      </c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5"/>
      <c r="M238" s="5"/>
      <c r="N238" s="5"/>
      <c r="O238" s="5"/>
    </row>
    <row r="239" spans="1:15" x14ac:dyDescent="0.25">
      <c r="A239" s="17" t="s">
        <v>135</v>
      </c>
      <c r="K239" t="s">
        <v>40</v>
      </c>
      <c r="L239">
        <v>7</v>
      </c>
      <c r="M239" s="17" t="s">
        <v>38</v>
      </c>
    </row>
    <row r="240" spans="1:15" x14ac:dyDescent="0.25">
      <c r="A240" s="17" t="s">
        <v>382</v>
      </c>
      <c r="B240" s="17"/>
      <c r="C240" s="17"/>
      <c r="D240" s="17"/>
      <c r="E240" s="17"/>
      <c r="F240" s="17"/>
      <c r="G240" s="17"/>
      <c r="H240" s="17"/>
      <c r="I240" s="17"/>
      <c r="J240" s="17"/>
      <c r="K240" s="17" t="s">
        <v>40</v>
      </c>
      <c r="L240" s="17">
        <v>7</v>
      </c>
      <c r="M240" s="17" t="s">
        <v>38</v>
      </c>
      <c r="N240" s="17" t="s">
        <v>417</v>
      </c>
    </row>
    <row r="241" spans="1:15" x14ac:dyDescent="0.25">
      <c r="A241" s="17" t="s">
        <v>141</v>
      </c>
      <c r="K241" t="s">
        <v>40</v>
      </c>
      <c r="L241" s="17">
        <v>35</v>
      </c>
      <c r="M241" s="17" t="s">
        <v>38</v>
      </c>
    </row>
    <row r="242" spans="1:15" x14ac:dyDescent="0.25">
      <c r="A242" s="17" t="s">
        <v>137</v>
      </c>
      <c r="K242" t="s">
        <v>40</v>
      </c>
      <c r="L242" s="17">
        <v>63</v>
      </c>
      <c r="M242" s="17" t="s">
        <v>38</v>
      </c>
    </row>
    <row r="243" spans="1:15" x14ac:dyDescent="0.25">
      <c r="A243" s="17" t="s">
        <v>138</v>
      </c>
      <c r="K243" t="s">
        <v>40</v>
      </c>
      <c r="L243" s="17">
        <v>54</v>
      </c>
      <c r="M243" s="17" t="s">
        <v>38</v>
      </c>
      <c r="N243" s="6"/>
    </row>
    <row r="244" spans="1:15" x14ac:dyDescent="0.25">
      <c r="A244" s="17" t="s">
        <v>139</v>
      </c>
      <c r="K244" t="s">
        <v>40</v>
      </c>
      <c r="L244" s="6">
        <v>75</v>
      </c>
      <c r="M244" s="17" t="s">
        <v>38</v>
      </c>
      <c r="N244" s="6" t="s">
        <v>252</v>
      </c>
    </row>
    <row r="245" spans="1:15" x14ac:dyDescent="0.25">
      <c r="A245" s="17" t="s">
        <v>140</v>
      </c>
      <c r="K245" t="s">
        <v>40</v>
      </c>
      <c r="L245" s="17">
        <v>10</v>
      </c>
      <c r="M245" s="17" t="s">
        <v>38</v>
      </c>
    </row>
    <row r="246" spans="1:15" x14ac:dyDescent="0.25">
      <c r="A246" s="17" t="s">
        <v>107</v>
      </c>
      <c r="K246" t="s">
        <v>40</v>
      </c>
      <c r="L246" s="17">
        <v>90</v>
      </c>
      <c r="M246" s="17" t="s">
        <v>38</v>
      </c>
    </row>
    <row r="247" spans="1:15" x14ac:dyDescent="0.25">
      <c r="A247" s="17" t="s">
        <v>110</v>
      </c>
      <c r="K247" t="s">
        <v>40</v>
      </c>
      <c r="L247" s="17">
        <v>46</v>
      </c>
      <c r="M247" s="17" t="s">
        <v>38</v>
      </c>
    </row>
    <row r="248" spans="1:15" x14ac:dyDescent="0.25">
      <c r="A248" s="17" t="s">
        <v>249</v>
      </c>
      <c r="K248" t="s">
        <v>40</v>
      </c>
      <c r="L248" s="17">
        <v>100</v>
      </c>
      <c r="M248" s="17" t="s">
        <v>38</v>
      </c>
    </row>
    <row r="249" spans="1:15" x14ac:dyDescent="0.25">
      <c r="A249" s="17" t="s">
        <v>148</v>
      </c>
      <c r="K249" t="s">
        <v>40</v>
      </c>
      <c r="L249" s="6">
        <v>90</v>
      </c>
      <c r="M249" s="17" t="s">
        <v>38</v>
      </c>
      <c r="N249" s="6" t="s">
        <v>265</v>
      </c>
    </row>
    <row r="250" spans="1:15" x14ac:dyDescent="0.25">
      <c r="A250" s="4" t="s">
        <v>14</v>
      </c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5"/>
      <c r="M250" s="5" t="s">
        <v>327</v>
      </c>
      <c r="N250" s="41">
        <v>0.81799999999999995</v>
      </c>
      <c r="O250" s="5"/>
    </row>
    <row r="251" spans="1:15" x14ac:dyDescent="0.25">
      <c r="A251" s="6" t="s">
        <v>62</v>
      </c>
      <c r="K251" t="s">
        <v>40</v>
      </c>
      <c r="L251" s="13">
        <f>8.5*20/(29.5+8.5)*$N$250</f>
        <v>3.6594736842105262</v>
      </c>
      <c r="M251" t="s">
        <v>38</v>
      </c>
    </row>
    <row r="252" spans="1:15" x14ac:dyDescent="0.25">
      <c r="A252" s="6" t="s">
        <v>61</v>
      </c>
      <c r="K252" t="s">
        <v>40</v>
      </c>
      <c r="L252" s="13">
        <f>(80.7*0+14.4*20+0.3*5*0)/(80.7+14.4+0.3*5)*$N$250</f>
        <v>2.438757763975155</v>
      </c>
      <c r="M252" t="s">
        <v>38</v>
      </c>
    </row>
    <row r="253" spans="1:15" x14ac:dyDescent="0.25">
      <c r="A253" s="6" t="s">
        <v>63</v>
      </c>
      <c r="K253" t="s">
        <v>40</v>
      </c>
      <c r="L253" s="13">
        <f>(45.6*0+44.1*20+1.3*5*0+1.8*10*0)/(45.6+44.1+1.3*5+1.8*10)*$N$250</f>
        <v>6.317653239929947</v>
      </c>
      <c r="M253" t="s">
        <v>38</v>
      </c>
    </row>
    <row r="254" spans="1:15" x14ac:dyDescent="0.25">
      <c r="A254" s="6" t="s">
        <v>64</v>
      </c>
      <c r="K254" t="s">
        <v>40</v>
      </c>
      <c r="L254">
        <f>60*$N$250</f>
        <v>49.08</v>
      </c>
      <c r="M254" t="s">
        <v>38</v>
      </c>
    </row>
    <row r="255" spans="1:15" x14ac:dyDescent="0.25">
      <c r="A255" s="6" t="s">
        <v>68</v>
      </c>
      <c r="K255" t="s">
        <v>40</v>
      </c>
      <c r="L255">
        <f>0*$N$250</f>
        <v>0</v>
      </c>
      <c r="M255" t="s">
        <v>38</v>
      </c>
    </row>
    <row r="256" spans="1:15" x14ac:dyDescent="0.25">
      <c r="A256" s="6" t="s">
        <v>69</v>
      </c>
      <c r="K256" t="s">
        <v>40</v>
      </c>
      <c r="L256">
        <f>20*$N$250</f>
        <v>16.36</v>
      </c>
      <c r="M256" t="s">
        <v>38</v>
      </c>
    </row>
    <row r="257" spans="1:15" x14ac:dyDescent="0.25">
      <c r="A257" s="6" t="s">
        <v>66</v>
      </c>
      <c r="K257" t="s">
        <v>40</v>
      </c>
      <c r="L257">
        <f>20*$N$250</f>
        <v>16.36</v>
      </c>
      <c r="M257" t="s">
        <v>38</v>
      </c>
    </row>
    <row r="258" spans="1:15" x14ac:dyDescent="0.25">
      <c r="A258" s="6" t="s">
        <v>67</v>
      </c>
      <c r="K258" t="s">
        <v>40</v>
      </c>
      <c r="L258">
        <f>20*$N$250</f>
        <v>16.36</v>
      </c>
      <c r="M258" t="s">
        <v>38</v>
      </c>
    </row>
    <row r="259" spans="1:15" x14ac:dyDescent="0.25">
      <c r="A259" s="6" t="s">
        <v>65</v>
      </c>
      <c r="K259" t="s">
        <v>40</v>
      </c>
      <c r="L259">
        <f>43*$N$250</f>
        <v>35.173999999999999</v>
      </c>
      <c r="M259" t="s">
        <v>38</v>
      </c>
    </row>
    <row r="260" spans="1:15" s="17" customFormat="1" x14ac:dyDescent="0.25">
      <c r="A260" s="17" t="s">
        <v>384</v>
      </c>
      <c r="K260" s="17" t="s">
        <v>40</v>
      </c>
      <c r="L260" s="17">
        <v>3.7</v>
      </c>
      <c r="M260" s="17" t="s">
        <v>38</v>
      </c>
      <c r="N260" s="17" t="s">
        <v>419</v>
      </c>
    </row>
    <row r="261" spans="1:15" x14ac:dyDescent="0.25">
      <c r="A261" s="4" t="s">
        <v>23</v>
      </c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5"/>
      <c r="M261" s="5"/>
      <c r="N261" s="5"/>
      <c r="O261" s="5"/>
    </row>
    <row r="262" spans="1:15" x14ac:dyDescent="0.25">
      <c r="A262" t="s">
        <v>54</v>
      </c>
      <c r="K262" t="s">
        <v>40</v>
      </c>
      <c r="L262" s="17">
        <v>36.909999999999997</v>
      </c>
      <c r="M262" t="s">
        <v>38</v>
      </c>
      <c r="N262" s="6"/>
    </row>
    <row r="263" spans="1:15" x14ac:dyDescent="0.25">
      <c r="A263" t="s">
        <v>95</v>
      </c>
      <c r="K263" t="s">
        <v>40</v>
      </c>
      <c r="L263" s="17">
        <v>43.11</v>
      </c>
      <c r="M263" t="s">
        <v>38</v>
      </c>
      <c r="N263" s="6"/>
    </row>
    <row r="264" spans="1:15" x14ac:dyDescent="0.25">
      <c r="A264" t="s">
        <v>346</v>
      </c>
      <c r="K264" t="s">
        <v>40</v>
      </c>
      <c r="L264" s="17">
        <v>63.94</v>
      </c>
      <c r="M264" s="17" t="s">
        <v>38</v>
      </c>
      <c r="N264" s="6"/>
    </row>
    <row r="265" spans="1:15" x14ac:dyDescent="0.25">
      <c r="A265" t="s">
        <v>267</v>
      </c>
      <c r="K265" t="s">
        <v>40</v>
      </c>
      <c r="L265" s="17">
        <v>36.49</v>
      </c>
      <c r="M265" t="s">
        <v>38</v>
      </c>
      <c r="N265" s="6"/>
    </row>
    <row r="266" spans="1:15" x14ac:dyDescent="0.25">
      <c r="A266" s="4" t="s">
        <v>15</v>
      </c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5"/>
      <c r="M266" s="5"/>
      <c r="N266" s="5"/>
      <c r="O266" s="5"/>
    </row>
    <row r="267" spans="1:15" x14ac:dyDescent="0.25">
      <c r="A267" t="s">
        <v>15</v>
      </c>
      <c r="K267" t="s">
        <v>40</v>
      </c>
      <c r="L267" s="17">
        <f>2.5</f>
        <v>2.5</v>
      </c>
      <c r="M267" t="s">
        <v>38</v>
      </c>
      <c r="N267" s="17" t="s">
        <v>343</v>
      </c>
      <c r="O267" t="s">
        <v>342</v>
      </c>
    </row>
    <row r="268" spans="1:15" x14ac:dyDescent="0.25">
      <c r="A268" s="17" t="s">
        <v>385</v>
      </c>
      <c r="B268" s="17"/>
      <c r="C268" s="17"/>
      <c r="D268" s="17"/>
      <c r="E268" s="17"/>
      <c r="F268" s="17"/>
      <c r="G268" s="17"/>
      <c r="H268" s="17"/>
      <c r="I268" s="17"/>
      <c r="J268" s="17"/>
      <c r="K268" s="17" t="s">
        <v>40</v>
      </c>
      <c r="L268" s="17">
        <v>2.5</v>
      </c>
      <c r="M268" s="17" t="s">
        <v>38</v>
      </c>
      <c r="N268" s="17"/>
    </row>
    <row r="269" spans="1:15" x14ac:dyDescent="0.25">
      <c r="A269" s="4" t="s">
        <v>20</v>
      </c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5"/>
      <c r="M269" s="5"/>
      <c r="N269" s="5"/>
      <c r="O269" s="5"/>
    </row>
    <row r="270" spans="1:15" x14ac:dyDescent="0.25">
      <c r="A270" t="s">
        <v>202</v>
      </c>
      <c r="K270" t="s">
        <v>40</v>
      </c>
      <c r="L270">
        <v>5</v>
      </c>
      <c r="M270" t="s">
        <v>38</v>
      </c>
    </row>
    <row r="271" spans="1:15" x14ac:dyDescent="0.25">
      <c r="A271" s="26" t="s">
        <v>203</v>
      </c>
      <c r="K271" t="s">
        <v>40</v>
      </c>
      <c r="L271">
        <v>0.4</v>
      </c>
      <c r="M271" t="s">
        <v>38</v>
      </c>
    </row>
    <row r="272" spans="1:15" x14ac:dyDescent="0.25">
      <c r="A272" s="26" t="s">
        <v>204</v>
      </c>
      <c r="K272" t="s">
        <v>40</v>
      </c>
      <c r="L272" s="6">
        <v>95</v>
      </c>
      <c r="M272" t="s">
        <v>38</v>
      </c>
      <c r="N272" s="6" t="s">
        <v>150</v>
      </c>
    </row>
    <row r="273" spans="1:15" x14ac:dyDescent="0.25">
      <c r="A273" s="26" t="s">
        <v>205</v>
      </c>
      <c r="K273" t="s">
        <v>40</v>
      </c>
      <c r="L273">
        <v>100</v>
      </c>
      <c r="M273" t="s">
        <v>38</v>
      </c>
    </row>
    <row r="274" spans="1:15" x14ac:dyDescent="0.25">
      <c r="A274" s="26" t="s">
        <v>206</v>
      </c>
      <c r="B274" s="8"/>
      <c r="C274" s="8"/>
      <c r="D274" s="8"/>
      <c r="E274" s="9"/>
      <c r="F274" s="9"/>
      <c r="G274" s="8"/>
      <c r="H274" s="8"/>
      <c r="I274" s="8"/>
      <c r="J274" s="8"/>
      <c r="K274" t="s">
        <v>40</v>
      </c>
      <c r="L274">
        <v>100</v>
      </c>
      <c r="M274" t="s">
        <v>38</v>
      </c>
      <c r="N274" s="8"/>
      <c r="O274" s="8"/>
    </row>
    <row r="275" spans="1:15" s="17" customFormat="1" x14ac:dyDescent="0.25">
      <c r="A275" s="17" t="s">
        <v>387</v>
      </c>
      <c r="B275" s="19"/>
      <c r="C275" s="19"/>
      <c r="D275" s="19"/>
      <c r="E275" s="18"/>
      <c r="F275" s="18"/>
      <c r="G275" s="19"/>
      <c r="H275" s="19"/>
      <c r="I275" s="19"/>
      <c r="J275" s="19"/>
      <c r="K275" s="17" t="s">
        <v>40</v>
      </c>
      <c r="L275" s="17">
        <v>100</v>
      </c>
      <c r="M275" s="17" t="s">
        <v>38</v>
      </c>
      <c r="N275" s="19" t="s">
        <v>420</v>
      </c>
      <c r="O275" s="19"/>
    </row>
    <row r="276" spans="1:15" s="17" customFormat="1" x14ac:dyDescent="0.25">
      <c r="A276" s="17" t="s">
        <v>388</v>
      </c>
      <c r="B276" s="19"/>
      <c r="C276" s="19"/>
      <c r="D276" s="19"/>
      <c r="E276" s="18"/>
      <c r="F276" s="18"/>
      <c r="G276" s="19"/>
      <c r="H276" s="19"/>
      <c r="I276" s="19"/>
      <c r="J276" s="19"/>
      <c r="K276" s="17" t="s">
        <v>40</v>
      </c>
      <c r="L276" s="17">
        <v>100</v>
      </c>
      <c r="M276" s="17" t="s">
        <v>38</v>
      </c>
      <c r="N276" s="19" t="s">
        <v>420</v>
      </c>
      <c r="O276" s="19"/>
    </row>
    <row r="277" spans="1:15" x14ac:dyDescent="0.25">
      <c r="A277" s="4" t="s">
        <v>21</v>
      </c>
      <c r="B277" s="4"/>
      <c r="C277" s="4"/>
      <c r="D277" s="50"/>
      <c r="E277" s="4"/>
      <c r="F277" s="4"/>
      <c r="G277" s="4"/>
      <c r="H277" s="4"/>
      <c r="I277" s="4"/>
      <c r="J277" s="4"/>
      <c r="K277" s="5"/>
      <c r="L277" s="5"/>
      <c r="M277" s="5"/>
      <c r="N277" s="5"/>
      <c r="O277" s="5"/>
    </row>
    <row r="278" spans="1:15" s="7" customFormat="1" x14ac:dyDescent="0.25">
      <c r="A278" s="17" t="s">
        <v>389</v>
      </c>
      <c r="B278" s="19"/>
      <c r="C278" s="19"/>
      <c r="D278" s="19"/>
      <c r="E278" s="18"/>
      <c r="F278" s="18"/>
      <c r="G278" s="19"/>
      <c r="H278" s="19"/>
      <c r="I278" s="19"/>
      <c r="J278" s="19"/>
      <c r="K278" s="17" t="s">
        <v>40</v>
      </c>
      <c r="L278" s="58">
        <v>100</v>
      </c>
      <c r="M278" s="17" t="s">
        <v>38</v>
      </c>
      <c r="N278" s="56" t="s">
        <v>420</v>
      </c>
      <c r="O278" s="56"/>
    </row>
    <row r="279" spans="1:15" s="7" customFormat="1" x14ac:dyDescent="0.25">
      <c r="A279" s="17" t="s">
        <v>391</v>
      </c>
      <c r="B279" s="19"/>
      <c r="C279" s="19"/>
      <c r="D279" s="19"/>
      <c r="E279" s="18"/>
      <c r="F279" s="18"/>
      <c r="G279" s="19"/>
      <c r="H279" s="19"/>
      <c r="I279" s="19"/>
      <c r="J279" s="19"/>
      <c r="K279" s="17" t="s">
        <v>40</v>
      </c>
      <c r="L279" s="58">
        <v>100</v>
      </c>
      <c r="M279" s="17" t="s">
        <v>38</v>
      </c>
      <c r="N279" s="56" t="s">
        <v>420</v>
      </c>
      <c r="O279" s="56"/>
    </row>
    <row r="280" spans="1:15" s="7" customFormat="1" x14ac:dyDescent="0.25">
      <c r="A280" s="59" t="s">
        <v>392</v>
      </c>
      <c r="B280" s="60"/>
      <c r="C280" s="60"/>
      <c r="D280" s="60"/>
      <c r="E280" s="60"/>
      <c r="F280" s="60"/>
      <c r="G280" s="60"/>
      <c r="H280" s="60"/>
      <c r="I280" s="60"/>
      <c r="J280" s="60"/>
      <c r="K280" s="61"/>
      <c r="L280" s="62"/>
      <c r="M280" s="61"/>
      <c r="N280" s="57"/>
      <c r="O280" s="57"/>
    </row>
    <row r="281" spans="1:15" s="7" customFormat="1" x14ac:dyDescent="0.25">
      <c r="A281" s="17" t="s">
        <v>393</v>
      </c>
      <c r="B281" s="19"/>
      <c r="C281" s="19"/>
      <c r="D281" s="19"/>
      <c r="E281" s="18"/>
      <c r="F281" s="18"/>
      <c r="G281" s="19"/>
      <c r="H281" s="19"/>
      <c r="I281" s="19"/>
      <c r="J281" s="19"/>
      <c r="K281" s="17" t="s">
        <v>40</v>
      </c>
      <c r="L281" s="58">
        <v>100</v>
      </c>
      <c r="M281" s="17" t="s">
        <v>38</v>
      </c>
      <c r="N281" s="56" t="s">
        <v>420</v>
      </c>
      <c r="O281" s="56"/>
    </row>
    <row r="282" spans="1:15" x14ac:dyDescent="0.25">
      <c r="A282" s="4" t="s">
        <v>22</v>
      </c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5"/>
      <c r="M282" s="5"/>
      <c r="N282" s="5"/>
      <c r="O282" s="5"/>
    </row>
    <row r="283" spans="1:15" x14ac:dyDescent="0.25">
      <c r="A283" t="s">
        <v>126</v>
      </c>
      <c r="K283" t="s">
        <v>40</v>
      </c>
      <c r="L283" s="15">
        <v>52</v>
      </c>
      <c r="M283" t="s">
        <v>38</v>
      </c>
      <c r="N283" s="24"/>
    </row>
    <row r="284" spans="1:15" s="17" customFormat="1" x14ac:dyDescent="0.25">
      <c r="A284" s="17" t="s">
        <v>395</v>
      </c>
      <c r="K284" s="17" t="s">
        <v>40</v>
      </c>
      <c r="L284" s="15">
        <v>52</v>
      </c>
      <c r="M284" s="17" t="s">
        <v>38</v>
      </c>
      <c r="N284" s="63" t="s">
        <v>421</v>
      </c>
    </row>
    <row r="285" spans="1:15" s="17" customFormat="1" x14ac:dyDescent="0.25">
      <c r="A285" s="17" t="s">
        <v>133</v>
      </c>
      <c r="K285" s="17" t="s">
        <v>40</v>
      </c>
      <c r="L285" s="15">
        <v>100</v>
      </c>
      <c r="M285" s="17" t="s">
        <v>38</v>
      </c>
      <c r="N285" s="63"/>
    </row>
    <row r="286" spans="1:15" x14ac:dyDescent="0.25">
      <c r="A286" s="4" t="s">
        <v>24</v>
      </c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5"/>
      <c r="M286" s="5"/>
      <c r="N286" s="5"/>
      <c r="O286" s="5"/>
    </row>
    <row r="287" spans="1:15" x14ac:dyDescent="0.25">
      <c r="A287" t="s">
        <v>217</v>
      </c>
      <c r="K287" t="s">
        <v>40</v>
      </c>
      <c r="L287" s="6">
        <v>24</v>
      </c>
      <c r="M287" t="s">
        <v>38</v>
      </c>
      <c r="N287" s="6" t="s">
        <v>222</v>
      </c>
    </row>
    <row r="288" spans="1:15" x14ac:dyDescent="0.25">
      <c r="A288" t="s">
        <v>219</v>
      </c>
      <c r="K288" t="s">
        <v>40</v>
      </c>
      <c r="L288" s="27">
        <f>L287</f>
        <v>24</v>
      </c>
      <c r="M288" s="27" t="s">
        <v>38</v>
      </c>
      <c r="N288" s="27" t="s">
        <v>221</v>
      </c>
    </row>
    <row r="289" spans="1:15" x14ac:dyDescent="0.25">
      <c r="A289" t="s">
        <v>218</v>
      </c>
      <c r="K289" t="s">
        <v>40</v>
      </c>
      <c r="L289">
        <v>61</v>
      </c>
      <c r="M289" t="s">
        <v>38</v>
      </c>
    </row>
    <row r="290" spans="1:15" x14ac:dyDescent="0.25">
      <c r="A290" s="4" t="s">
        <v>29</v>
      </c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5"/>
      <c r="M290" s="5"/>
      <c r="N290" s="5"/>
      <c r="O290" s="5"/>
    </row>
    <row r="291" spans="1:15" x14ac:dyDescent="0.25">
      <c r="A291" t="s">
        <v>227</v>
      </c>
      <c r="K291" t="s">
        <v>40</v>
      </c>
      <c r="L291">
        <v>100</v>
      </c>
      <c r="M291" t="s">
        <v>38</v>
      </c>
    </row>
    <row r="292" spans="1:15" x14ac:dyDescent="0.25">
      <c r="A292" t="s">
        <v>230</v>
      </c>
      <c r="K292" t="s">
        <v>40</v>
      </c>
      <c r="L292">
        <v>4</v>
      </c>
      <c r="M292" t="s">
        <v>38</v>
      </c>
      <c r="N292" t="s">
        <v>113</v>
      </c>
    </row>
    <row r="293" spans="1:15" x14ac:dyDescent="0.25">
      <c r="A293" t="s">
        <v>228</v>
      </c>
      <c r="K293" t="s">
        <v>40</v>
      </c>
      <c r="L293">
        <v>85</v>
      </c>
      <c r="M293" t="s">
        <v>38</v>
      </c>
      <c r="N293" t="s">
        <v>233</v>
      </c>
    </row>
    <row r="294" spans="1:15" x14ac:dyDescent="0.25">
      <c r="A294" t="s">
        <v>231</v>
      </c>
      <c r="K294" t="s">
        <v>40</v>
      </c>
      <c r="L294">
        <v>22</v>
      </c>
      <c r="M294" t="s">
        <v>38</v>
      </c>
      <c r="N294" t="s">
        <v>234</v>
      </c>
    </row>
    <row r="295" spans="1:15" s="17" customFormat="1" x14ac:dyDescent="0.25">
      <c r="A295" s="59" t="s">
        <v>33</v>
      </c>
      <c r="B295" s="59"/>
      <c r="C295" s="59"/>
      <c r="D295" s="59"/>
      <c r="E295" s="59"/>
      <c r="F295" s="59"/>
      <c r="G295" s="59"/>
      <c r="H295" s="59"/>
      <c r="I295" s="59"/>
      <c r="J295" s="59"/>
      <c r="K295" s="61"/>
      <c r="L295" s="61"/>
      <c r="M295" s="61"/>
      <c r="N295" s="61"/>
      <c r="O295" s="61"/>
    </row>
    <row r="296" spans="1:15" s="17" customFormat="1" x14ac:dyDescent="0.25">
      <c r="A296" s="64" t="s">
        <v>397</v>
      </c>
      <c r="B296" s="64" t="s">
        <v>398</v>
      </c>
      <c r="C296" s="65"/>
      <c r="D296" s="65"/>
      <c r="E296" s="65"/>
      <c r="F296" s="65"/>
      <c r="G296" s="65"/>
      <c r="H296" s="65"/>
      <c r="I296" s="65"/>
      <c r="J296" s="65"/>
      <c r="K296" s="64" t="s">
        <v>40</v>
      </c>
      <c r="L296" s="17">
        <v>5</v>
      </c>
      <c r="M296" s="64" t="s">
        <v>38</v>
      </c>
      <c r="N296" s="64" t="s">
        <v>422</v>
      </c>
    </row>
    <row r="297" spans="1:15" s="17" customFormat="1" x14ac:dyDescent="0.25">
      <c r="A297" s="64" t="s">
        <v>399</v>
      </c>
      <c r="B297" s="64" t="s">
        <v>423</v>
      </c>
      <c r="C297" s="65"/>
      <c r="D297" s="65"/>
      <c r="E297" s="65"/>
      <c r="F297" s="65"/>
      <c r="G297" s="65"/>
      <c r="H297" s="65"/>
      <c r="I297" s="65"/>
      <c r="J297" s="65"/>
      <c r="K297" s="64" t="s">
        <v>40</v>
      </c>
      <c r="L297" s="17">
        <v>100</v>
      </c>
      <c r="M297" s="64" t="s">
        <v>38</v>
      </c>
      <c r="N297" s="64" t="s">
        <v>424</v>
      </c>
    </row>
    <row r="298" spans="1:15" s="17" customFormat="1" x14ac:dyDescent="0.25">
      <c r="A298" s="64" t="s">
        <v>401</v>
      </c>
      <c r="B298" s="64" t="s">
        <v>398</v>
      </c>
      <c r="C298" s="64"/>
      <c r="D298" s="64"/>
      <c r="E298" s="64"/>
      <c r="F298" s="64"/>
      <c r="G298" s="64"/>
      <c r="H298" s="64"/>
      <c r="I298" s="64"/>
      <c r="J298" s="64"/>
      <c r="K298" s="64" t="s">
        <v>40</v>
      </c>
      <c r="L298" s="17">
        <v>22</v>
      </c>
      <c r="M298" s="64" t="s">
        <v>38</v>
      </c>
      <c r="N298" s="64" t="s">
        <v>425</v>
      </c>
      <c r="O298" s="64"/>
    </row>
    <row r="299" spans="1:15" s="17" customFormat="1" x14ac:dyDescent="0.25">
      <c r="A299" s="17" t="s">
        <v>402</v>
      </c>
      <c r="B299" s="17" t="s">
        <v>403</v>
      </c>
      <c r="K299" s="17" t="s">
        <v>40</v>
      </c>
      <c r="L299" s="17">
        <v>1</v>
      </c>
      <c r="M299" s="17" t="s">
        <v>38</v>
      </c>
      <c r="N299" s="64" t="s">
        <v>426</v>
      </c>
    </row>
    <row r="300" spans="1:15" s="17" customFormat="1" x14ac:dyDescent="0.25">
      <c r="A300" s="64" t="s">
        <v>404</v>
      </c>
      <c r="B300" s="64" t="s">
        <v>398</v>
      </c>
      <c r="C300" s="65"/>
      <c r="D300" s="65"/>
      <c r="E300" s="65"/>
      <c r="F300" s="65"/>
      <c r="G300" s="65"/>
      <c r="H300" s="65"/>
      <c r="I300" s="65"/>
      <c r="J300" s="65"/>
      <c r="K300" s="64" t="s">
        <v>40</v>
      </c>
      <c r="L300" s="17">
        <v>24</v>
      </c>
      <c r="M300" s="17" t="s">
        <v>38</v>
      </c>
      <c r="N300" s="64" t="s">
        <v>427</v>
      </c>
    </row>
    <row r="301" spans="1:15" s="17" customFormat="1" x14ac:dyDescent="0.25">
      <c r="A301" s="64" t="s">
        <v>405</v>
      </c>
      <c r="B301" s="64" t="s">
        <v>403</v>
      </c>
      <c r="C301" s="65"/>
      <c r="D301" s="65"/>
      <c r="E301" s="65"/>
      <c r="F301" s="65"/>
      <c r="G301" s="65"/>
      <c r="H301" s="65"/>
      <c r="I301" s="65"/>
      <c r="J301" s="65"/>
      <c r="K301" s="64" t="s">
        <v>40</v>
      </c>
      <c r="L301" s="17">
        <v>24</v>
      </c>
      <c r="M301" s="17" t="s">
        <v>38</v>
      </c>
      <c r="N301" s="64" t="s">
        <v>427</v>
      </c>
    </row>
    <row r="302" spans="1:15" s="17" customFormat="1" x14ac:dyDescent="0.25">
      <c r="A302" s="64" t="s">
        <v>406</v>
      </c>
      <c r="B302" s="64" t="s">
        <v>398</v>
      </c>
      <c r="C302" s="65"/>
      <c r="D302" s="65"/>
      <c r="E302" s="65"/>
      <c r="F302" s="65"/>
      <c r="G302" s="65"/>
      <c r="H302" s="65"/>
      <c r="I302" s="65"/>
      <c r="J302" s="65"/>
      <c r="K302" s="64" t="s">
        <v>40</v>
      </c>
      <c r="L302" s="17">
        <v>24</v>
      </c>
      <c r="M302" s="17" t="s">
        <v>38</v>
      </c>
      <c r="N302" s="64" t="s">
        <v>427</v>
      </c>
    </row>
    <row r="303" spans="1:15" s="17" customFormat="1" x14ac:dyDescent="0.25">
      <c r="A303" s="64" t="s">
        <v>407</v>
      </c>
      <c r="B303" s="64" t="s">
        <v>398</v>
      </c>
      <c r="C303" s="65"/>
      <c r="D303" s="65"/>
      <c r="E303" s="65"/>
      <c r="F303" s="65"/>
      <c r="G303" s="65"/>
      <c r="H303" s="65"/>
      <c r="I303" s="65"/>
      <c r="J303" s="65"/>
      <c r="K303" s="64" t="s">
        <v>40</v>
      </c>
      <c r="L303" s="17">
        <v>0.4</v>
      </c>
      <c r="M303" s="64" t="s">
        <v>38</v>
      </c>
      <c r="N303" s="64" t="s">
        <v>428</v>
      </c>
    </row>
    <row r="304" spans="1:15" s="17" customFormat="1" x14ac:dyDescent="0.25">
      <c r="A304" s="64" t="s">
        <v>408</v>
      </c>
      <c r="B304" s="64" t="s">
        <v>398</v>
      </c>
      <c r="C304" s="65"/>
      <c r="D304" s="65"/>
      <c r="E304" s="65"/>
      <c r="F304" s="65"/>
      <c r="G304" s="65"/>
      <c r="H304" s="65"/>
      <c r="I304" s="65"/>
      <c r="J304" s="65"/>
      <c r="K304" s="64" t="s">
        <v>40</v>
      </c>
      <c r="L304" s="17">
        <v>0.4</v>
      </c>
      <c r="M304" s="64" t="s">
        <v>38</v>
      </c>
      <c r="N304" s="64" t="s">
        <v>428</v>
      </c>
    </row>
    <row r="305" spans="1:15" s="17" customFormat="1" x14ac:dyDescent="0.25">
      <c r="A305" s="64" t="s">
        <v>409</v>
      </c>
      <c r="B305" s="64" t="s">
        <v>398</v>
      </c>
      <c r="C305" s="65"/>
      <c r="D305" s="65"/>
      <c r="E305" s="65"/>
      <c r="F305" s="65"/>
      <c r="G305" s="65"/>
      <c r="H305" s="65"/>
      <c r="I305" s="65"/>
      <c r="J305" s="65"/>
      <c r="K305" s="64" t="s">
        <v>40</v>
      </c>
      <c r="L305" s="17">
        <v>24</v>
      </c>
      <c r="M305" s="64" t="s">
        <v>38</v>
      </c>
      <c r="N305" s="64" t="s">
        <v>427</v>
      </c>
    </row>
    <row r="306" spans="1:15" s="17" customFormat="1" x14ac:dyDescent="0.25">
      <c r="A306" s="64" t="s">
        <v>410</v>
      </c>
      <c r="B306" s="64" t="s">
        <v>398</v>
      </c>
      <c r="C306" s="65"/>
      <c r="D306" s="65"/>
      <c r="E306" s="65"/>
      <c r="F306" s="65"/>
      <c r="G306" s="65"/>
      <c r="H306" s="65"/>
      <c r="I306" s="65"/>
      <c r="J306" s="65"/>
      <c r="K306" s="64" t="s">
        <v>40</v>
      </c>
      <c r="L306" s="64">
        <v>0</v>
      </c>
      <c r="M306" s="64" t="s">
        <v>38</v>
      </c>
      <c r="N306" s="64" t="s">
        <v>429</v>
      </c>
    </row>
    <row r="307" spans="1:15" s="17" customFormat="1" x14ac:dyDescent="0.25">
      <c r="A307" s="64" t="s">
        <v>411</v>
      </c>
      <c r="B307" s="64" t="s">
        <v>398</v>
      </c>
      <c r="C307" s="65"/>
      <c r="D307" s="65"/>
      <c r="E307" s="65"/>
      <c r="F307" s="65"/>
      <c r="G307" s="65"/>
      <c r="H307" s="65"/>
      <c r="I307" s="65"/>
      <c r="J307" s="65"/>
      <c r="K307" s="64" t="s">
        <v>40</v>
      </c>
      <c r="L307" s="17">
        <v>24</v>
      </c>
      <c r="M307" s="64" t="s">
        <v>38</v>
      </c>
      <c r="N307" s="64" t="s">
        <v>427</v>
      </c>
    </row>
    <row r="308" spans="1:15" s="17" customFormat="1" x14ac:dyDescent="0.25">
      <c r="A308" s="64" t="s">
        <v>412</v>
      </c>
      <c r="B308" s="64" t="s">
        <v>398</v>
      </c>
      <c r="K308" s="64" t="s">
        <v>40</v>
      </c>
      <c r="L308" s="17">
        <v>24</v>
      </c>
      <c r="M308" s="64" t="s">
        <v>38</v>
      </c>
      <c r="N308" s="64" t="s">
        <v>427</v>
      </c>
    </row>
    <row r="310" spans="1:15" x14ac:dyDescent="0.25">
      <c r="A310" s="2" t="s">
        <v>151</v>
      </c>
      <c r="B310" s="2"/>
      <c r="C310" s="2"/>
      <c r="D310" s="2"/>
      <c r="E310" s="2"/>
      <c r="F310" s="2"/>
      <c r="G310" s="2"/>
      <c r="H310" s="2"/>
      <c r="I310" s="2"/>
      <c r="J310" s="2"/>
      <c r="K310" s="3"/>
      <c r="L310" s="3"/>
      <c r="M310" s="3"/>
      <c r="N310" s="3"/>
      <c r="O310" s="3"/>
    </row>
    <row r="311" spans="1:15" x14ac:dyDescent="0.25">
      <c r="H311" s="7"/>
      <c r="I311" s="7" t="s">
        <v>45</v>
      </c>
      <c r="J311" s="7"/>
      <c r="K311" s="7" t="s">
        <v>41</v>
      </c>
      <c r="L311" s="7">
        <v>-100</v>
      </c>
      <c r="M311" s="7" t="s">
        <v>46</v>
      </c>
      <c r="N311" s="7" t="s">
        <v>178</v>
      </c>
    </row>
    <row r="312" spans="1:15" x14ac:dyDescent="0.25">
      <c r="H312" s="7"/>
      <c r="I312" s="7" t="s">
        <v>43</v>
      </c>
      <c r="J312" s="7"/>
      <c r="K312" s="7" t="s">
        <v>41</v>
      </c>
      <c r="L312" s="7">
        <v>0</v>
      </c>
      <c r="M312" s="7" t="s">
        <v>38</v>
      </c>
      <c r="N312" s="7" t="s">
        <v>44</v>
      </c>
    </row>
    <row r="313" spans="1:15" x14ac:dyDescent="0.25">
      <c r="A313" s="4" t="s">
        <v>10</v>
      </c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5"/>
      <c r="M313" s="5"/>
      <c r="N313" s="5"/>
      <c r="O313" s="5"/>
    </row>
    <row r="314" spans="1:15" x14ac:dyDescent="0.25">
      <c r="A314" t="s">
        <v>179</v>
      </c>
      <c r="H314" t="s">
        <v>87</v>
      </c>
      <c r="I314" t="s">
        <v>43</v>
      </c>
      <c r="K314" t="s">
        <v>41</v>
      </c>
      <c r="L314" s="17">
        <v>5.3</v>
      </c>
      <c r="M314" t="s">
        <v>38</v>
      </c>
      <c r="N314" t="s">
        <v>169</v>
      </c>
      <c r="O314" t="s">
        <v>98</v>
      </c>
    </row>
    <row r="315" spans="1:15" x14ac:dyDescent="0.25">
      <c r="A315" t="s">
        <v>184</v>
      </c>
      <c r="H315" t="s">
        <v>87</v>
      </c>
      <c r="I315" t="s">
        <v>43</v>
      </c>
      <c r="K315" t="s">
        <v>41</v>
      </c>
      <c r="L315" s="40">
        <f>L314</f>
        <v>5.3</v>
      </c>
      <c r="M315" t="s">
        <v>38</v>
      </c>
    </row>
    <row r="316" spans="1:15" x14ac:dyDescent="0.25">
      <c r="A316" t="s">
        <v>180</v>
      </c>
      <c r="H316" t="s">
        <v>87</v>
      </c>
      <c r="I316" t="s">
        <v>43</v>
      </c>
      <c r="K316" t="s">
        <v>41</v>
      </c>
      <c r="L316" s="17">
        <v>4.9000000000000004</v>
      </c>
      <c r="M316" t="s">
        <v>38</v>
      </c>
      <c r="N316" t="s">
        <v>169</v>
      </c>
      <c r="O316" t="s">
        <v>98</v>
      </c>
    </row>
    <row r="317" spans="1:15" x14ac:dyDescent="0.25">
      <c r="A317" t="s">
        <v>185</v>
      </c>
      <c r="H317" t="s">
        <v>87</v>
      </c>
      <c r="I317" t="s">
        <v>43</v>
      </c>
      <c r="K317" t="s">
        <v>41</v>
      </c>
      <c r="L317" s="40">
        <f>L316</f>
        <v>4.9000000000000004</v>
      </c>
      <c r="M317" t="s">
        <v>38</v>
      </c>
    </row>
    <row r="318" spans="1:15" x14ac:dyDescent="0.25">
      <c r="A318" t="s">
        <v>181</v>
      </c>
      <c r="H318" t="s">
        <v>87</v>
      </c>
      <c r="I318" t="s">
        <v>43</v>
      </c>
      <c r="K318" t="s">
        <v>41</v>
      </c>
      <c r="L318" s="17">
        <v>12.7</v>
      </c>
      <c r="M318" t="s">
        <v>38</v>
      </c>
      <c r="N318" t="s">
        <v>169</v>
      </c>
      <c r="O318" t="s">
        <v>98</v>
      </c>
    </row>
    <row r="319" spans="1:15" x14ac:dyDescent="0.25">
      <c r="A319" t="s">
        <v>186</v>
      </c>
      <c r="H319" t="s">
        <v>87</v>
      </c>
      <c r="I319" t="s">
        <v>43</v>
      </c>
      <c r="K319" t="s">
        <v>41</v>
      </c>
      <c r="L319" s="40">
        <f>L318</f>
        <v>12.7</v>
      </c>
      <c r="M319" t="s">
        <v>38</v>
      </c>
    </row>
    <row r="320" spans="1:15" x14ac:dyDescent="0.25">
      <c r="A320" t="s">
        <v>182</v>
      </c>
      <c r="H320" t="s">
        <v>87</v>
      </c>
      <c r="I320" t="s">
        <v>43</v>
      </c>
      <c r="K320" t="s">
        <v>41</v>
      </c>
      <c r="L320" s="17">
        <v>24</v>
      </c>
      <c r="M320" t="s">
        <v>38</v>
      </c>
      <c r="N320" t="s">
        <v>170</v>
      </c>
      <c r="O320" s="26" t="s">
        <v>167</v>
      </c>
    </row>
    <row r="321" spans="1:15" x14ac:dyDescent="0.25">
      <c r="A321" t="s">
        <v>187</v>
      </c>
      <c r="H321" t="s">
        <v>87</v>
      </c>
      <c r="I321" t="s">
        <v>43</v>
      </c>
      <c r="K321" t="s">
        <v>41</v>
      </c>
      <c r="L321" s="40">
        <f>L320</f>
        <v>24</v>
      </c>
      <c r="M321" t="s">
        <v>38</v>
      </c>
      <c r="O321" s="26"/>
    </row>
    <row r="322" spans="1:15" x14ac:dyDescent="0.25">
      <c r="A322" t="s">
        <v>183</v>
      </c>
      <c r="H322" t="s">
        <v>87</v>
      </c>
      <c r="I322" t="s">
        <v>43</v>
      </c>
      <c r="K322" t="s">
        <v>41</v>
      </c>
      <c r="L322" s="6">
        <v>10</v>
      </c>
      <c r="M322" t="s">
        <v>38</v>
      </c>
    </row>
    <row r="323" spans="1:15" x14ac:dyDescent="0.25">
      <c r="A323" t="s">
        <v>188</v>
      </c>
      <c r="H323" t="s">
        <v>87</v>
      </c>
      <c r="I323" t="s">
        <v>43</v>
      </c>
      <c r="K323" t="s">
        <v>41</v>
      </c>
      <c r="L323" s="40">
        <f>L322</f>
        <v>10</v>
      </c>
      <c r="M323" t="s">
        <v>38</v>
      </c>
    </row>
    <row r="324" spans="1:15" s="17" customFormat="1" x14ac:dyDescent="0.25">
      <c r="A324" s="17" t="s">
        <v>418</v>
      </c>
      <c r="H324" s="17" t="s">
        <v>87</v>
      </c>
      <c r="I324" s="17" t="s">
        <v>43</v>
      </c>
      <c r="K324" s="17" t="s">
        <v>41</v>
      </c>
      <c r="L324" s="17">
        <v>0</v>
      </c>
      <c r="M324" s="17" t="s">
        <v>38</v>
      </c>
      <c r="N324" s="17" t="s">
        <v>451</v>
      </c>
    </row>
    <row r="325" spans="1:15" x14ac:dyDescent="0.25">
      <c r="A325" s="4" t="s">
        <v>11</v>
      </c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5"/>
      <c r="M325" s="5"/>
      <c r="N325" s="5"/>
      <c r="O325" s="5"/>
    </row>
    <row r="326" spans="1:15" x14ac:dyDescent="0.25">
      <c r="A326" s="17" t="s">
        <v>99</v>
      </c>
      <c r="H326" t="s">
        <v>87</v>
      </c>
      <c r="I326" t="s">
        <v>43</v>
      </c>
      <c r="K326" t="s">
        <v>41</v>
      </c>
      <c r="L326" s="17">
        <v>12</v>
      </c>
      <c r="M326" t="s">
        <v>38</v>
      </c>
      <c r="O326" s="26" t="s">
        <v>167</v>
      </c>
    </row>
    <row r="327" spans="1:15" x14ac:dyDescent="0.25">
      <c r="A327" s="17" t="s">
        <v>100</v>
      </c>
      <c r="H327" t="s">
        <v>87</v>
      </c>
      <c r="I327" t="s">
        <v>43</v>
      </c>
      <c r="K327" t="s">
        <v>41</v>
      </c>
      <c r="L327" s="17">
        <v>12</v>
      </c>
      <c r="M327" t="s">
        <v>38</v>
      </c>
      <c r="O327" s="26" t="s">
        <v>167</v>
      </c>
    </row>
    <row r="328" spans="1:15" x14ac:dyDescent="0.25">
      <c r="A328" s="17" t="s">
        <v>209</v>
      </c>
      <c r="H328" t="s">
        <v>87</v>
      </c>
      <c r="I328" t="s">
        <v>43</v>
      </c>
      <c r="K328" t="s">
        <v>41</v>
      </c>
      <c r="L328" s="17">
        <v>0</v>
      </c>
      <c r="M328" t="s">
        <v>38</v>
      </c>
    </row>
    <row r="329" spans="1:15" x14ac:dyDescent="0.25">
      <c r="A329" s="17" t="s">
        <v>101</v>
      </c>
      <c r="H329" t="s">
        <v>87</v>
      </c>
      <c r="I329" t="s">
        <v>43</v>
      </c>
      <c r="K329" t="s">
        <v>41</v>
      </c>
      <c r="L329" s="17">
        <v>0</v>
      </c>
      <c r="M329" t="s">
        <v>38</v>
      </c>
    </row>
    <row r="330" spans="1:15" x14ac:dyDescent="0.25">
      <c r="A330" s="4" t="s">
        <v>12</v>
      </c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5"/>
      <c r="M330" s="5"/>
      <c r="N330" s="5"/>
      <c r="O330" s="5"/>
    </row>
    <row r="331" spans="1:15" x14ac:dyDescent="0.25">
      <c r="A331" s="17" t="s">
        <v>135</v>
      </c>
      <c r="H331" t="s">
        <v>87</v>
      </c>
      <c r="I331" t="s">
        <v>43</v>
      </c>
      <c r="K331" t="s">
        <v>41</v>
      </c>
      <c r="L331" s="17">
        <v>25</v>
      </c>
      <c r="M331" t="s">
        <v>38</v>
      </c>
      <c r="N331" t="s">
        <v>172</v>
      </c>
      <c r="O331" s="26" t="s">
        <v>167</v>
      </c>
    </row>
    <row r="332" spans="1:15" s="17" customFormat="1" x14ac:dyDescent="0.25">
      <c r="A332" s="17" t="s">
        <v>382</v>
      </c>
      <c r="H332" s="17" t="s">
        <v>87</v>
      </c>
      <c r="I332" s="17" t="s">
        <v>43</v>
      </c>
      <c r="K332" s="17" t="s">
        <v>41</v>
      </c>
      <c r="L332" s="17">
        <v>25</v>
      </c>
      <c r="M332" s="17" t="s">
        <v>38</v>
      </c>
      <c r="N332" s="17" t="s">
        <v>430</v>
      </c>
      <c r="O332" s="17" t="s">
        <v>167</v>
      </c>
    </row>
    <row r="333" spans="1:15" x14ac:dyDescent="0.25">
      <c r="A333" s="17" t="s">
        <v>141</v>
      </c>
      <c r="H333" t="s">
        <v>87</v>
      </c>
      <c r="I333" t="s">
        <v>43</v>
      </c>
      <c r="K333" t="s">
        <v>41</v>
      </c>
      <c r="L333" s="17">
        <v>13</v>
      </c>
      <c r="M333" t="s">
        <v>38</v>
      </c>
      <c r="N333" t="s">
        <v>173</v>
      </c>
      <c r="O333" s="26" t="s">
        <v>167</v>
      </c>
    </row>
    <row r="334" spans="1:15" x14ac:dyDescent="0.25">
      <c r="A334" s="17" t="s">
        <v>138</v>
      </c>
      <c r="H334" t="s">
        <v>87</v>
      </c>
      <c r="I334" t="s">
        <v>43</v>
      </c>
      <c r="K334" t="s">
        <v>41</v>
      </c>
      <c r="L334" s="17">
        <v>19</v>
      </c>
      <c r="M334" t="s">
        <v>38</v>
      </c>
      <c r="N334" t="s">
        <v>171</v>
      </c>
      <c r="O334" s="26" t="s">
        <v>167</v>
      </c>
    </row>
    <row r="335" spans="1:15" x14ac:dyDescent="0.25">
      <c r="A335" s="17" t="s">
        <v>107</v>
      </c>
      <c r="H335" t="s">
        <v>87</v>
      </c>
      <c r="I335" t="s">
        <v>43</v>
      </c>
      <c r="K335" t="s">
        <v>41</v>
      </c>
      <c r="L335" s="17">
        <v>9</v>
      </c>
      <c r="M335" t="s">
        <v>38</v>
      </c>
      <c r="N335" t="s">
        <v>175</v>
      </c>
      <c r="O335" s="26" t="s">
        <v>167</v>
      </c>
    </row>
    <row r="336" spans="1:15" x14ac:dyDescent="0.25">
      <c r="A336" s="17" t="s">
        <v>110</v>
      </c>
      <c r="H336" t="s">
        <v>87</v>
      </c>
      <c r="I336" t="s">
        <v>43</v>
      </c>
      <c r="K336" t="s">
        <v>41</v>
      </c>
      <c r="L336" s="17">
        <v>11</v>
      </c>
      <c r="M336" t="s">
        <v>38</v>
      </c>
      <c r="N336" s="26" t="s">
        <v>174</v>
      </c>
      <c r="O336" s="26" t="s">
        <v>167</v>
      </c>
    </row>
    <row r="337" spans="1:15" x14ac:dyDescent="0.25">
      <c r="A337" s="17" t="s">
        <v>148</v>
      </c>
      <c r="H337" t="s">
        <v>87</v>
      </c>
      <c r="I337" t="s">
        <v>43</v>
      </c>
      <c r="K337" t="s">
        <v>41</v>
      </c>
      <c r="L337" s="6">
        <f>AVERAGE(L333:L336)</f>
        <v>13</v>
      </c>
      <c r="M337" t="s">
        <v>38</v>
      </c>
      <c r="N337" s="26"/>
      <c r="O337" s="26"/>
    </row>
    <row r="338" spans="1:15" x14ac:dyDescent="0.25">
      <c r="A338" s="4" t="s">
        <v>13</v>
      </c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5"/>
      <c r="M338" s="5"/>
      <c r="N338" s="5"/>
      <c r="O338" s="5"/>
    </row>
    <row r="339" spans="1:15" x14ac:dyDescent="0.25">
      <c r="A339" s="17" t="s">
        <v>241</v>
      </c>
      <c r="I339" t="s">
        <v>43</v>
      </c>
      <c r="K339" t="s">
        <v>41</v>
      </c>
      <c r="L339" s="17">
        <v>7.9</v>
      </c>
      <c r="M339" s="17" t="s">
        <v>38</v>
      </c>
      <c r="N339" t="s">
        <v>246</v>
      </c>
      <c r="O339" t="s">
        <v>167</v>
      </c>
    </row>
    <row r="340" spans="1:15" x14ac:dyDescent="0.25">
      <c r="A340" s="17" t="s">
        <v>242</v>
      </c>
      <c r="I340" t="s">
        <v>43</v>
      </c>
      <c r="K340" t="s">
        <v>41</v>
      </c>
      <c r="L340" s="17">
        <v>7.9</v>
      </c>
      <c r="M340" s="17" t="s">
        <v>38</v>
      </c>
      <c r="N340" t="s">
        <v>246</v>
      </c>
      <c r="O340" t="s">
        <v>167</v>
      </c>
    </row>
    <row r="341" spans="1:15" x14ac:dyDescent="0.25">
      <c r="A341" s="17" t="s">
        <v>243</v>
      </c>
      <c r="I341" t="s">
        <v>43</v>
      </c>
      <c r="K341" t="s">
        <v>41</v>
      </c>
      <c r="L341" s="17">
        <v>7.9</v>
      </c>
      <c r="M341" s="17" t="s">
        <v>38</v>
      </c>
      <c r="N341" t="s">
        <v>246</v>
      </c>
      <c r="O341" t="s">
        <v>167</v>
      </c>
    </row>
    <row r="342" spans="1:15" x14ac:dyDescent="0.25">
      <c r="A342" s="17" t="s">
        <v>245</v>
      </c>
      <c r="I342" t="s">
        <v>43</v>
      </c>
      <c r="K342" t="s">
        <v>41</v>
      </c>
      <c r="L342" s="17">
        <v>7.9</v>
      </c>
      <c r="M342" s="17" t="s">
        <v>38</v>
      </c>
      <c r="N342" t="s">
        <v>246</v>
      </c>
      <c r="O342" t="s">
        <v>167</v>
      </c>
    </row>
    <row r="343" spans="1:15" x14ac:dyDescent="0.25">
      <c r="A343" s="4" t="s">
        <v>14</v>
      </c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5"/>
      <c r="M343" s="5"/>
      <c r="N343" s="5"/>
      <c r="O343" s="5"/>
    </row>
    <row r="344" spans="1:15" x14ac:dyDescent="0.25">
      <c r="A344" s="6"/>
      <c r="B344" t="s">
        <v>81</v>
      </c>
      <c r="H344" t="s">
        <v>87</v>
      </c>
      <c r="I344" t="s">
        <v>43</v>
      </c>
      <c r="K344" t="s">
        <v>41</v>
      </c>
      <c r="L344" s="29">
        <v>15.75</v>
      </c>
      <c r="M344" t="s">
        <v>38</v>
      </c>
      <c r="N344" t="s">
        <v>168</v>
      </c>
      <c r="O344" t="s">
        <v>94</v>
      </c>
    </row>
    <row r="345" spans="1:15" x14ac:dyDescent="0.25">
      <c r="A345" s="4" t="s">
        <v>23</v>
      </c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5"/>
      <c r="M345" s="5"/>
      <c r="N345" s="5"/>
      <c r="O345" s="5"/>
    </row>
    <row r="346" spans="1:15" x14ac:dyDescent="0.25">
      <c r="A346" t="s">
        <v>54</v>
      </c>
      <c r="H346" t="s">
        <v>87</v>
      </c>
      <c r="I346" t="s">
        <v>43</v>
      </c>
      <c r="K346" t="s">
        <v>41</v>
      </c>
      <c r="L346" s="6">
        <v>2.2999999999999998</v>
      </c>
      <c r="M346" t="s">
        <v>38</v>
      </c>
      <c r="N346" t="s">
        <v>326</v>
      </c>
    </row>
    <row r="347" spans="1:15" x14ac:dyDescent="0.25">
      <c r="A347" t="s">
        <v>95</v>
      </c>
      <c r="H347" t="s">
        <v>87</v>
      </c>
      <c r="I347" t="s">
        <v>43</v>
      </c>
      <c r="K347" t="s">
        <v>41</v>
      </c>
      <c r="L347" s="6">
        <v>18.100000000000001</v>
      </c>
      <c r="M347" t="s">
        <v>38</v>
      </c>
      <c r="N347" t="s">
        <v>326</v>
      </c>
    </row>
    <row r="348" spans="1:15" x14ac:dyDescent="0.25">
      <c r="A348" t="s">
        <v>346</v>
      </c>
      <c r="H348" t="s">
        <v>87</v>
      </c>
      <c r="I348" t="s">
        <v>43</v>
      </c>
      <c r="K348" t="s">
        <v>41</v>
      </c>
      <c r="L348" s="6">
        <v>20</v>
      </c>
      <c r="M348" t="s">
        <v>38</v>
      </c>
      <c r="N348" s="6" t="s">
        <v>355</v>
      </c>
    </row>
    <row r="349" spans="1:15" x14ac:dyDescent="0.25">
      <c r="A349" t="s">
        <v>267</v>
      </c>
      <c r="H349" t="s">
        <v>87</v>
      </c>
      <c r="I349" t="s">
        <v>43</v>
      </c>
      <c r="K349" t="s">
        <v>41</v>
      </c>
      <c r="L349" s="6">
        <v>0.95</v>
      </c>
      <c r="M349" t="s">
        <v>38</v>
      </c>
      <c r="N349" t="s">
        <v>326</v>
      </c>
    </row>
    <row r="350" spans="1:15" x14ac:dyDescent="0.25">
      <c r="A350" s="4" t="s">
        <v>15</v>
      </c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5"/>
      <c r="M350" s="5"/>
      <c r="N350" s="5"/>
      <c r="O350" s="5"/>
    </row>
    <row r="351" spans="1:15" x14ac:dyDescent="0.25">
      <c r="A351" t="s">
        <v>15</v>
      </c>
      <c r="H351" t="s">
        <v>87</v>
      </c>
      <c r="I351" t="s">
        <v>43</v>
      </c>
      <c r="K351" t="s">
        <v>41</v>
      </c>
      <c r="L351" s="6">
        <v>16.5</v>
      </c>
      <c r="M351" t="s">
        <v>38</v>
      </c>
      <c r="N351" s="6" t="s">
        <v>329</v>
      </c>
      <c r="O351" s="26" t="s">
        <v>215</v>
      </c>
    </row>
    <row r="352" spans="1:15" s="17" customFormat="1" x14ac:dyDescent="0.25">
      <c r="A352" s="17" t="s">
        <v>385</v>
      </c>
      <c r="H352" s="17" t="s">
        <v>87</v>
      </c>
      <c r="I352" s="17" t="s">
        <v>43</v>
      </c>
      <c r="K352" s="17" t="s">
        <v>41</v>
      </c>
      <c r="L352" s="17">
        <v>16.5</v>
      </c>
      <c r="M352" s="17" t="s">
        <v>38</v>
      </c>
    </row>
    <row r="353" spans="1:15" x14ac:dyDescent="0.25">
      <c r="A353" s="4" t="s">
        <v>20</v>
      </c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5"/>
      <c r="M353" s="5"/>
      <c r="N353" s="5"/>
      <c r="O353" s="5"/>
    </row>
    <row r="354" spans="1:15" x14ac:dyDescent="0.25">
      <c r="B354" t="s">
        <v>207</v>
      </c>
      <c r="I354" t="s">
        <v>43</v>
      </c>
      <c r="K354" t="s">
        <v>41</v>
      </c>
      <c r="L354">
        <v>34.200000000000003</v>
      </c>
      <c r="M354" t="s">
        <v>38</v>
      </c>
      <c r="N354" t="s">
        <v>214</v>
      </c>
      <c r="O354" s="26" t="s">
        <v>215</v>
      </c>
    </row>
    <row r="355" spans="1:15" s="17" customFormat="1" x14ac:dyDescent="0.25">
      <c r="A355" s="59" t="s">
        <v>21</v>
      </c>
      <c r="B355" s="59"/>
      <c r="C355" s="59"/>
      <c r="D355" s="59"/>
      <c r="E355" s="59"/>
      <c r="F355" s="59"/>
      <c r="G355" s="59"/>
      <c r="H355" s="59"/>
      <c r="I355" s="59"/>
      <c r="J355" s="59"/>
      <c r="K355" s="61"/>
      <c r="L355" s="61"/>
      <c r="M355" s="61"/>
      <c r="N355" s="61"/>
      <c r="O355" s="61"/>
    </row>
    <row r="356" spans="1:15" s="17" customFormat="1" x14ac:dyDescent="0.25">
      <c r="A356" s="17" t="s">
        <v>389</v>
      </c>
      <c r="H356" s="17" t="s">
        <v>87</v>
      </c>
      <c r="I356" s="17" t="s">
        <v>43</v>
      </c>
      <c r="K356" s="17" t="s">
        <v>41</v>
      </c>
      <c r="L356" s="17">
        <v>0</v>
      </c>
      <c r="M356" s="17" t="s">
        <v>38</v>
      </c>
      <c r="N356" s="17" t="s">
        <v>431</v>
      </c>
    </row>
    <row r="357" spans="1:15" s="17" customFormat="1" x14ac:dyDescent="0.25">
      <c r="A357" s="17" t="s">
        <v>391</v>
      </c>
      <c r="H357" s="17" t="s">
        <v>87</v>
      </c>
      <c r="I357" s="17" t="s">
        <v>43</v>
      </c>
      <c r="K357" s="17" t="s">
        <v>41</v>
      </c>
      <c r="L357" s="17">
        <v>0</v>
      </c>
      <c r="M357" s="17" t="s">
        <v>38</v>
      </c>
      <c r="N357" s="17" t="s">
        <v>431</v>
      </c>
    </row>
    <row r="358" spans="1:15" s="17" customFormat="1" x14ac:dyDescent="0.25">
      <c r="A358" s="59" t="s">
        <v>392</v>
      </c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</row>
    <row r="359" spans="1:15" s="17" customFormat="1" x14ac:dyDescent="0.25">
      <c r="A359" s="17" t="s">
        <v>393</v>
      </c>
      <c r="H359" s="17" t="s">
        <v>87</v>
      </c>
      <c r="I359" s="17" t="s">
        <v>43</v>
      </c>
      <c r="K359" s="17" t="s">
        <v>41</v>
      </c>
      <c r="L359" s="17">
        <v>0</v>
      </c>
      <c r="M359" s="17" t="s">
        <v>38</v>
      </c>
      <c r="N359" s="17" t="s">
        <v>432</v>
      </c>
    </row>
    <row r="360" spans="1:15" x14ac:dyDescent="0.25">
      <c r="A360" s="4" t="s">
        <v>22</v>
      </c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5"/>
      <c r="M360" s="5"/>
      <c r="N360" s="5"/>
      <c r="O360" s="5"/>
    </row>
    <row r="361" spans="1:15" x14ac:dyDescent="0.25">
      <c r="A361" t="s">
        <v>126</v>
      </c>
      <c r="H361" t="s">
        <v>87</v>
      </c>
      <c r="I361" t="s">
        <v>43</v>
      </c>
      <c r="K361" t="s">
        <v>41</v>
      </c>
      <c r="L361" s="23">
        <v>1</v>
      </c>
      <c r="M361" t="s">
        <v>38</v>
      </c>
    </row>
    <row r="362" spans="1:15" s="17" customFormat="1" x14ac:dyDescent="0.25">
      <c r="A362" s="64" t="s">
        <v>395</v>
      </c>
      <c r="B362" s="64"/>
      <c r="C362" s="64"/>
      <c r="D362" s="64"/>
      <c r="E362" s="64"/>
      <c r="F362" s="64"/>
      <c r="G362" s="64"/>
      <c r="H362" s="64" t="s">
        <v>87</v>
      </c>
      <c r="I362" s="64" t="s">
        <v>43</v>
      </c>
      <c r="J362" s="64"/>
      <c r="K362" s="64" t="s">
        <v>41</v>
      </c>
      <c r="L362" s="66">
        <v>1</v>
      </c>
      <c r="M362" s="64" t="s">
        <v>38</v>
      </c>
    </row>
    <row r="363" spans="1:15" x14ac:dyDescent="0.25">
      <c r="A363" s="4" t="s">
        <v>29</v>
      </c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5"/>
      <c r="M363" s="5"/>
      <c r="N363" s="5"/>
      <c r="O363" s="5"/>
    </row>
    <row r="364" spans="1:15" x14ac:dyDescent="0.25">
      <c r="A364" t="s">
        <v>227</v>
      </c>
      <c r="I364" t="s">
        <v>43</v>
      </c>
      <c r="K364" t="s">
        <v>41</v>
      </c>
      <c r="L364" s="17">
        <v>24.7</v>
      </c>
      <c r="M364" t="s">
        <v>38</v>
      </c>
      <c r="N364" t="s">
        <v>235</v>
      </c>
      <c r="O364" s="26" t="s">
        <v>167</v>
      </c>
    </row>
    <row r="365" spans="1:15" x14ac:dyDescent="0.25">
      <c r="A365" t="s">
        <v>230</v>
      </c>
      <c r="I365" t="s">
        <v>43</v>
      </c>
      <c r="K365" t="s">
        <v>41</v>
      </c>
      <c r="L365" s="17">
        <v>8</v>
      </c>
      <c r="M365" t="s">
        <v>38</v>
      </c>
      <c r="N365" t="s">
        <v>166</v>
      </c>
      <c r="O365" s="26" t="s">
        <v>167</v>
      </c>
    </row>
    <row r="366" spans="1:15" x14ac:dyDescent="0.25">
      <c r="A366" t="s">
        <v>228</v>
      </c>
      <c r="I366" t="s">
        <v>43</v>
      </c>
      <c r="K366" t="s">
        <v>41</v>
      </c>
      <c r="L366">
        <v>7.9</v>
      </c>
      <c r="M366" t="s">
        <v>38</v>
      </c>
      <c r="N366" t="s">
        <v>248</v>
      </c>
      <c r="O366" s="26" t="s">
        <v>167</v>
      </c>
    </row>
    <row r="367" spans="1:15" x14ac:dyDescent="0.25">
      <c r="A367" t="s">
        <v>231</v>
      </c>
      <c r="I367" t="s">
        <v>43</v>
      </c>
      <c r="K367" t="s">
        <v>41</v>
      </c>
      <c r="L367">
        <v>4.7</v>
      </c>
      <c r="M367" t="s">
        <v>38</v>
      </c>
      <c r="N367" t="s">
        <v>236</v>
      </c>
      <c r="O367" s="26" t="s">
        <v>167</v>
      </c>
    </row>
    <row r="368" spans="1:15" x14ac:dyDescent="0.25">
      <c r="A368" s="4" t="s">
        <v>33</v>
      </c>
      <c r="B368" s="4"/>
      <c r="C368" s="4"/>
      <c r="D368" s="50"/>
      <c r="E368" s="4"/>
      <c r="F368" s="4"/>
      <c r="G368" s="4"/>
      <c r="H368" s="4"/>
      <c r="I368" s="4"/>
      <c r="J368" s="4"/>
      <c r="K368" s="5"/>
      <c r="L368" s="5"/>
      <c r="M368" s="5"/>
      <c r="N368" s="5"/>
      <c r="O368" s="5"/>
    </row>
    <row r="369" spans="1:15" s="17" customFormat="1" x14ac:dyDescent="0.25">
      <c r="A369" s="64" t="s">
        <v>397</v>
      </c>
      <c r="B369" s="64"/>
      <c r="C369" s="65"/>
      <c r="D369" s="65"/>
      <c r="E369" s="65"/>
      <c r="F369" s="65"/>
      <c r="G369" s="65"/>
      <c r="H369" s="65"/>
      <c r="I369" s="64" t="s">
        <v>43</v>
      </c>
      <c r="J369" s="65"/>
      <c r="K369" s="17" t="s">
        <v>41</v>
      </c>
      <c r="L369" s="17">
        <v>34.200000000000003</v>
      </c>
      <c r="M369" s="64" t="s">
        <v>38</v>
      </c>
      <c r="N369" s="64" t="s">
        <v>422</v>
      </c>
    </row>
    <row r="370" spans="1:15" s="17" customFormat="1" x14ac:dyDescent="0.25">
      <c r="A370" s="64" t="s">
        <v>401</v>
      </c>
      <c r="B370" s="64"/>
      <c r="C370" s="64"/>
      <c r="D370" s="64"/>
      <c r="E370" s="64"/>
      <c r="F370" s="64"/>
      <c r="G370" s="64"/>
      <c r="H370" s="64"/>
      <c r="I370" s="64" t="s">
        <v>43</v>
      </c>
      <c r="J370" s="64"/>
      <c r="K370" s="17" t="s">
        <v>41</v>
      </c>
      <c r="L370" s="17">
        <v>5.3</v>
      </c>
      <c r="M370" s="17" t="s">
        <v>38</v>
      </c>
      <c r="N370" s="64" t="s">
        <v>425</v>
      </c>
    </row>
    <row r="371" spans="1:15" s="17" customFormat="1" x14ac:dyDescent="0.25">
      <c r="A371" s="17" t="s">
        <v>402</v>
      </c>
      <c r="I371" s="17" t="s">
        <v>43</v>
      </c>
      <c r="K371" s="17" t="s">
        <v>41</v>
      </c>
      <c r="L371" s="17">
        <v>24</v>
      </c>
      <c r="M371" s="17" t="s">
        <v>38</v>
      </c>
      <c r="N371" s="64" t="s">
        <v>426</v>
      </c>
    </row>
    <row r="374" spans="1:15" x14ac:dyDescent="0.25">
      <c r="A374" s="2" t="s">
        <v>58</v>
      </c>
      <c r="B374" s="2"/>
      <c r="C374" s="2"/>
      <c r="D374" s="2"/>
      <c r="E374" s="2"/>
      <c r="F374" s="2"/>
      <c r="G374" s="2"/>
      <c r="H374" s="2"/>
      <c r="I374" s="2"/>
      <c r="J374" s="2"/>
      <c r="K374" s="3"/>
      <c r="L374" s="3"/>
      <c r="M374" s="3"/>
      <c r="N374" s="3"/>
      <c r="O374" s="3"/>
    </row>
    <row r="375" spans="1:15" x14ac:dyDescent="0.25">
      <c r="K375" s="7" t="s">
        <v>85</v>
      </c>
      <c r="L375" s="7">
        <v>0</v>
      </c>
      <c r="M375" s="7" t="s">
        <v>38</v>
      </c>
      <c r="N375" s="7" t="s">
        <v>44</v>
      </c>
    </row>
    <row r="376" spans="1:15" x14ac:dyDescent="0.25">
      <c r="K376" s="7" t="s">
        <v>86</v>
      </c>
      <c r="L376" s="7">
        <v>0</v>
      </c>
      <c r="M376" s="7" t="s">
        <v>38</v>
      </c>
      <c r="N376" s="7" t="s">
        <v>44</v>
      </c>
    </row>
    <row r="377" spans="1:15" x14ac:dyDescent="0.25">
      <c r="A377" s="4" t="s">
        <v>10</v>
      </c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5"/>
      <c r="M377" s="5"/>
      <c r="N377" s="5"/>
      <c r="O377" s="5"/>
    </row>
    <row r="378" spans="1:15" x14ac:dyDescent="0.25">
      <c r="A378" t="s">
        <v>179</v>
      </c>
      <c r="C378" t="s">
        <v>37</v>
      </c>
      <c r="K378" t="s">
        <v>85</v>
      </c>
      <c r="L378">
        <v>79</v>
      </c>
      <c r="M378" t="s">
        <v>38</v>
      </c>
      <c r="O378" t="s">
        <v>92</v>
      </c>
    </row>
    <row r="379" spans="1:15" x14ac:dyDescent="0.25">
      <c r="A379" t="s">
        <v>179</v>
      </c>
      <c r="C379" t="s">
        <v>37</v>
      </c>
      <c r="G379" t="s">
        <v>358</v>
      </c>
      <c r="K379" t="s">
        <v>86</v>
      </c>
      <c r="L379">
        <f>19+2</f>
        <v>21</v>
      </c>
      <c r="M379" t="s">
        <v>38</v>
      </c>
      <c r="N379" t="s">
        <v>360</v>
      </c>
      <c r="O379" t="s">
        <v>92</v>
      </c>
    </row>
    <row r="380" spans="1:15" x14ac:dyDescent="0.25">
      <c r="A380" t="s">
        <v>184</v>
      </c>
      <c r="C380" t="s">
        <v>37</v>
      </c>
      <c r="K380" t="s">
        <v>85</v>
      </c>
      <c r="L380">
        <v>95</v>
      </c>
      <c r="M380" t="s">
        <v>38</v>
      </c>
      <c r="O380" s="6" t="s">
        <v>357</v>
      </c>
    </row>
    <row r="381" spans="1:15" x14ac:dyDescent="0.25">
      <c r="A381" t="s">
        <v>184</v>
      </c>
      <c r="C381" t="s">
        <v>37</v>
      </c>
      <c r="G381" t="s">
        <v>358</v>
      </c>
      <c r="K381" t="s">
        <v>86</v>
      </c>
      <c r="L381">
        <v>5</v>
      </c>
      <c r="M381" t="s">
        <v>38</v>
      </c>
      <c r="N381" t="s">
        <v>359</v>
      </c>
      <c r="O381" s="6" t="s">
        <v>357</v>
      </c>
    </row>
    <row r="382" spans="1:15" x14ac:dyDescent="0.25">
      <c r="A382" s="8" t="s">
        <v>180</v>
      </c>
      <c r="B382" s="8"/>
      <c r="C382" s="8" t="s">
        <v>48</v>
      </c>
      <c r="D382" s="8"/>
      <c r="E382" s="8"/>
      <c r="F382" s="8"/>
      <c r="G382" s="8"/>
      <c r="H382" s="8"/>
      <c r="I382" s="8"/>
      <c r="J382" s="8"/>
      <c r="K382" t="s">
        <v>85</v>
      </c>
      <c r="L382" s="8">
        <v>72</v>
      </c>
      <c r="M382" s="8" t="s">
        <v>38</v>
      </c>
      <c r="N382" s="8"/>
      <c r="O382" t="s">
        <v>92</v>
      </c>
    </row>
    <row r="383" spans="1:15" x14ac:dyDescent="0.25">
      <c r="A383" s="8" t="s">
        <v>180</v>
      </c>
      <c r="B383" s="8"/>
      <c r="C383" s="8" t="s">
        <v>48</v>
      </c>
      <c r="D383" s="8"/>
      <c r="E383" s="8"/>
      <c r="F383" s="8"/>
      <c r="G383" t="s">
        <v>358</v>
      </c>
      <c r="H383" s="8"/>
      <c r="I383" s="8"/>
      <c r="J383" s="8"/>
      <c r="K383" t="s">
        <v>86</v>
      </c>
      <c r="L383" s="8">
        <v>19</v>
      </c>
      <c r="M383" s="8" t="s">
        <v>38</v>
      </c>
      <c r="N383" s="8" t="s">
        <v>361</v>
      </c>
      <c r="O383" t="s">
        <v>92</v>
      </c>
    </row>
    <row r="384" spans="1:15" x14ac:dyDescent="0.25">
      <c r="A384" s="8" t="s">
        <v>185</v>
      </c>
      <c r="B384" s="8"/>
      <c r="C384" s="8" t="s">
        <v>48</v>
      </c>
      <c r="D384" s="8"/>
      <c r="E384" s="8"/>
      <c r="F384" s="8"/>
      <c r="G384" s="8"/>
      <c r="H384" s="8"/>
      <c r="I384" s="8"/>
      <c r="J384" s="8"/>
      <c r="K384" t="s">
        <v>85</v>
      </c>
      <c r="L384" s="9">
        <v>91</v>
      </c>
      <c r="M384" s="8" t="s">
        <v>38</v>
      </c>
      <c r="N384" s="8"/>
      <c r="O384" t="s">
        <v>92</v>
      </c>
    </row>
    <row r="385" spans="1:15" x14ac:dyDescent="0.25">
      <c r="A385" s="8" t="s">
        <v>185</v>
      </c>
      <c r="B385" s="8"/>
      <c r="C385" s="8" t="s">
        <v>48</v>
      </c>
      <c r="D385" s="8"/>
      <c r="E385" s="8"/>
      <c r="F385" s="8"/>
      <c r="G385" t="s">
        <v>358</v>
      </c>
      <c r="H385" s="8"/>
      <c r="I385" s="8"/>
      <c r="J385" s="8"/>
      <c r="K385" t="s">
        <v>86</v>
      </c>
      <c r="L385" s="9">
        <v>9</v>
      </c>
      <c r="M385" s="9" t="s">
        <v>38</v>
      </c>
      <c r="N385" s="8" t="s">
        <v>362</v>
      </c>
      <c r="O385" t="s">
        <v>92</v>
      </c>
    </row>
    <row r="386" spans="1:15" x14ac:dyDescent="0.25">
      <c r="A386" t="s">
        <v>181</v>
      </c>
      <c r="B386" s="8"/>
      <c r="C386" s="9" t="s">
        <v>90</v>
      </c>
      <c r="D386" s="9"/>
      <c r="E386" s="8"/>
      <c r="F386" s="8"/>
      <c r="G386" s="8"/>
      <c r="H386" s="8"/>
      <c r="I386" s="8"/>
      <c r="J386" s="8"/>
      <c r="K386" t="s">
        <v>85</v>
      </c>
      <c r="L386" s="9">
        <v>80</v>
      </c>
      <c r="M386" s="9" t="s">
        <v>38</v>
      </c>
      <c r="N386" s="8"/>
      <c r="O386" t="s">
        <v>92</v>
      </c>
    </row>
    <row r="387" spans="1:15" x14ac:dyDescent="0.25">
      <c r="A387" t="s">
        <v>181</v>
      </c>
      <c r="B387" s="8"/>
      <c r="C387" s="9" t="s">
        <v>90</v>
      </c>
      <c r="D387" s="9"/>
      <c r="E387" s="8"/>
      <c r="F387" s="8"/>
      <c r="G387" t="s">
        <v>358</v>
      </c>
      <c r="H387" s="8"/>
      <c r="I387" s="8"/>
      <c r="J387" s="8"/>
      <c r="K387" t="s">
        <v>86</v>
      </c>
      <c r="L387" s="9">
        <v>20</v>
      </c>
      <c r="M387" s="9" t="s">
        <v>38</v>
      </c>
      <c r="N387" s="8" t="s">
        <v>363</v>
      </c>
      <c r="O387" t="s">
        <v>92</v>
      </c>
    </row>
    <row r="388" spans="1:15" x14ac:dyDescent="0.25">
      <c r="A388" t="s">
        <v>186</v>
      </c>
      <c r="B388" s="8"/>
      <c r="C388" s="9" t="s">
        <v>90</v>
      </c>
      <c r="D388" s="9"/>
      <c r="E388" s="8"/>
      <c r="F388" s="8"/>
      <c r="G388" s="9"/>
      <c r="H388" s="8"/>
      <c r="I388" s="8"/>
      <c r="J388" s="8"/>
      <c r="K388" t="s">
        <v>85</v>
      </c>
      <c r="L388" s="9">
        <v>100</v>
      </c>
      <c r="M388" s="9" t="s">
        <v>38</v>
      </c>
      <c r="N388" s="8"/>
      <c r="O388" t="s">
        <v>92</v>
      </c>
    </row>
    <row r="389" spans="1:15" x14ac:dyDescent="0.25">
      <c r="A389" t="s">
        <v>182</v>
      </c>
      <c r="B389" s="8"/>
      <c r="C389" s="9" t="s">
        <v>91</v>
      </c>
      <c r="D389" s="9"/>
      <c r="E389" s="8"/>
      <c r="F389" s="8"/>
      <c r="G389" s="8"/>
      <c r="H389" s="8"/>
      <c r="I389" s="8"/>
      <c r="J389" s="8"/>
      <c r="K389" t="s">
        <v>85</v>
      </c>
      <c r="L389" s="9">
        <v>53</v>
      </c>
      <c r="M389" s="9" t="s">
        <v>38</v>
      </c>
      <c r="N389" s="8"/>
      <c r="O389" t="s">
        <v>92</v>
      </c>
    </row>
    <row r="390" spans="1:15" x14ac:dyDescent="0.25">
      <c r="A390" t="s">
        <v>182</v>
      </c>
      <c r="B390" s="8"/>
      <c r="C390" s="9" t="s">
        <v>91</v>
      </c>
      <c r="D390" s="9"/>
      <c r="E390" s="8"/>
      <c r="F390" s="8"/>
      <c r="G390" t="s">
        <v>365</v>
      </c>
      <c r="H390" s="8"/>
      <c r="I390" s="8"/>
      <c r="J390" s="8"/>
      <c r="K390" t="s">
        <v>86</v>
      </c>
      <c r="L390" s="9">
        <f>20+27</f>
        <v>47</v>
      </c>
      <c r="M390" s="9" t="s">
        <v>38</v>
      </c>
      <c r="N390" s="19" t="s">
        <v>364</v>
      </c>
      <c r="O390" t="s">
        <v>92</v>
      </c>
    </row>
    <row r="391" spans="1:15" x14ac:dyDescent="0.25">
      <c r="A391" t="s">
        <v>187</v>
      </c>
      <c r="B391" s="8"/>
      <c r="C391" s="9" t="s">
        <v>91</v>
      </c>
      <c r="D391" s="9"/>
      <c r="E391" s="8"/>
      <c r="F391" s="8"/>
      <c r="G391" s="9"/>
      <c r="H391" s="8"/>
      <c r="I391" s="8"/>
      <c r="J391" s="8"/>
      <c r="K391" t="s">
        <v>85</v>
      </c>
      <c r="L391" s="9">
        <v>73</v>
      </c>
      <c r="M391" s="9" t="s">
        <v>38</v>
      </c>
      <c r="N391" s="8"/>
      <c r="O391" t="s">
        <v>92</v>
      </c>
    </row>
    <row r="392" spans="1:15" x14ac:dyDescent="0.25">
      <c r="A392" t="s">
        <v>187</v>
      </c>
      <c r="B392" s="8"/>
      <c r="C392" s="9" t="s">
        <v>91</v>
      </c>
      <c r="D392" s="9"/>
      <c r="E392" s="8"/>
      <c r="F392" s="8"/>
      <c r="G392" t="s">
        <v>365</v>
      </c>
      <c r="H392" s="8"/>
      <c r="I392" s="8"/>
      <c r="J392" s="8"/>
      <c r="K392" t="s">
        <v>86</v>
      </c>
      <c r="L392" s="9">
        <v>27</v>
      </c>
      <c r="M392" s="9" t="s">
        <v>38</v>
      </c>
      <c r="N392" s="8" t="s">
        <v>366</v>
      </c>
      <c r="O392" t="s">
        <v>92</v>
      </c>
    </row>
    <row r="393" spans="1:15" x14ac:dyDescent="0.25">
      <c r="A393" t="s">
        <v>289</v>
      </c>
      <c r="B393" s="10"/>
      <c r="C393" s="9" t="s">
        <v>37</v>
      </c>
      <c r="D393" s="9"/>
      <c r="E393" s="10"/>
      <c r="F393" s="10"/>
      <c r="G393" s="10"/>
      <c r="H393" s="10"/>
      <c r="I393" s="10"/>
      <c r="J393" s="10"/>
      <c r="K393" t="s">
        <v>85</v>
      </c>
      <c r="L393" s="20">
        <v>100</v>
      </c>
      <c r="M393" s="9" t="s">
        <v>38</v>
      </c>
      <c r="N393" s="8" t="s">
        <v>367</v>
      </c>
      <c r="O393" s="8"/>
    </row>
    <row r="394" spans="1:15" x14ac:dyDescent="0.25">
      <c r="A394" t="s">
        <v>290</v>
      </c>
      <c r="B394" s="10"/>
      <c r="C394" s="8" t="s">
        <v>48</v>
      </c>
      <c r="D394" s="8"/>
      <c r="E394" s="10"/>
      <c r="F394" s="10"/>
      <c r="G394" s="10"/>
      <c r="H394" s="10"/>
      <c r="I394" s="10"/>
      <c r="J394" s="10"/>
      <c r="K394" t="s">
        <v>85</v>
      </c>
      <c r="L394" s="20">
        <v>100</v>
      </c>
      <c r="M394" s="9" t="s">
        <v>38</v>
      </c>
      <c r="N394" s="8" t="s">
        <v>367</v>
      </c>
      <c r="O394" s="8"/>
    </row>
    <row r="395" spans="1:15" x14ac:dyDescent="0.25">
      <c r="A395" t="s">
        <v>291</v>
      </c>
      <c r="B395" s="10"/>
      <c r="C395" s="9" t="s">
        <v>90</v>
      </c>
      <c r="D395" s="9"/>
      <c r="E395" s="10"/>
      <c r="F395" s="10"/>
      <c r="G395" s="10"/>
      <c r="H395" s="10"/>
      <c r="I395" s="10"/>
      <c r="J395" s="10"/>
      <c r="K395" t="s">
        <v>85</v>
      </c>
      <c r="L395" s="20">
        <v>100</v>
      </c>
      <c r="M395" s="9" t="s">
        <v>38</v>
      </c>
      <c r="N395" s="8" t="s">
        <v>367</v>
      </c>
      <c r="O395" s="8"/>
    </row>
    <row r="396" spans="1:15" x14ac:dyDescent="0.25">
      <c r="A396" t="s">
        <v>292</v>
      </c>
      <c r="B396" s="10"/>
      <c r="C396" s="9" t="s">
        <v>91</v>
      </c>
      <c r="D396" s="9"/>
      <c r="E396" s="10"/>
      <c r="F396" s="10"/>
      <c r="G396" s="10"/>
      <c r="H396" s="10"/>
      <c r="I396" s="10"/>
      <c r="J396" s="10"/>
      <c r="K396" t="s">
        <v>85</v>
      </c>
      <c r="L396" s="20">
        <v>100</v>
      </c>
      <c r="M396" s="9" t="s">
        <v>38</v>
      </c>
      <c r="N396" s="8" t="s">
        <v>367</v>
      </c>
      <c r="O396" s="8"/>
    </row>
    <row r="397" spans="1:15" x14ac:dyDescent="0.25">
      <c r="A397" s="4" t="s">
        <v>11</v>
      </c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5"/>
      <c r="M397" s="5"/>
      <c r="N397" s="5"/>
      <c r="O397" s="5"/>
    </row>
    <row r="398" spans="1:15" x14ac:dyDescent="0.25">
      <c r="A398" s="17" t="s">
        <v>99</v>
      </c>
      <c r="B398" s="8"/>
      <c r="C398" s="9" t="s">
        <v>105</v>
      </c>
      <c r="D398" s="9"/>
      <c r="E398" s="8"/>
      <c r="F398" s="8"/>
      <c r="G398" s="9"/>
      <c r="H398" s="8"/>
      <c r="I398" s="8"/>
      <c r="J398" s="8"/>
      <c r="K398" t="s">
        <v>85</v>
      </c>
      <c r="L398" s="11">
        <v>100</v>
      </c>
      <c r="M398" s="9" t="s">
        <v>38</v>
      </c>
      <c r="N398" s="10" t="s">
        <v>104</v>
      </c>
    </row>
    <row r="399" spans="1:15" x14ac:dyDescent="0.25">
      <c r="A399" s="17" t="s">
        <v>100</v>
      </c>
      <c r="B399" s="8"/>
      <c r="C399" s="9" t="s">
        <v>105</v>
      </c>
      <c r="D399" s="9"/>
      <c r="E399" s="8"/>
      <c r="F399" s="8"/>
      <c r="G399" s="9"/>
      <c r="H399" s="8"/>
      <c r="I399" s="8"/>
      <c r="J399" s="8"/>
      <c r="K399" t="s">
        <v>85</v>
      </c>
      <c r="L399" s="9">
        <v>50</v>
      </c>
      <c r="M399" s="9" t="s">
        <v>38</v>
      </c>
      <c r="N399" s="8"/>
    </row>
    <row r="400" spans="1:15" x14ac:dyDescent="0.25">
      <c r="A400" s="17" t="s">
        <v>100</v>
      </c>
      <c r="B400" s="8"/>
      <c r="C400" s="9" t="s">
        <v>105</v>
      </c>
      <c r="D400" s="9"/>
      <c r="E400" s="8"/>
      <c r="F400" s="8"/>
      <c r="G400" s="9" t="s">
        <v>116</v>
      </c>
      <c r="H400" s="8"/>
      <c r="I400" s="8"/>
      <c r="J400" s="8"/>
      <c r="K400" t="s">
        <v>86</v>
      </c>
      <c r="L400" s="9">
        <v>50</v>
      </c>
      <c r="M400" s="9" t="s">
        <v>38</v>
      </c>
      <c r="N400" s="8"/>
    </row>
    <row r="401" spans="1:15" x14ac:dyDescent="0.25">
      <c r="A401" s="17" t="s">
        <v>209</v>
      </c>
      <c r="B401" s="8"/>
      <c r="C401" s="11" t="s">
        <v>106</v>
      </c>
      <c r="D401" s="11"/>
      <c r="E401" s="8"/>
      <c r="F401" s="8"/>
      <c r="G401" s="9"/>
      <c r="H401" s="8"/>
      <c r="I401" s="8"/>
      <c r="J401" s="8"/>
      <c r="K401" t="s">
        <v>85</v>
      </c>
      <c r="L401" s="18">
        <v>20</v>
      </c>
      <c r="M401" s="9" t="s">
        <v>38</v>
      </c>
      <c r="N401" s="10" t="s">
        <v>210</v>
      </c>
    </row>
    <row r="402" spans="1:15" x14ac:dyDescent="0.25">
      <c r="A402" s="17" t="s">
        <v>101</v>
      </c>
      <c r="B402" s="8"/>
      <c r="C402" s="9" t="s">
        <v>106</v>
      </c>
      <c r="D402" s="9"/>
      <c r="E402" s="8"/>
      <c r="F402" s="8"/>
      <c r="G402" s="9"/>
      <c r="H402" s="8"/>
      <c r="I402" s="8"/>
      <c r="J402" s="8"/>
      <c r="K402" t="s">
        <v>85</v>
      </c>
      <c r="L402" s="18">
        <v>19</v>
      </c>
      <c r="M402" s="9" t="s">
        <v>38</v>
      </c>
      <c r="N402" s="19"/>
    </row>
    <row r="403" spans="1:15" x14ac:dyDescent="0.25">
      <c r="A403" s="17" t="s">
        <v>101</v>
      </c>
      <c r="B403" s="8"/>
      <c r="C403" s="9" t="s">
        <v>106</v>
      </c>
      <c r="D403" s="9"/>
      <c r="E403" s="8"/>
      <c r="F403" s="8"/>
      <c r="G403" t="s">
        <v>191</v>
      </c>
      <c r="H403" s="8"/>
      <c r="I403" s="8"/>
      <c r="J403" s="8"/>
      <c r="K403" t="s">
        <v>86</v>
      </c>
      <c r="L403" s="28">
        <f>0.02*0.5*100/(844/1000)/0.9</f>
        <v>1.3164823591363877</v>
      </c>
      <c r="M403" s="9" t="s">
        <v>38</v>
      </c>
      <c r="N403" s="19" t="s">
        <v>192</v>
      </c>
      <c r="O403" s="9" t="s">
        <v>193</v>
      </c>
    </row>
    <row r="404" spans="1:15" x14ac:dyDescent="0.25">
      <c r="A404" s="4" t="s">
        <v>12</v>
      </c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5"/>
      <c r="M404" s="5"/>
      <c r="N404" s="5"/>
      <c r="O404" s="5"/>
    </row>
    <row r="405" spans="1:15" x14ac:dyDescent="0.25">
      <c r="A405" s="17" t="s">
        <v>135</v>
      </c>
      <c r="C405" s="9" t="s">
        <v>136</v>
      </c>
      <c r="D405" s="9"/>
      <c r="K405" t="s">
        <v>85</v>
      </c>
      <c r="L405" s="18">
        <v>100</v>
      </c>
      <c r="M405" s="17" t="s">
        <v>38</v>
      </c>
    </row>
    <row r="406" spans="1:15" s="17" customFormat="1" x14ac:dyDescent="0.25">
      <c r="A406" s="17" t="s">
        <v>382</v>
      </c>
      <c r="C406" s="18" t="s">
        <v>433</v>
      </c>
      <c r="D406" s="18"/>
      <c r="K406" s="17" t="s">
        <v>85</v>
      </c>
      <c r="L406" s="18">
        <v>100</v>
      </c>
      <c r="M406" s="17" t="s">
        <v>38</v>
      </c>
    </row>
    <row r="407" spans="1:15" x14ac:dyDescent="0.25">
      <c r="A407" s="17" t="s">
        <v>141</v>
      </c>
      <c r="C407" s="9" t="s">
        <v>147</v>
      </c>
      <c r="D407" s="9"/>
      <c r="K407" t="s">
        <v>85</v>
      </c>
      <c r="L407" s="18">
        <v>100</v>
      </c>
      <c r="M407" s="17" t="s">
        <v>38</v>
      </c>
    </row>
    <row r="408" spans="1:15" x14ac:dyDescent="0.25">
      <c r="A408" s="17" t="s">
        <v>137</v>
      </c>
      <c r="C408" s="9" t="s">
        <v>143</v>
      </c>
      <c r="D408" s="9"/>
      <c r="K408" t="s">
        <v>85</v>
      </c>
      <c r="L408" s="18">
        <v>100</v>
      </c>
      <c r="M408" s="17" t="s">
        <v>38</v>
      </c>
    </row>
    <row r="409" spans="1:15" x14ac:dyDescent="0.25">
      <c r="A409" s="17" t="s">
        <v>138</v>
      </c>
      <c r="C409" s="9" t="s">
        <v>144</v>
      </c>
      <c r="D409" s="9"/>
      <c r="K409" t="s">
        <v>85</v>
      </c>
      <c r="L409" s="18">
        <v>100</v>
      </c>
      <c r="M409" s="17" t="s">
        <v>38</v>
      </c>
    </row>
    <row r="410" spans="1:15" x14ac:dyDescent="0.25">
      <c r="A410" s="17" t="s">
        <v>139</v>
      </c>
      <c r="C410" s="9" t="s">
        <v>145</v>
      </c>
      <c r="D410" s="9"/>
      <c r="K410" t="s">
        <v>85</v>
      </c>
      <c r="L410" s="18">
        <v>100</v>
      </c>
      <c r="M410" s="17" t="s">
        <v>38</v>
      </c>
    </row>
    <row r="411" spans="1:15" x14ac:dyDescent="0.25">
      <c r="A411" s="17" t="s">
        <v>140</v>
      </c>
      <c r="C411" s="9" t="s">
        <v>142</v>
      </c>
      <c r="D411" s="9"/>
      <c r="K411" t="s">
        <v>85</v>
      </c>
      <c r="L411" s="18">
        <v>100</v>
      </c>
      <c r="M411" s="17" t="s">
        <v>38</v>
      </c>
    </row>
    <row r="412" spans="1:15" x14ac:dyDescent="0.25">
      <c r="A412" s="17" t="s">
        <v>107</v>
      </c>
      <c r="B412" s="8"/>
      <c r="C412" s="9" t="s">
        <v>109</v>
      </c>
      <c r="D412" s="9"/>
      <c r="E412" s="8"/>
      <c r="F412" s="8"/>
      <c r="G412" s="9"/>
      <c r="H412" s="8"/>
      <c r="I412" s="8"/>
      <c r="J412" s="8"/>
      <c r="K412" t="s">
        <v>85</v>
      </c>
      <c r="L412" s="18">
        <v>100</v>
      </c>
      <c r="M412" s="17" t="s">
        <v>38</v>
      </c>
      <c r="N412" s="10"/>
    </row>
    <row r="413" spans="1:15" x14ac:dyDescent="0.25">
      <c r="A413" s="17" t="s">
        <v>110</v>
      </c>
      <c r="B413" s="8"/>
      <c r="C413" s="9" t="s">
        <v>111</v>
      </c>
      <c r="D413" s="9"/>
      <c r="E413" s="8"/>
      <c r="F413" s="8"/>
      <c r="G413" s="9"/>
      <c r="H413" s="8"/>
      <c r="I413" s="8"/>
      <c r="J413" s="8"/>
      <c r="K413" t="s">
        <v>85</v>
      </c>
      <c r="L413" s="18">
        <v>100</v>
      </c>
      <c r="M413" s="17" t="s">
        <v>38</v>
      </c>
      <c r="N413" s="10"/>
    </row>
    <row r="414" spans="1:15" x14ac:dyDescent="0.25">
      <c r="A414" s="17" t="s">
        <v>148</v>
      </c>
      <c r="B414" s="8"/>
      <c r="C414" s="9" t="s">
        <v>146</v>
      </c>
      <c r="D414" s="9"/>
      <c r="E414" s="8"/>
      <c r="F414" s="8"/>
      <c r="G414" s="9"/>
      <c r="H414" s="8"/>
      <c r="I414" s="8"/>
      <c r="J414" s="8"/>
      <c r="K414" t="s">
        <v>85</v>
      </c>
      <c r="L414" s="18">
        <v>100</v>
      </c>
      <c r="M414" s="17" t="s">
        <v>38</v>
      </c>
      <c r="N414" s="10"/>
    </row>
    <row r="415" spans="1:15" x14ac:dyDescent="0.25">
      <c r="A415" s="4" t="s">
        <v>13</v>
      </c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5"/>
      <c r="M415" s="5"/>
      <c r="N415" s="5"/>
      <c r="O415" s="5"/>
    </row>
    <row r="416" spans="1:15" x14ac:dyDescent="0.25">
      <c r="A416" s="17" t="s">
        <v>241</v>
      </c>
      <c r="C416" s="9" t="s">
        <v>238</v>
      </c>
      <c r="D416" s="9"/>
      <c r="K416" t="s">
        <v>85</v>
      </c>
      <c r="L416" s="17">
        <v>100</v>
      </c>
      <c r="M416" s="17" t="s">
        <v>38</v>
      </c>
    </row>
    <row r="417" spans="1:15" x14ac:dyDescent="0.25">
      <c r="A417" s="17" t="s">
        <v>242</v>
      </c>
      <c r="C417" s="9" t="s">
        <v>238</v>
      </c>
      <c r="D417" s="9"/>
      <c r="K417" t="s">
        <v>85</v>
      </c>
      <c r="L417" s="17">
        <v>65</v>
      </c>
      <c r="M417" s="17" t="s">
        <v>38</v>
      </c>
      <c r="O417" t="s">
        <v>92</v>
      </c>
    </row>
    <row r="418" spans="1:15" x14ac:dyDescent="0.25">
      <c r="A418" s="17" t="s">
        <v>242</v>
      </c>
      <c r="C418" s="9" t="s">
        <v>238</v>
      </c>
      <c r="D418" s="9"/>
      <c r="G418" s="19" t="s">
        <v>239</v>
      </c>
      <c r="K418" t="s">
        <v>86</v>
      </c>
      <c r="L418" s="17">
        <v>35</v>
      </c>
      <c r="M418" s="17" t="s">
        <v>38</v>
      </c>
      <c r="O418" t="s">
        <v>92</v>
      </c>
    </row>
    <row r="419" spans="1:15" x14ac:dyDescent="0.25">
      <c r="A419" s="17" t="s">
        <v>243</v>
      </c>
      <c r="C419" s="9" t="s">
        <v>238</v>
      </c>
      <c r="D419" s="9"/>
      <c r="K419" t="s">
        <v>85</v>
      </c>
      <c r="L419" s="17">
        <v>22</v>
      </c>
      <c r="M419" s="17" t="s">
        <v>38</v>
      </c>
      <c r="O419" t="s">
        <v>92</v>
      </c>
    </row>
    <row r="420" spans="1:15" x14ac:dyDescent="0.25">
      <c r="A420" s="17" t="s">
        <v>243</v>
      </c>
      <c r="C420" s="9" t="s">
        <v>238</v>
      </c>
      <c r="D420" s="9"/>
      <c r="G420" s="19" t="s">
        <v>239</v>
      </c>
      <c r="K420" t="s">
        <v>86</v>
      </c>
      <c r="L420" s="17">
        <v>35</v>
      </c>
      <c r="M420" s="17" t="s">
        <v>38</v>
      </c>
      <c r="O420" t="s">
        <v>92</v>
      </c>
    </row>
    <row r="421" spans="1:15" x14ac:dyDescent="0.25">
      <c r="A421" s="17" t="s">
        <v>245</v>
      </c>
      <c r="C421" s="9" t="s">
        <v>247</v>
      </c>
      <c r="D421" s="9"/>
      <c r="K421" t="s">
        <v>85</v>
      </c>
      <c r="L421" s="17">
        <v>100</v>
      </c>
      <c r="M421" s="17" t="s">
        <v>38</v>
      </c>
    </row>
    <row r="422" spans="1:15" x14ac:dyDescent="0.25">
      <c r="A422" s="17" t="s">
        <v>254</v>
      </c>
      <c r="C422" s="9" t="s">
        <v>259</v>
      </c>
      <c r="D422" s="9"/>
      <c r="K422" t="s">
        <v>85</v>
      </c>
      <c r="L422" s="17">
        <v>100</v>
      </c>
      <c r="M422" s="17" t="s">
        <v>38</v>
      </c>
    </row>
    <row r="423" spans="1:15" x14ac:dyDescent="0.25">
      <c r="A423" s="17" t="s">
        <v>255</v>
      </c>
      <c r="C423" s="9" t="s">
        <v>260</v>
      </c>
      <c r="D423" s="9"/>
      <c r="K423" t="s">
        <v>85</v>
      </c>
      <c r="L423" s="17">
        <v>100</v>
      </c>
      <c r="M423" s="17" t="s">
        <v>38</v>
      </c>
    </row>
    <row r="424" spans="1:15" x14ac:dyDescent="0.25">
      <c r="A424" s="17" t="s">
        <v>261</v>
      </c>
      <c r="C424" s="9" t="s">
        <v>262</v>
      </c>
      <c r="D424" s="9"/>
      <c r="K424" t="s">
        <v>85</v>
      </c>
      <c r="L424" s="17">
        <v>100</v>
      </c>
      <c r="M424" s="17" t="s">
        <v>38</v>
      </c>
    </row>
    <row r="425" spans="1:15" x14ac:dyDescent="0.25">
      <c r="A425" s="17" t="s">
        <v>256</v>
      </c>
      <c r="C425" s="9" t="s">
        <v>263</v>
      </c>
      <c r="D425" s="9"/>
      <c r="K425" t="s">
        <v>85</v>
      </c>
      <c r="L425" s="17">
        <v>100</v>
      </c>
      <c r="M425" s="17" t="s">
        <v>38</v>
      </c>
    </row>
    <row r="426" spans="1:15" x14ac:dyDescent="0.25">
      <c r="A426" s="4" t="s">
        <v>14</v>
      </c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5"/>
      <c r="M426" s="5"/>
      <c r="N426" s="5"/>
      <c r="O426" s="5"/>
    </row>
    <row r="427" spans="1:15" x14ac:dyDescent="0.25">
      <c r="A427" s="10" t="s">
        <v>62</v>
      </c>
      <c r="B427" s="10"/>
      <c r="C427" s="10"/>
      <c r="D427" s="10"/>
      <c r="E427" s="10" t="s">
        <v>79</v>
      </c>
      <c r="F427" s="10" t="s">
        <v>59</v>
      </c>
      <c r="G427" s="10"/>
      <c r="H427" s="10"/>
      <c r="I427" s="10"/>
      <c r="J427" s="10"/>
      <c r="K427" t="s">
        <v>85</v>
      </c>
      <c r="L427" s="12">
        <f>100-L428</f>
        <v>90.75</v>
      </c>
      <c r="M427" s="10" t="s">
        <v>38</v>
      </c>
      <c r="N427" t="s">
        <v>71</v>
      </c>
      <c r="O427" s="8" t="s">
        <v>93</v>
      </c>
    </row>
    <row r="428" spans="1:15" x14ac:dyDescent="0.25">
      <c r="A428" s="10" t="s">
        <v>62</v>
      </c>
      <c r="B428" s="10"/>
      <c r="C428" s="10"/>
      <c r="D428" s="10"/>
      <c r="E428" s="10" t="s">
        <v>79</v>
      </c>
      <c r="F428" s="10" t="s">
        <v>59</v>
      </c>
      <c r="G428" s="10" t="s">
        <v>60</v>
      </c>
      <c r="H428" s="10"/>
      <c r="I428" s="10"/>
      <c r="J428" s="10"/>
      <c r="K428" t="s">
        <v>86</v>
      </c>
      <c r="L428" s="12">
        <f>(0.042-0.005)/0.4*100</f>
        <v>9.2500000000000018</v>
      </c>
      <c r="M428" s="10" t="s">
        <v>38</v>
      </c>
      <c r="O428" s="8" t="s">
        <v>93</v>
      </c>
    </row>
    <row r="429" spans="1:15" x14ac:dyDescent="0.25">
      <c r="A429" s="10" t="s">
        <v>61</v>
      </c>
      <c r="B429" s="10"/>
      <c r="C429" s="10"/>
      <c r="D429" s="10"/>
      <c r="E429" s="10" t="s">
        <v>79</v>
      </c>
      <c r="F429" s="10" t="s">
        <v>59</v>
      </c>
      <c r="G429" s="10"/>
      <c r="H429" s="10"/>
      <c r="I429" s="10"/>
      <c r="J429" s="10"/>
      <c r="K429" t="s">
        <v>85</v>
      </c>
      <c r="L429" s="12">
        <f>100-L430</f>
        <v>93.25</v>
      </c>
      <c r="M429" s="10" t="s">
        <v>38</v>
      </c>
      <c r="N429" t="s">
        <v>72</v>
      </c>
      <c r="O429" s="8" t="s">
        <v>93</v>
      </c>
    </row>
    <row r="430" spans="1:15" x14ac:dyDescent="0.25">
      <c r="A430" s="10" t="s">
        <v>61</v>
      </c>
      <c r="B430" s="10"/>
      <c r="C430" s="10"/>
      <c r="D430" s="10"/>
      <c r="E430" s="10" t="s">
        <v>79</v>
      </c>
      <c r="F430" s="10" t="s">
        <v>59</v>
      </c>
      <c r="G430" s="10" t="s">
        <v>60</v>
      </c>
      <c r="H430" s="10"/>
      <c r="I430" s="10"/>
      <c r="J430" s="10"/>
      <c r="K430" t="s">
        <v>86</v>
      </c>
      <c r="L430" s="12">
        <f>(0.042-0.015)/0.4*100</f>
        <v>6.75</v>
      </c>
      <c r="M430" s="10" t="s">
        <v>38</v>
      </c>
      <c r="O430" s="8" t="s">
        <v>93</v>
      </c>
    </row>
    <row r="431" spans="1:15" x14ac:dyDescent="0.25">
      <c r="A431" s="10" t="s">
        <v>63</v>
      </c>
      <c r="B431" s="10"/>
      <c r="C431" s="10"/>
      <c r="D431" s="10"/>
      <c r="E431" s="10" t="s">
        <v>79</v>
      </c>
      <c r="F431" s="10" t="s">
        <v>59</v>
      </c>
      <c r="G431" s="10"/>
      <c r="H431" s="10"/>
      <c r="I431" s="10"/>
      <c r="J431" s="10"/>
      <c r="K431" t="s">
        <v>85</v>
      </c>
      <c r="L431" s="12">
        <f>100-L432</f>
        <v>97</v>
      </c>
      <c r="M431" s="10" t="s">
        <v>38</v>
      </c>
      <c r="N431" t="s">
        <v>73</v>
      </c>
      <c r="O431" s="8" t="s">
        <v>93</v>
      </c>
    </row>
    <row r="432" spans="1:15" x14ac:dyDescent="0.25">
      <c r="A432" s="10" t="s">
        <v>63</v>
      </c>
      <c r="B432" s="10"/>
      <c r="C432" s="10"/>
      <c r="D432" s="10"/>
      <c r="E432" s="10" t="s">
        <v>79</v>
      </c>
      <c r="F432" s="10" t="s">
        <v>59</v>
      </c>
      <c r="G432" s="10" t="s">
        <v>60</v>
      </c>
      <c r="H432" s="10"/>
      <c r="I432" s="10"/>
      <c r="J432" s="10"/>
      <c r="K432" t="s">
        <v>86</v>
      </c>
      <c r="L432" s="12">
        <f>(0.042-0.03)/0.4*100</f>
        <v>3.0000000000000009</v>
      </c>
      <c r="M432" s="10" t="s">
        <v>38</v>
      </c>
      <c r="O432" s="8" t="s">
        <v>93</v>
      </c>
    </row>
    <row r="433" spans="1:15" x14ac:dyDescent="0.25">
      <c r="A433" s="10" t="s">
        <v>64</v>
      </c>
      <c r="B433" s="10"/>
      <c r="C433" s="10"/>
      <c r="D433" s="10"/>
      <c r="E433" s="10" t="s">
        <v>79</v>
      </c>
      <c r="F433" s="10" t="s">
        <v>59</v>
      </c>
      <c r="G433" s="10"/>
      <c r="H433" s="10"/>
      <c r="I433" s="10"/>
      <c r="J433" s="10"/>
      <c r="K433" t="s">
        <v>85</v>
      </c>
      <c r="L433" s="12">
        <f>(100-L434)*0.1</f>
        <v>9.7000000000000011</v>
      </c>
      <c r="M433" s="10" t="s">
        <v>38</v>
      </c>
      <c r="N433" t="s">
        <v>80</v>
      </c>
      <c r="O433" s="8" t="s">
        <v>93</v>
      </c>
    </row>
    <row r="434" spans="1:15" x14ac:dyDescent="0.25">
      <c r="A434" s="10" t="s">
        <v>64</v>
      </c>
      <c r="B434" s="10"/>
      <c r="C434" s="10"/>
      <c r="D434" s="10"/>
      <c r="E434" s="10" t="s">
        <v>79</v>
      </c>
      <c r="F434" s="10" t="s">
        <v>59</v>
      </c>
      <c r="G434" s="10" t="s">
        <v>60</v>
      </c>
      <c r="H434" s="10"/>
      <c r="I434" s="10"/>
      <c r="J434" s="10"/>
      <c r="K434" t="s">
        <v>86</v>
      </c>
      <c r="L434" s="12">
        <f>(0.042-0.03)/0.4*100</f>
        <v>3.0000000000000009</v>
      </c>
      <c r="M434" s="10" t="s">
        <v>38</v>
      </c>
      <c r="O434" s="8" t="s">
        <v>93</v>
      </c>
    </row>
    <row r="435" spans="1:15" x14ac:dyDescent="0.25">
      <c r="A435" s="10" t="s">
        <v>64</v>
      </c>
      <c r="B435" s="10"/>
      <c r="C435" s="10"/>
      <c r="D435" s="10"/>
      <c r="E435" s="10" t="s">
        <v>79</v>
      </c>
      <c r="F435" s="10" t="s">
        <v>59</v>
      </c>
      <c r="G435" s="10" t="s">
        <v>70</v>
      </c>
      <c r="H435" s="10"/>
      <c r="I435" s="10"/>
      <c r="J435" s="10"/>
      <c r="K435" t="s">
        <v>86</v>
      </c>
      <c r="L435" s="12">
        <f>(100-L434)*0.9</f>
        <v>87.3</v>
      </c>
      <c r="M435" s="10" t="s">
        <v>38</v>
      </c>
      <c r="O435" s="8" t="s">
        <v>93</v>
      </c>
    </row>
    <row r="436" spans="1:15" x14ac:dyDescent="0.25">
      <c r="A436" s="10" t="s">
        <v>68</v>
      </c>
      <c r="B436" s="10"/>
      <c r="C436" s="10"/>
      <c r="D436" s="10"/>
      <c r="E436" s="10" t="s">
        <v>79</v>
      </c>
      <c r="F436" s="10" t="s">
        <v>60</v>
      </c>
      <c r="G436" s="10"/>
      <c r="H436" s="10"/>
      <c r="I436" s="10"/>
      <c r="J436" s="10"/>
      <c r="K436" t="s">
        <v>85</v>
      </c>
      <c r="L436" s="10">
        <f>1/(0.1/0.4)*100</f>
        <v>400</v>
      </c>
      <c r="M436" s="10" t="s">
        <v>38</v>
      </c>
      <c r="N436" t="s">
        <v>78</v>
      </c>
      <c r="O436" s="8" t="s">
        <v>93</v>
      </c>
    </row>
    <row r="437" spans="1:15" x14ac:dyDescent="0.25">
      <c r="A437" s="11" t="s">
        <v>69</v>
      </c>
      <c r="B437" s="10"/>
      <c r="C437" s="10"/>
      <c r="D437" s="10"/>
      <c r="E437" s="10" t="s">
        <v>79</v>
      </c>
      <c r="F437" s="10" t="s">
        <v>60</v>
      </c>
      <c r="G437" s="10"/>
      <c r="H437" s="10"/>
      <c r="I437" s="10"/>
      <c r="J437" s="10"/>
      <c r="K437" t="s">
        <v>85</v>
      </c>
      <c r="L437" s="12">
        <f>1/(0.12/0.4)*100</f>
        <v>333.33333333333337</v>
      </c>
      <c r="M437" s="10" t="s">
        <v>38</v>
      </c>
      <c r="N437" t="s">
        <v>74</v>
      </c>
      <c r="O437" s="8" t="s">
        <v>93</v>
      </c>
    </row>
    <row r="438" spans="1:15" x14ac:dyDescent="0.25">
      <c r="A438" s="10" t="s">
        <v>66</v>
      </c>
      <c r="B438" s="10"/>
      <c r="C438" s="10"/>
      <c r="D438" s="10"/>
      <c r="E438" s="10" t="s">
        <v>79</v>
      </c>
      <c r="F438" s="10" t="s">
        <v>60</v>
      </c>
      <c r="G438" s="10"/>
      <c r="H438" s="10"/>
      <c r="I438" s="10"/>
      <c r="J438" s="10"/>
      <c r="K438" t="s">
        <v>85</v>
      </c>
      <c r="L438" s="12">
        <f>1/(0.13/0.4)*100</f>
        <v>307.69230769230768</v>
      </c>
      <c r="M438" s="10" t="s">
        <v>38</v>
      </c>
      <c r="N438" t="s">
        <v>75</v>
      </c>
      <c r="O438" s="8" t="s">
        <v>93</v>
      </c>
    </row>
    <row r="439" spans="1:15" x14ac:dyDescent="0.25">
      <c r="A439" s="10" t="s">
        <v>67</v>
      </c>
      <c r="B439" s="10"/>
      <c r="C439" s="10"/>
      <c r="D439" s="10"/>
      <c r="E439" s="10" t="s">
        <v>79</v>
      </c>
      <c r="F439" s="10" t="s">
        <v>60</v>
      </c>
      <c r="G439" s="10"/>
      <c r="H439" s="10"/>
      <c r="I439" s="10"/>
      <c r="J439" s="10"/>
      <c r="K439" t="s">
        <v>85</v>
      </c>
      <c r="L439" s="10">
        <f>1/(0.4/0.4)*100</f>
        <v>100</v>
      </c>
      <c r="M439" s="10" t="s">
        <v>38</v>
      </c>
      <c r="N439" t="s">
        <v>76</v>
      </c>
      <c r="O439" s="8" t="s">
        <v>93</v>
      </c>
    </row>
    <row r="440" spans="1:15" x14ac:dyDescent="0.25">
      <c r="A440" s="10" t="s">
        <v>65</v>
      </c>
      <c r="B440" s="10"/>
      <c r="C440" s="10"/>
      <c r="D440" s="10"/>
      <c r="E440" s="10" t="s">
        <v>79</v>
      </c>
      <c r="F440" s="10" t="s">
        <v>60</v>
      </c>
      <c r="G440" s="10"/>
      <c r="H440" s="10"/>
      <c r="I440" s="10"/>
      <c r="J440" s="10"/>
      <c r="K440" t="s">
        <v>85</v>
      </c>
      <c r="L440" s="12">
        <f>1/((0.4-0.8)/(0.01-0.4)+1)*100</f>
        <v>49.367088607594937</v>
      </c>
      <c r="M440" s="10" t="s">
        <v>38</v>
      </c>
      <c r="N440" t="s">
        <v>77</v>
      </c>
      <c r="O440" s="8" t="s">
        <v>93</v>
      </c>
    </row>
    <row r="441" spans="1:15" x14ac:dyDescent="0.25">
      <c r="A441" s="10" t="s">
        <v>65</v>
      </c>
      <c r="B441" s="8"/>
      <c r="C441" s="8"/>
      <c r="D441" s="8"/>
      <c r="E441" s="10" t="s">
        <v>79</v>
      </c>
      <c r="F441" s="10" t="s">
        <v>60</v>
      </c>
      <c r="G441" s="10" t="s">
        <v>82</v>
      </c>
      <c r="H441" s="8"/>
      <c r="I441" s="8"/>
      <c r="J441" s="8"/>
      <c r="K441" t="s">
        <v>86</v>
      </c>
      <c r="L441" s="14">
        <f>1/((0.01-0.4)/(0.4-0.8)+1)*100</f>
        <v>50.632911392405056</v>
      </c>
      <c r="M441" s="10" t="s">
        <v>38</v>
      </c>
      <c r="N441" s="8" t="s">
        <v>83</v>
      </c>
      <c r="O441" s="8" t="s">
        <v>93</v>
      </c>
    </row>
    <row r="442" spans="1:15" x14ac:dyDescent="0.25">
      <c r="A442" s="10" t="s">
        <v>434</v>
      </c>
      <c r="B442" s="8"/>
      <c r="C442" s="8"/>
      <c r="D442" s="8"/>
      <c r="E442" s="10"/>
      <c r="F442" s="10"/>
      <c r="G442" s="10"/>
      <c r="H442" s="8"/>
      <c r="I442" s="8"/>
      <c r="J442" s="8"/>
      <c r="L442" s="14"/>
      <c r="M442" s="10"/>
      <c r="N442" s="8"/>
      <c r="O442" s="8"/>
    </row>
    <row r="443" spans="1:15" x14ac:dyDescent="0.25">
      <c r="A443" s="4" t="s">
        <v>23</v>
      </c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5"/>
      <c r="M443" s="5"/>
      <c r="N443" s="5"/>
      <c r="O443" s="5"/>
    </row>
    <row r="444" spans="1:15" x14ac:dyDescent="0.25">
      <c r="A444" s="8" t="s">
        <v>54</v>
      </c>
      <c r="B444" s="8"/>
      <c r="C444" s="8"/>
      <c r="D444" s="8"/>
      <c r="E444" s="8" t="s">
        <v>57</v>
      </c>
      <c r="F444" s="8" t="s">
        <v>55</v>
      </c>
      <c r="G444" s="8"/>
      <c r="H444" s="8"/>
      <c r="I444" s="8"/>
      <c r="J444" s="8"/>
      <c r="K444" t="s">
        <v>85</v>
      </c>
      <c r="L444" s="11">
        <v>73.5</v>
      </c>
      <c r="M444" s="8" t="s">
        <v>38</v>
      </c>
      <c r="N444" s="46" t="s">
        <v>368</v>
      </c>
      <c r="O444" s="8" t="s">
        <v>92</v>
      </c>
    </row>
    <row r="445" spans="1:15" x14ac:dyDescent="0.25">
      <c r="A445" s="8" t="s">
        <v>54</v>
      </c>
      <c r="B445" s="8"/>
      <c r="C445" s="8"/>
      <c r="D445" s="8"/>
      <c r="E445" s="8" t="s">
        <v>57</v>
      </c>
      <c r="F445" s="8" t="s">
        <v>55</v>
      </c>
      <c r="G445" s="8" t="s">
        <v>117</v>
      </c>
      <c r="H445" s="8"/>
      <c r="I445" s="8"/>
      <c r="J445" s="8"/>
      <c r="K445" t="s">
        <v>86</v>
      </c>
      <c r="L445" s="16">
        <f>(1/0.76)*4</f>
        <v>5.2631578947368425</v>
      </c>
      <c r="M445" s="8" t="s">
        <v>38</v>
      </c>
      <c r="N445" s="9" t="s">
        <v>96</v>
      </c>
      <c r="O445" s="8" t="s">
        <v>92</v>
      </c>
    </row>
    <row r="446" spans="1:15" x14ac:dyDescent="0.25">
      <c r="A446" s="8" t="s">
        <v>54</v>
      </c>
      <c r="B446" s="8"/>
      <c r="C446" s="8"/>
      <c r="D446" s="8"/>
      <c r="E446" s="8" t="s">
        <v>57</v>
      </c>
      <c r="F446" s="8" t="s">
        <v>55</v>
      </c>
      <c r="G446" s="8" t="s">
        <v>118</v>
      </c>
      <c r="H446" s="8"/>
      <c r="I446" s="8"/>
      <c r="J446" s="8"/>
      <c r="K446" t="s">
        <v>86</v>
      </c>
      <c r="L446" s="16">
        <f>(1/0.76)*6</f>
        <v>7.8947368421052637</v>
      </c>
      <c r="M446" s="8" t="s">
        <v>38</v>
      </c>
      <c r="N446" s="9" t="s">
        <v>96</v>
      </c>
      <c r="O446" s="8" t="s">
        <v>92</v>
      </c>
    </row>
    <row r="447" spans="1:15" x14ac:dyDescent="0.25">
      <c r="A447" s="8" t="s">
        <v>54</v>
      </c>
      <c r="B447" s="8"/>
      <c r="C447" s="8"/>
      <c r="D447" s="8"/>
      <c r="E447" s="8" t="s">
        <v>57</v>
      </c>
      <c r="F447" s="8" t="s">
        <v>55</v>
      </c>
      <c r="G447" s="8" t="s">
        <v>119</v>
      </c>
      <c r="H447" s="8"/>
      <c r="I447" s="8"/>
      <c r="J447" s="8"/>
      <c r="K447" t="s">
        <v>86</v>
      </c>
      <c r="L447" s="16">
        <f>(1/0.76)*5</f>
        <v>6.5789473684210531</v>
      </c>
      <c r="M447" s="8" t="s">
        <v>38</v>
      </c>
      <c r="N447" s="9" t="s">
        <v>96</v>
      </c>
      <c r="O447" s="8" t="s">
        <v>92</v>
      </c>
    </row>
    <row r="448" spans="1:15" x14ac:dyDescent="0.25">
      <c r="A448" s="8" t="s">
        <v>54</v>
      </c>
      <c r="B448" s="8"/>
      <c r="C448" s="8"/>
      <c r="D448" s="8"/>
      <c r="E448" s="8" t="s">
        <v>57</v>
      </c>
      <c r="F448" s="8" t="s">
        <v>55</v>
      </c>
      <c r="G448" s="8" t="s">
        <v>120</v>
      </c>
      <c r="H448" s="8"/>
      <c r="I448" s="8"/>
      <c r="J448" s="8"/>
      <c r="K448" t="s">
        <v>86</v>
      </c>
      <c r="L448" s="9">
        <v>18</v>
      </c>
      <c r="M448" s="8" t="s">
        <v>38</v>
      </c>
      <c r="N448" s="8"/>
      <c r="O448" s="8" t="s">
        <v>92</v>
      </c>
    </row>
    <row r="449" spans="1:15" x14ac:dyDescent="0.25">
      <c r="A449" t="s">
        <v>95</v>
      </c>
      <c r="B449" s="8"/>
      <c r="C449" s="8"/>
      <c r="D449" s="8"/>
      <c r="E449" s="9" t="s">
        <v>79</v>
      </c>
      <c r="F449" s="9" t="s">
        <v>55</v>
      </c>
      <c r="G449" s="8"/>
      <c r="H449" s="8"/>
      <c r="I449" s="8"/>
      <c r="J449" s="8"/>
      <c r="K449" t="s">
        <v>85</v>
      </c>
      <c r="L449" s="11">
        <v>77.7</v>
      </c>
      <c r="M449" s="9" t="s">
        <v>38</v>
      </c>
      <c r="N449" s="9" t="s">
        <v>369</v>
      </c>
      <c r="O449" s="8" t="s">
        <v>92</v>
      </c>
    </row>
    <row r="450" spans="1:15" x14ac:dyDescent="0.25">
      <c r="A450" t="s">
        <v>95</v>
      </c>
      <c r="B450" s="8"/>
      <c r="C450" s="8"/>
      <c r="D450" s="8"/>
      <c r="E450" s="9" t="s">
        <v>79</v>
      </c>
      <c r="F450" s="9" t="s">
        <v>55</v>
      </c>
      <c r="G450" s="9" t="s">
        <v>121</v>
      </c>
      <c r="H450" s="8"/>
      <c r="I450" s="8"/>
      <c r="J450" s="8"/>
      <c r="K450" t="s">
        <v>86</v>
      </c>
      <c r="L450" s="16">
        <f>(1/0.52)*7</f>
        <v>13.46153846153846</v>
      </c>
      <c r="M450" s="9" t="s">
        <v>38</v>
      </c>
      <c r="N450" s="9" t="s">
        <v>97</v>
      </c>
      <c r="O450" s="8" t="s">
        <v>92</v>
      </c>
    </row>
    <row r="451" spans="1:15" x14ac:dyDescent="0.25">
      <c r="A451" t="s">
        <v>95</v>
      </c>
      <c r="B451" s="8"/>
      <c r="C451" s="8"/>
      <c r="D451" s="8"/>
      <c r="E451" s="9" t="s">
        <v>79</v>
      </c>
      <c r="F451" s="9" t="s">
        <v>55</v>
      </c>
      <c r="G451" s="8" t="s">
        <v>122</v>
      </c>
      <c r="H451" s="8"/>
      <c r="I451" s="8"/>
      <c r="J451" s="8"/>
      <c r="K451" t="s">
        <v>86</v>
      </c>
      <c r="L451" s="16">
        <f>(1/0.52)*3</f>
        <v>5.7692307692307683</v>
      </c>
      <c r="M451" s="9" t="s">
        <v>38</v>
      </c>
      <c r="N451" s="9" t="s">
        <v>97</v>
      </c>
      <c r="O451" s="8" t="s">
        <v>92</v>
      </c>
    </row>
    <row r="452" spans="1:15" x14ac:dyDescent="0.25">
      <c r="A452" t="s">
        <v>95</v>
      </c>
      <c r="B452" s="8"/>
      <c r="C452" s="8"/>
      <c r="D452" s="8"/>
      <c r="E452" s="9" t="s">
        <v>79</v>
      </c>
      <c r="F452" s="9" t="s">
        <v>55</v>
      </c>
      <c r="G452" s="9" t="s">
        <v>123</v>
      </c>
      <c r="H452" s="8"/>
      <c r="I452" s="8"/>
      <c r="J452" s="8"/>
      <c r="K452" t="s">
        <v>86</v>
      </c>
      <c r="L452" s="16">
        <f>(1/0.52)*6</f>
        <v>11.538461538461537</v>
      </c>
      <c r="M452" s="9" t="s">
        <v>38</v>
      </c>
      <c r="N452" s="9" t="s">
        <v>97</v>
      </c>
      <c r="O452" s="8" t="s">
        <v>92</v>
      </c>
    </row>
    <row r="453" spans="1:15" x14ac:dyDescent="0.25">
      <c r="A453" t="s">
        <v>95</v>
      </c>
      <c r="B453" s="8"/>
      <c r="C453" s="8"/>
      <c r="D453" s="8"/>
      <c r="E453" s="9" t="s">
        <v>79</v>
      </c>
      <c r="F453" s="9" t="s">
        <v>55</v>
      </c>
      <c r="G453" s="8" t="s">
        <v>124</v>
      </c>
      <c r="H453" s="8"/>
      <c r="I453" s="8"/>
      <c r="J453" s="8"/>
      <c r="K453" t="s">
        <v>86</v>
      </c>
      <c r="L453" s="9">
        <v>12</v>
      </c>
      <c r="M453" s="9" t="s">
        <v>38</v>
      </c>
      <c r="N453" s="8"/>
      <c r="O453" s="8" t="s">
        <v>92</v>
      </c>
    </row>
    <row r="454" spans="1:15" x14ac:dyDescent="0.25">
      <c r="A454" t="s">
        <v>346</v>
      </c>
      <c r="B454" s="8"/>
      <c r="C454" s="8"/>
      <c r="D454" s="8"/>
      <c r="E454" s="9" t="s">
        <v>349</v>
      </c>
      <c r="F454" s="9" t="s">
        <v>55</v>
      </c>
      <c r="G454" s="8"/>
      <c r="H454" s="8"/>
      <c r="I454" s="8"/>
      <c r="J454" s="8"/>
      <c r="K454" t="s">
        <v>85</v>
      </c>
      <c r="L454" s="11">
        <v>69</v>
      </c>
      <c r="M454" s="9" t="s">
        <v>38</v>
      </c>
      <c r="N454" s="9" t="s">
        <v>373</v>
      </c>
      <c r="O454" s="26" t="s">
        <v>350</v>
      </c>
    </row>
    <row r="455" spans="1:15" x14ac:dyDescent="0.25">
      <c r="A455" t="s">
        <v>346</v>
      </c>
      <c r="B455" s="8"/>
      <c r="C455" s="8"/>
      <c r="D455" s="8"/>
      <c r="E455" s="9" t="s">
        <v>349</v>
      </c>
      <c r="F455" s="9" t="s">
        <v>55</v>
      </c>
      <c r="G455" s="26" t="s">
        <v>353</v>
      </c>
      <c r="H455" s="26"/>
      <c r="I455" s="26"/>
      <c r="J455" s="26"/>
      <c r="K455" t="s">
        <v>86</v>
      </c>
      <c r="L455" s="16">
        <f>(1/0.5)*8</f>
        <v>16</v>
      </c>
      <c r="M455" s="9" t="s">
        <v>38</v>
      </c>
      <c r="N455" s="9" t="s">
        <v>354</v>
      </c>
      <c r="O455" s="26" t="s">
        <v>350</v>
      </c>
    </row>
    <row r="456" spans="1:15" x14ac:dyDescent="0.25">
      <c r="A456" t="s">
        <v>346</v>
      </c>
      <c r="B456" s="8"/>
      <c r="C456" s="8"/>
      <c r="D456" s="8"/>
      <c r="E456" s="9" t="s">
        <v>349</v>
      </c>
      <c r="F456" s="9" t="s">
        <v>55</v>
      </c>
      <c r="G456" s="26" t="s">
        <v>352</v>
      </c>
      <c r="H456" s="8"/>
      <c r="I456" s="8"/>
      <c r="J456" s="8"/>
      <c r="K456" t="s">
        <v>86</v>
      </c>
      <c r="L456" s="16">
        <f>(1/0.5)*3</f>
        <v>6</v>
      </c>
      <c r="M456" s="9" t="s">
        <v>38</v>
      </c>
      <c r="N456" s="9" t="s">
        <v>354</v>
      </c>
      <c r="O456" s="26" t="s">
        <v>350</v>
      </c>
    </row>
    <row r="457" spans="1:15" x14ac:dyDescent="0.25">
      <c r="A457" t="s">
        <v>346</v>
      </c>
      <c r="B457" s="8"/>
      <c r="C457" s="8"/>
      <c r="D457" s="8"/>
      <c r="E457" s="9" t="s">
        <v>349</v>
      </c>
      <c r="F457" s="9" t="s">
        <v>55</v>
      </c>
      <c r="G457" s="26" t="s">
        <v>351</v>
      </c>
      <c r="H457" s="8"/>
      <c r="I457" s="8"/>
      <c r="J457" s="8"/>
      <c r="K457" t="s">
        <v>86</v>
      </c>
      <c r="L457" s="9">
        <f>(1/0.5)*8</f>
        <v>16</v>
      </c>
      <c r="M457" s="9" t="s">
        <v>38</v>
      </c>
      <c r="N457" s="9" t="s">
        <v>354</v>
      </c>
      <c r="O457" s="26" t="s">
        <v>350</v>
      </c>
    </row>
    <row r="458" spans="1:15" x14ac:dyDescent="0.25">
      <c r="A458" t="s">
        <v>267</v>
      </c>
      <c r="B458" s="8"/>
      <c r="C458" s="8"/>
      <c r="D458" s="8"/>
      <c r="E458" s="9" t="s">
        <v>268</v>
      </c>
      <c r="F458" s="9" t="s">
        <v>55</v>
      </c>
      <c r="G458" s="8"/>
      <c r="H458" s="8"/>
      <c r="I458" s="8"/>
      <c r="J458" s="8"/>
      <c r="K458" t="s">
        <v>85</v>
      </c>
      <c r="L458" s="11">
        <v>90</v>
      </c>
      <c r="M458" s="9" t="s">
        <v>38</v>
      </c>
      <c r="N458" s="9" t="s">
        <v>371</v>
      </c>
      <c r="O458" s="47" t="s">
        <v>370</v>
      </c>
    </row>
    <row r="459" spans="1:15" x14ac:dyDescent="0.25">
      <c r="A459" s="6" t="s">
        <v>267</v>
      </c>
      <c r="B459" s="10"/>
      <c r="C459" s="10"/>
      <c r="D459" s="10"/>
      <c r="E459" s="11" t="s">
        <v>268</v>
      </c>
      <c r="F459" s="11" t="s">
        <v>55</v>
      </c>
      <c r="G459" s="11" t="s">
        <v>269</v>
      </c>
      <c r="H459" s="8"/>
      <c r="I459" s="8"/>
      <c r="J459" s="8"/>
      <c r="L459" s="9"/>
      <c r="M459" s="9"/>
      <c r="N459" s="8"/>
      <c r="O459" s="8"/>
    </row>
    <row r="460" spans="1:15" x14ac:dyDescent="0.25">
      <c r="A460" s="4" t="s">
        <v>15</v>
      </c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5"/>
      <c r="M460" s="5"/>
      <c r="N460" s="5"/>
      <c r="O460" s="5"/>
    </row>
    <row r="461" spans="1:15" x14ac:dyDescent="0.25">
      <c r="A461" t="s">
        <v>15</v>
      </c>
      <c r="B461" s="8"/>
      <c r="C461" s="8"/>
      <c r="D461" s="8"/>
      <c r="E461" s="9" t="s">
        <v>268</v>
      </c>
      <c r="F461" s="9" t="s">
        <v>325</v>
      </c>
      <c r="G461" s="8"/>
      <c r="H461" s="8"/>
      <c r="I461" s="8"/>
      <c r="J461" s="8"/>
      <c r="K461" t="s">
        <v>85</v>
      </c>
      <c r="L461" s="9">
        <v>100</v>
      </c>
      <c r="M461" s="9" t="s">
        <v>38</v>
      </c>
      <c r="N461" s="8"/>
      <c r="O461" s="8"/>
    </row>
    <row r="462" spans="1:15" x14ac:dyDescent="0.25">
      <c r="A462" s="6" t="s">
        <v>385</v>
      </c>
      <c r="B462" s="10"/>
      <c r="C462" s="10"/>
      <c r="D462" s="10"/>
      <c r="E462" s="11" t="s">
        <v>268</v>
      </c>
      <c r="F462" s="11" t="s">
        <v>325</v>
      </c>
      <c r="G462" s="10"/>
      <c r="H462" s="10"/>
      <c r="I462" s="10"/>
      <c r="J462" s="10"/>
      <c r="K462" s="6" t="s">
        <v>85</v>
      </c>
      <c r="L462" s="11">
        <v>100</v>
      </c>
      <c r="M462" s="11" t="s">
        <v>38</v>
      </c>
      <c r="N462" s="8"/>
      <c r="O462" s="8"/>
    </row>
    <row r="463" spans="1:15" x14ac:dyDescent="0.25">
      <c r="A463" s="4" t="s">
        <v>20</v>
      </c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5"/>
      <c r="M463" s="5"/>
      <c r="N463" s="5"/>
      <c r="O463" s="5"/>
    </row>
    <row r="464" spans="1:15" x14ac:dyDescent="0.25">
      <c r="A464" t="s">
        <v>202</v>
      </c>
      <c r="C464" t="s">
        <v>211</v>
      </c>
      <c r="K464" t="s">
        <v>85</v>
      </c>
      <c r="L464">
        <v>100</v>
      </c>
      <c r="M464" t="s">
        <v>38</v>
      </c>
    </row>
    <row r="465" spans="1:15" x14ac:dyDescent="0.25">
      <c r="A465" s="26" t="s">
        <v>203</v>
      </c>
      <c r="C465" t="s">
        <v>212</v>
      </c>
      <c r="K465" t="s">
        <v>85</v>
      </c>
      <c r="L465">
        <v>100</v>
      </c>
      <c r="M465" t="s">
        <v>38</v>
      </c>
    </row>
    <row r="466" spans="1:15" x14ac:dyDescent="0.25">
      <c r="A466" s="26" t="s">
        <v>204</v>
      </c>
      <c r="C466" t="s">
        <v>213</v>
      </c>
      <c r="K466" t="s">
        <v>85</v>
      </c>
      <c r="L466">
        <v>100</v>
      </c>
      <c r="M466" t="s">
        <v>38</v>
      </c>
    </row>
    <row r="467" spans="1:15" x14ac:dyDescent="0.25">
      <c r="A467" s="6" t="s">
        <v>205</v>
      </c>
    </row>
    <row r="468" spans="1:15" s="17" customFormat="1" x14ac:dyDescent="0.25">
      <c r="A468" s="17" t="s">
        <v>206</v>
      </c>
      <c r="B468" s="19"/>
      <c r="C468" s="19" t="s">
        <v>435</v>
      </c>
      <c r="D468" s="19"/>
      <c r="E468" s="18"/>
      <c r="F468" s="18"/>
      <c r="G468" s="19"/>
      <c r="H468" s="19"/>
      <c r="I468" s="19"/>
      <c r="J468" s="19"/>
      <c r="K468" s="17" t="s">
        <v>85</v>
      </c>
      <c r="L468" s="17">
        <v>100</v>
      </c>
      <c r="M468" s="17" t="s">
        <v>38</v>
      </c>
      <c r="N468" s="19"/>
      <c r="O468" s="19"/>
    </row>
    <row r="469" spans="1:15" s="17" customFormat="1" x14ac:dyDescent="0.25">
      <c r="A469" s="17" t="s">
        <v>387</v>
      </c>
      <c r="B469" s="19"/>
      <c r="C469" s="19" t="s">
        <v>436</v>
      </c>
      <c r="D469" s="19"/>
      <c r="E469" s="18"/>
      <c r="F469" s="18"/>
      <c r="G469" s="19"/>
      <c r="H469" s="19"/>
      <c r="I469" s="19"/>
      <c r="J469" s="19"/>
      <c r="K469" s="17" t="s">
        <v>85</v>
      </c>
      <c r="L469" s="17">
        <v>100</v>
      </c>
      <c r="M469" s="17" t="s">
        <v>38</v>
      </c>
      <c r="N469" s="19"/>
      <c r="O469" s="19"/>
    </row>
    <row r="470" spans="1:15" s="17" customFormat="1" x14ac:dyDescent="0.25">
      <c r="A470" s="17" t="s">
        <v>388</v>
      </c>
      <c r="B470" s="19"/>
      <c r="C470" s="19" t="s">
        <v>437</v>
      </c>
      <c r="D470" s="19"/>
      <c r="E470" s="18"/>
      <c r="F470" s="18"/>
      <c r="G470" s="19"/>
      <c r="H470" s="19"/>
      <c r="I470" s="19"/>
      <c r="J470" s="19"/>
      <c r="K470" s="17" t="s">
        <v>85</v>
      </c>
      <c r="L470" s="17">
        <v>100</v>
      </c>
      <c r="M470" s="17" t="s">
        <v>38</v>
      </c>
      <c r="N470" s="19"/>
      <c r="O470" s="19"/>
    </row>
    <row r="471" spans="1:15" x14ac:dyDescent="0.25">
      <c r="A471" s="4" t="s">
        <v>22</v>
      </c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5"/>
      <c r="M471" s="5"/>
      <c r="N471" s="5"/>
      <c r="O471" s="5"/>
    </row>
    <row r="472" spans="1:15" x14ac:dyDescent="0.25">
      <c r="A472" t="s">
        <v>126</v>
      </c>
      <c r="C472" t="s">
        <v>128</v>
      </c>
      <c r="I472" t="s">
        <v>45</v>
      </c>
      <c r="K472" t="s">
        <v>85</v>
      </c>
      <c r="L472" s="21">
        <v>38</v>
      </c>
      <c r="M472" t="s">
        <v>38</v>
      </c>
      <c r="N472" s="11"/>
      <c r="O472" s="8" t="s">
        <v>92</v>
      </c>
    </row>
    <row r="473" spans="1:15" x14ac:dyDescent="0.25">
      <c r="A473" t="s">
        <v>126</v>
      </c>
      <c r="C473" t="s">
        <v>128</v>
      </c>
      <c r="G473" t="s">
        <v>129</v>
      </c>
      <c r="I473" t="s">
        <v>45</v>
      </c>
      <c r="K473" t="s">
        <v>86</v>
      </c>
      <c r="L473" s="21">
        <v>60</v>
      </c>
      <c r="M473" t="s">
        <v>38</v>
      </c>
      <c r="O473" s="8" t="s">
        <v>92</v>
      </c>
    </row>
    <row r="474" spans="1:15" x14ac:dyDescent="0.25">
      <c r="A474" t="s">
        <v>126</v>
      </c>
      <c r="C474" t="s">
        <v>128</v>
      </c>
      <c r="I474" t="s">
        <v>43</v>
      </c>
      <c r="K474" t="s">
        <v>85</v>
      </c>
      <c r="L474" s="21">
        <v>32</v>
      </c>
      <c r="M474" t="s">
        <v>38</v>
      </c>
      <c r="N474" t="s">
        <v>131</v>
      </c>
      <c r="O474" s="8"/>
    </row>
    <row r="475" spans="1:15" x14ac:dyDescent="0.25">
      <c r="A475" t="s">
        <v>126</v>
      </c>
      <c r="C475" t="s">
        <v>128</v>
      </c>
      <c r="G475" t="s">
        <v>130</v>
      </c>
      <c r="I475" t="s">
        <v>43</v>
      </c>
      <c r="K475" t="s">
        <v>86</v>
      </c>
      <c r="L475" s="21">
        <v>68</v>
      </c>
      <c r="M475" t="s">
        <v>38</v>
      </c>
      <c r="O475" s="8"/>
    </row>
    <row r="476" spans="1:15" s="17" customFormat="1" x14ac:dyDescent="0.25">
      <c r="A476" s="17" t="s">
        <v>395</v>
      </c>
      <c r="C476" s="17" t="s">
        <v>128</v>
      </c>
      <c r="I476" s="17" t="s">
        <v>45</v>
      </c>
      <c r="K476" s="17" t="s">
        <v>85</v>
      </c>
      <c r="L476" s="15">
        <v>38</v>
      </c>
      <c r="M476" s="17" t="s">
        <v>38</v>
      </c>
      <c r="O476" s="19"/>
    </row>
    <row r="477" spans="1:15" s="17" customFormat="1" x14ac:dyDescent="0.25">
      <c r="A477" s="17" t="s">
        <v>395</v>
      </c>
      <c r="C477" s="17" t="s">
        <v>128</v>
      </c>
      <c r="G477" s="17" t="s">
        <v>129</v>
      </c>
      <c r="I477" s="17" t="s">
        <v>45</v>
      </c>
      <c r="K477" s="17" t="s">
        <v>86</v>
      </c>
      <c r="L477" s="15">
        <v>60</v>
      </c>
      <c r="M477" s="17" t="s">
        <v>38</v>
      </c>
      <c r="O477" s="19"/>
    </row>
    <row r="478" spans="1:15" s="17" customFormat="1" x14ac:dyDescent="0.25">
      <c r="A478" s="17" t="s">
        <v>395</v>
      </c>
      <c r="C478" s="17" t="s">
        <v>128</v>
      </c>
      <c r="I478" s="17" t="s">
        <v>43</v>
      </c>
      <c r="K478" s="17" t="s">
        <v>85</v>
      </c>
      <c r="L478" s="15">
        <v>32</v>
      </c>
      <c r="M478" s="17" t="s">
        <v>38</v>
      </c>
      <c r="O478" s="19"/>
    </row>
    <row r="479" spans="1:15" s="17" customFormat="1" x14ac:dyDescent="0.25">
      <c r="A479" s="17" t="s">
        <v>395</v>
      </c>
      <c r="C479" s="17" t="s">
        <v>128</v>
      </c>
      <c r="G479" s="17" t="s">
        <v>130</v>
      </c>
      <c r="I479" s="17" t="s">
        <v>43</v>
      </c>
      <c r="K479" s="17" t="s">
        <v>86</v>
      </c>
      <c r="L479" s="15">
        <v>68</v>
      </c>
      <c r="M479" s="17" t="s">
        <v>38</v>
      </c>
      <c r="O479" s="19"/>
    </row>
    <row r="480" spans="1:15" s="17" customFormat="1" x14ac:dyDescent="0.25">
      <c r="A480" s="17" t="s">
        <v>133</v>
      </c>
      <c r="C480" s="17" t="s">
        <v>438</v>
      </c>
      <c r="K480" s="17" t="s">
        <v>85</v>
      </c>
      <c r="L480" s="15">
        <v>43</v>
      </c>
      <c r="M480" s="17" t="s">
        <v>38</v>
      </c>
      <c r="N480" s="17" t="s">
        <v>439</v>
      </c>
      <c r="O480" s="19"/>
    </row>
    <row r="481" spans="1:15" s="17" customFormat="1" x14ac:dyDescent="0.25">
      <c r="A481" s="17" t="s">
        <v>133</v>
      </c>
      <c r="C481" s="17" t="s">
        <v>438</v>
      </c>
      <c r="G481" s="17" t="s">
        <v>440</v>
      </c>
      <c r="K481" s="17" t="s">
        <v>86</v>
      </c>
      <c r="L481" s="15">
        <v>47</v>
      </c>
      <c r="M481" s="17" t="s">
        <v>38</v>
      </c>
      <c r="O481" s="19"/>
    </row>
    <row r="482" spans="1:15" x14ac:dyDescent="0.25">
      <c r="A482" s="4" t="s">
        <v>24</v>
      </c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5"/>
      <c r="M482" s="5"/>
      <c r="N482" s="5"/>
      <c r="O482" s="5"/>
    </row>
    <row r="483" spans="1:15" x14ac:dyDescent="0.25">
      <c r="A483" t="s">
        <v>217</v>
      </c>
      <c r="C483" t="s">
        <v>224</v>
      </c>
      <c r="K483" t="s">
        <v>85</v>
      </c>
      <c r="L483" s="22">
        <f>161/1000*100</f>
        <v>16.100000000000001</v>
      </c>
      <c r="M483" t="s">
        <v>38</v>
      </c>
      <c r="N483" t="s">
        <v>336</v>
      </c>
      <c r="O483" s="17" t="s">
        <v>338</v>
      </c>
    </row>
    <row r="484" spans="1:15" x14ac:dyDescent="0.25">
      <c r="A484" t="s">
        <v>217</v>
      </c>
      <c r="C484" t="s">
        <v>224</v>
      </c>
      <c r="G484" t="s">
        <v>225</v>
      </c>
      <c r="K484" t="s">
        <v>86</v>
      </c>
      <c r="L484" s="22">
        <f>(6.4+25.2)/1000/0.9*100</f>
        <v>3.5111111111111115</v>
      </c>
      <c r="M484" t="s">
        <v>38</v>
      </c>
      <c r="N484" t="s">
        <v>339</v>
      </c>
      <c r="O484" s="17" t="s">
        <v>338</v>
      </c>
    </row>
    <row r="485" spans="1:15" x14ac:dyDescent="0.25">
      <c r="A485" t="s">
        <v>217</v>
      </c>
      <c r="C485" t="s">
        <v>224</v>
      </c>
      <c r="G485" t="s">
        <v>226</v>
      </c>
      <c r="K485" t="s">
        <v>86</v>
      </c>
      <c r="L485" s="22">
        <f>19/1000/0.76*100</f>
        <v>2.5</v>
      </c>
      <c r="M485" t="s">
        <v>38</v>
      </c>
      <c r="N485" t="s">
        <v>340</v>
      </c>
      <c r="O485" s="17" t="s">
        <v>338</v>
      </c>
    </row>
    <row r="486" spans="1:15" x14ac:dyDescent="0.25">
      <c r="A486" t="s">
        <v>219</v>
      </c>
      <c r="C486" t="s">
        <v>224</v>
      </c>
      <c r="K486" t="s">
        <v>85</v>
      </c>
      <c r="L486" s="43">
        <f>L483/0.8</f>
        <v>20.125</v>
      </c>
      <c r="M486" t="s">
        <v>38</v>
      </c>
      <c r="N486" s="17" t="s">
        <v>341</v>
      </c>
    </row>
    <row r="487" spans="1:15" x14ac:dyDescent="0.25">
      <c r="A487" t="s">
        <v>219</v>
      </c>
      <c r="C487" t="s">
        <v>224</v>
      </c>
      <c r="G487" t="s">
        <v>225</v>
      </c>
      <c r="K487" t="s">
        <v>86</v>
      </c>
      <c r="L487" s="43">
        <f>L484</f>
        <v>3.5111111111111115</v>
      </c>
      <c r="M487" t="s">
        <v>38</v>
      </c>
    </row>
    <row r="488" spans="1:15" x14ac:dyDescent="0.25">
      <c r="A488" t="s">
        <v>219</v>
      </c>
      <c r="C488" t="s">
        <v>224</v>
      </c>
      <c r="G488" t="s">
        <v>226</v>
      </c>
      <c r="K488" t="s">
        <v>86</v>
      </c>
      <c r="L488" s="43">
        <f>L485</f>
        <v>2.5</v>
      </c>
      <c r="M488" t="s">
        <v>38</v>
      </c>
    </row>
    <row r="489" spans="1:15" x14ac:dyDescent="0.25">
      <c r="A489" s="6" t="s">
        <v>218</v>
      </c>
    </row>
    <row r="490" spans="1:15" x14ac:dyDescent="0.25">
      <c r="A490" s="4" t="s">
        <v>29</v>
      </c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5"/>
      <c r="M490" s="5"/>
      <c r="N490" s="5"/>
      <c r="O490" s="5"/>
    </row>
    <row r="491" spans="1:15" x14ac:dyDescent="0.25">
      <c r="A491" t="s">
        <v>227</v>
      </c>
      <c r="B491" s="10"/>
      <c r="C491" s="8" t="s">
        <v>237</v>
      </c>
      <c r="D491" s="8"/>
      <c r="E491" s="10"/>
      <c r="F491" s="10"/>
      <c r="G491" s="10"/>
      <c r="H491" s="10"/>
      <c r="I491" s="10"/>
      <c r="J491" s="10"/>
      <c r="K491" t="s">
        <v>85</v>
      </c>
      <c r="L491" s="20">
        <v>70</v>
      </c>
      <c r="M491" s="9" t="s">
        <v>38</v>
      </c>
      <c r="N491" s="8"/>
      <c r="O491" s="8" t="s">
        <v>92</v>
      </c>
    </row>
    <row r="492" spans="1:15" x14ac:dyDescent="0.25">
      <c r="A492" t="s">
        <v>230</v>
      </c>
      <c r="B492" s="10"/>
      <c r="C492" s="8" t="s">
        <v>48</v>
      </c>
      <c r="D492" s="8"/>
      <c r="E492" s="10"/>
      <c r="F492" s="10"/>
      <c r="G492" s="10"/>
      <c r="H492" s="10"/>
      <c r="I492" s="10"/>
      <c r="J492" s="10"/>
      <c r="K492" t="s">
        <v>85</v>
      </c>
      <c r="L492" s="20">
        <f>655*0.7</f>
        <v>458.49999999999994</v>
      </c>
      <c r="M492" s="9" t="s">
        <v>38</v>
      </c>
      <c r="N492" s="8"/>
      <c r="O492" s="8" t="s">
        <v>92</v>
      </c>
    </row>
    <row r="493" spans="1:15" x14ac:dyDescent="0.25">
      <c r="A493" t="s">
        <v>230</v>
      </c>
      <c r="B493" s="10"/>
      <c r="C493" s="8" t="s">
        <v>48</v>
      </c>
      <c r="D493" s="8"/>
      <c r="E493" s="10"/>
      <c r="F493" s="10"/>
      <c r="G493" s="19" t="s">
        <v>125</v>
      </c>
      <c r="H493" s="10"/>
      <c r="I493" s="10"/>
      <c r="J493" s="10"/>
      <c r="K493" t="s">
        <v>86</v>
      </c>
      <c r="L493" s="20">
        <f>1*(L492/100)*0.2*100</f>
        <v>91.699999999999989</v>
      </c>
      <c r="M493" s="9" t="s">
        <v>38</v>
      </c>
      <c r="N493" s="8" t="s">
        <v>115</v>
      </c>
      <c r="O493" s="8" t="s">
        <v>114</v>
      </c>
    </row>
    <row r="494" spans="1:15" x14ac:dyDescent="0.25">
      <c r="B494" s="10"/>
      <c r="C494" s="8"/>
      <c r="D494" s="8"/>
      <c r="E494" s="10"/>
      <c r="F494" s="10"/>
      <c r="G494" s="10" t="s">
        <v>176</v>
      </c>
      <c r="H494" s="10"/>
      <c r="I494" s="10"/>
      <c r="J494" s="10"/>
      <c r="L494" s="20"/>
      <c r="M494" s="9"/>
      <c r="N494" s="10" t="s">
        <v>177</v>
      </c>
      <c r="O494" s="8"/>
    </row>
    <row r="495" spans="1:15" x14ac:dyDescent="0.25">
      <c r="A495" t="s">
        <v>228</v>
      </c>
      <c r="B495" s="10"/>
      <c r="C495" s="9" t="s">
        <v>238</v>
      </c>
      <c r="D495" s="9"/>
      <c r="E495" s="10"/>
      <c r="F495" s="10"/>
      <c r="G495" s="19"/>
      <c r="H495" s="10"/>
      <c r="I495" s="10"/>
      <c r="J495" s="10"/>
      <c r="K495" t="s">
        <v>85</v>
      </c>
      <c r="L495" s="20">
        <v>65</v>
      </c>
      <c r="M495" s="9" t="s">
        <v>38</v>
      </c>
      <c r="N495" s="8"/>
      <c r="O495" s="8" t="s">
        <v>92</v>
      </c>
    </row>
    <row r="496" spans="1:15" x14ac:dyDescent="0.25">
      <c r="A496" t="s">
        <v>228</v>
      </c>
      <c r="B496" s="10"/>
      <c r="C496" s="9" t="s">
        <v>238</v>
      </c>
      <c r="D496" s="9"/>
      <c r="E496" s="10"/>
      <c r="F496" s="10"/>
      <c r="G496" s="19" t="s">
        <v>239</v>
      </c>
      <c r="H496" s="10"/>
      <c r="I496" s="10"/>
      <c r="J496" s="10"/>
      <c r="K496" t="s">
        <v>86</v>
      </c>
      <c r="L496" s="20">
        <v>35</v>
      </c>
      <c r="M496" s="9" t="s">
        <v>38</v>
      </c>
      <c r="N496" s="8"/>
      <c r="O496" s="8" t="s">
        <v>92</v>
      </c>
    </row>
    <row r="497" spans="1:15" x14ac:dyDescent="0.25">
      <c r="A497" t="s">
        <v>231</v>
      </c>
      <c r="B497" s="10"/>
      <c r="C497" s="9" t="s">
        <v>37</v>
      </c>
      <c r="D497" s="9"/>
      <c r="E497" s="10"/>
      <c r="F497" s="10"/>
      <c r="G497" s="19"/>
      <c r="H497" s="10"/>
      <c r="I497" s="10"/>
      <c r="J497" s="10"/>
      <c r="K497" t="s">
        <v>85</v>
      </c>
      <c r="L497" s="20">
        <v>30</v>
      </c>
      <c r="M497" s="9" t="s">
        <v>38</v>
      </c>
      <c r="N497" s="8"/>
      <c r="O497" s="8" t="s">
        <v>92</v>
      </c>
    </row>
    <row r="498" spans="1:15" x14ac:dyDescent="0.25">
      <c r="A498" t="s">
        <v>231</v>
      </c>
      <c r="B498" s="10"/>
      <c r="C498" s="9" t="s">
        <v>37</v>
      </c>
      <c r="D498" s="9"/>
      <c r="E498" s="10"/>
      <c r="F498" s="10"/>
      <c r="G498" s="10" t="s">
        <v>240</v>
      </c>
      <c r="H498" s="10"/>
      <c r="I498" s="10"/>
      <c r="J498" s="10"/>
      <c r="K498" s="6" t="s">
        <v>86</v>
      </c>
      <c r="L498" s="12">
        <v>11</v>
      </c>
      <c r="M498" s="11" t="s">
        <v>38</v>
      </c>
      <c r="N498" s="10" t="s">
        <v>330</v>
      </c>
      <c r="O498" s="10" t="s">
        <v>92</v>
      </c>
    </row>
    <row r="499" spans="1:15" x14ac:dyDescent="0.25">
      <c r="A499" s="4" t="s">
        <v>33</v>
      </c>
      <c r="B499" s="4"/>
      <c r="C499" s="4"/>
      <c r="D499" s="50"/>
      <c r="E499" s="4"/>
      <c r="F499" s="4"/>
      <c r="G499" s="4"/>
      <c r="H499" s="4"/>
      <c r="I499" s="4"/>
      <c r="J499" s="4"/>
      <c r="K499" s="5"/>
      <c r="L499" s="5"/>
      <c r="M499" s="5"/>
      <c r="N499" s="5"/>
      <c r="O499" s="5"/>
    </row>
    <row r="500" spans="1:15" s="17" customFormat="1" x14ac:dyDescent="0.25">
      <c r="A500" s="64" t="s">
        <v>397</v>
      </c>
      <c r="B500" s="64"/>
      <c r="C500" s="64" t="s">
        <v>211</v>
      </c>
      <c r="D500" s="64"/>
      <c r="E500" s="65"/>
      <c r="F500" s="65"/>
      <c r="G500" s="65"/>
      <c r="H500" s="65"/>
      <c r="I500" s="64"/>
      <c r="J500" s="65"/>
      <c r="K500" s="17" t="s">
        <v>85</v>
      </c>
      <c r="L500" s="58">
        <v>94</v>
      </c>
      <c r="M500" s="64" t="s">
        <v>38</v>
      </c>
      <c r="N500" s="64"/>
      <c r="O500" s="19"/>
    </row>
    <row r="501" spans="1:15" s="17" customFormat="1" x14ac:dyDescent="0.25">
      <c r="A501" s="64" t="s">
        <v>397</v>
      </c>
      <c r="B501" s="64"/>
      <c r="C501" s="64" t="s">
        <v>211</v>
      </c>
      <c r="D501" s="64"/>
      <c r="E501" s="65"/>
      <c r="F501" s="65"/>
      <c r="G501" s="64" t="s">
        <v>441</v>
      </c>
      <c r="H501" s="65"/>
      <c r="I501" s="64"/>
      <c r="J501" s="65"/>
      <c r="K501" s="17" t="s">
        <v>86</v>
      </c>
      <c r="L501" s="29">
        <f>11*0.94</f>
        <v>10.34</v>
      </c>
      <c r="M501" s="64" t="s">
        <v>38</v>
      </c>
      <c r="N501" s="64" t="s">
        <v>442</v>
      </c>
      <c r="O501" s="19"/>
    </row>
    <row r="502" spans="1:15" s="17" customFormat="1" x14ac:dyDescent="0.25">
      <c r="A502" s="64" t="s">
        <v>401</v>
      </c>
      <c r="B502" s="64"/>
      <c r="C502" s="64" t="s">
        <v>37</v>
      </c>
      <c r="D502" s="64"/>
      <c r="E502" s="64"/>
      <c r="F502" s="64"/>
      <c r="G502" s="64"/>
      <c r="H502" s="64"/>
      <c r="I502" s="64"/>
      <c r="J502" s="64"/>
      <c r="K502" s="17" t="s">
        <v>85</v>
      </c>
      <c r="L502" s="17">
        <v>31</v>
      </c>
      <c r="M502" s="64" t="s">
        <v>38</v>
      </c>
      <c r="N502" s="64" t="s">
        <v>425</v>
      </c>
      <c r="O502" s="19"/>
    </row>
    <row r="503" spans="1:15" s="17" customFormat="1" x14ac:dyDescent="0.25">
      <c r="A503" s="64" t="s">
        <v>401</v>
      </c>
      <c r="B503" s="64"/>
      <c r="C503" s="64" t="s">
        <v>37</v>
      </c>
      <c r="D503" s="64"/>
      <c r="E503" s="64"/>
      <c r="F503" s="64"/>
      <c r="G503" s="64" t="s">
        <v>443</v>
      </c>
      <c r="H503" s="64"/>
      <c r="I503" s="64"/>
      <c r="J503" s="64"/>
      <c r="K503" s="17" t="s">
        <v>86</v>
      </c>
      <c r="L503" s="29">
        <f>69*0.31</f>
        <v>21.39</v>
      </c>
      <c r="M503" s="64" t="s">
        <v>38</v>
      </c>
      <c r="N503" s="64"/>
      <c r="O503" s="19"/>
    </row>
    <row r="504" spans="1:15" s="17" customFormat="1" x14ac:dyDescent="0.25">
      <c r="A504" s="64" t="s">
        <v>401</v>
      </c>
      <c r="B504" s="64"/>
      <c r="C504" s="64" t="s">
        <v>37</v>
      </c>
      <c r="D504" s="64"/>
      <c r="E504" s="64"/>
      <c r="F504" s="64"/>
      <c r="G504" s="64" t="s">
        <v>444</v>
      </c>
      <c r="H504" s="64"/>
      <c r="I504" s="64"/>
      <c r="J504" s="64"/>
      <c r="K504" s="17" t="s">
        <v>86</v>
      </c>
      <c r="L504" s="29">
        <f>1.9*0.31</f>
        <v>0.58899999999999997</v>
      </c>
      <c r="M504" s="64" t="s">
        <v>38</v>
      </c>
      <c r="N504" s="64"/>
      <c r="O504" s="19"/>
    </row>
    <row r="505" spans="1:15" s="17" customFormat="1" x14ac:dyDescent="0.25">
      <c r="A505" s="64" t="s">
        <v>402</v>
      </c>
      <c r="B505" s="64"/>
      <c r="C505" s="64" t="s">
        <v>91</v>
      </c>
      <c r="D505" s="64"/>
      <c r="E505" s="64"/>
      <c r="F505" s="64"/>
      <c r="G505" s="64"/>
      <c r="H505" s="64"/>
      <c r="I505" s="64"/>
      <c r="J505" s="64"/>
      <c r="K505" s="17" t="s">
        <v>85</v>
      </c>
      <c r="L505" s="17">
        <v>769</v>
      </c>
      <c r="M505" s="64" t="s">
        <v>38</v>
      </c>
      <c r="N505" s="64"/>
      <c r="O505" s="19"/>
    </row>
    <row r="506" spans="1:15" s="17" customFormat="1" x14ac:dyDescent="0.25">
      <c r="A506" s="64" t="s">
        <v>402</v>
      </c>
      <c r="B506" s="64"/>
      <c r="C506" s="64" t="s">
        <v>91</v>
      </c>
      <c r="D506" s="64"/>
      <c r="E506" s="64"/>
      <c r="F506" s="64"/>
      <c r="G506" s="64" t="s">
        <v>445</v>
      </c>
      <c r="H506" s="64"/>
      <c r="I506" s="64"/>
      <c r="J506" s="64"/>
      <c r="K506" s="17" t="s">
        <v>86</v>
      </c>
      <c r="L506" s="29">
        <f>1.5*7.69</f>
        <v>11.535</v>
      </c>
      <c r="M506" s="64" t="s">
        <v>38</v>
      </c>
      <c r="N506" s="64"/>
      <c r="O506" s="19"/>
    </row>
    <row r="507" spans="1:15" s="17" customFormat="1" x14ac:dyDescent="0.25">
      <c r="A507" s="64" t="s">
        <v>404</v>
      </c>
      <c r="B507" s="64"/>
      <c r="C507" s="64" t="s">
        <v>224</v>
      </c>
      <c r="D507" s="64"/>
      <c r="E507" s="65"/>
      <c r="F507" s="65"/>
      <c r="G507" s="65"/>
      <c r="H507" s="65"/>
      <c r="I507" s="64"/>
      <c r="J507" s="65"/>
      <c r="K507" s="17" t="s">
        <v>85</v>
      </c>
      <c r="L507" s="29">
        <f>L483*0.55</f>
        <v>8.8550000000000022</v>
      </c>
      <c r="M507" s="64" t="s">
        <v>38</v>
      </c>
      <c r="N507" s="64"/>
      <c r="O507" s="19"/>
    </row>
    <row r="508" spans="1:15" s="17" customFormat="1" x14ac:dyDescent="0.25">
      <c r="A508" s="64" t="s">
        <v>404</v>
      </c>
      <c r="B508" s="64"/>
      <c r="C508" s="64" t="s">
        <v>224</v>
      </c>
      <c r="D508" s="64"/>
      <c r="E508" s="65"/>
      <c r="F508" s="65"/>
      <c r="G508" s="17" t="s">
        <v>225</v>
      </c>
      <c r="H508" s="65"/>
      <c r="I508" s="64"/>
      <c r="J508" s="65"/>
      <c r="K508" s="17" t="s">
        <v>86</v>
      </c>
      <c r="L508" s="29">
        <f>L484*0.55</f>
        <v>1.9311111111111114</v>
      </c>
      <c r="M508" s="64" t="s">
        <v>38</v>
      </c>
      <c r="N508" s="64"/>
      <c r="O508" s="19"/>
    </row>
    <row r="509" spans="1:15" s="17" customFormat="1" x14ac:dyDescent="0.25">
      <c r="A509" s="64" t="s">
        <v>404</v>
      </c>
      <c r="B509" s="64"/>
      <c r="C509" s="64" t="s">
        <v>224</v>
      </c>
      <c r="D509" s="64"/>
      <c r="E509" s="65"/>
      <c r="F509" s="65"/>
      <c r="G509" s="17" t="s">
        <v>226</v>
      </c>
      <c r="H509" s="65"/>
      <c r="I509" s="64"/>
      <c r="J509" s="65"/>
      <c r="K509" s="17" t="s">
        <v>86</v>
      </c>
      <c r="L509" s="29">
        <f>L485*0.55</f>
        <v>1.375</v>
      </c>
      <c r="M509" s="64" t="s">
        <v>38</v>
      </c>
      <c r="N509" s="64"/>
      <c r="O509" s="19"/>
    </row>
    <row r="510" spans="1:15" s="17" customFormat="1" x14ac:dyDescent="0.25">
      <c r="A510" s="64" t="s">
        <v>405</v>
      </c>
      <c r="B510" s="64"/>
      <c r="C510" s="64" t="s">
        <v>224</v>
      </c>
      <c r="D510" s="64"/>
      <c r="E510" s="65"/>
      <c r="F510" s="65"/>
      <c r="G510" s="65"/>
      <c r="H510" s="65"/>
      <c r="I510" s="64"/>
      <c r="J510" s="65"/>
      <c r="K510" s="17" t="s">
        <v>85</v>
      </c>
      <c r="L510" s="29">
        <f>L483*1.09</f>
        <v>17.549000000000003</v>
      </c>
      <c r="M510" s="64" t="s">
        <v>38</v>
      </c>
      <c r="N510" s="64"/>
      <c r="O510" s="19"/>
    </row>
    <row r="511" spans="1:15" s="17" customFormat="1" x14ac:dyDescent="0.25">
      <c r="A511" s="64" t="s">
        <v>405</v>
      </c>
      <c r="B511" s="64"/>
      <c r="C511" s="64" t="s">
        <v>224</v>
      </c>
      <c r="D511" s="64"/>
      <c r="E511" s="65"/>
      <c r="F511" s="65"/>
      <c r="G511" s="17" t="s">
        <v>225</v>
      </c>
      <c r="H511" s="65"/>
      <c r="I511" s="64"/>
      <c r="J511" s="65"/>
      <c r="K511" s="17" t="s">
        <v>86</v>
      </c>
      <c r="L511" s="29">
        <f t="shared" ref="L511:L512" si="0">L484*1.09</f>
        <v>3.8271111111111118</v>
      </c>
      <c r="M511" s="64" t="s">
        <v>38</v>
      </c>
      <c r="N511" s="64"/>
      <c r="O511" s="19"/>
    </row>
    <row r="512" spans="1:15" s="17" customFormat="1" x14ac:dyDescent="0.25">
      <c r="A512" s="64" t="s">
        <v>405</v>
      </c>
      <c r="B512" s="64"/>
      <c r="C512" s="64" t="s">
        <v>224</v>
      </c>
      <c r="D512" s="64"/>
      <c r="E512" s="65"/>
      <c r="F512" s="65"/>
      <c r="G512" s="17" t="s">
        <v>226</v>
      </c>
      <c r="H512" s="65"/>
      <c r="I512" s="64"/>
      <c r="J512" s="65"/>
      <c r="K512" s="17" t="s">
        <v>86</v>
      </c>
      <c r="L512" s="29">
        <f t="shared" si="0"/>
        <v>2.7250000000000001</v>
      </c>
      <c r="M512" s="64" t="s">
        <v>38</v>
      </c>
      <c r="N512" s="64"/>
      <c r="O512" s="19"/>
    </row>
    <row r="513" spans="1:15" s="17" customFormat="1" x14ac:dyDescent="0.25">
      <c r="A513" s="64" t="s">
        <v>406</v>
      </c>
      <c r="B513" s="64"/>
      <c r="C513" s="64" t="s">
        <v>224</v>
      </c>
      <c r="D513" s="64"/>
      <c r="E513" s="65"/>
      <c r="F513" s="65"/>
      <c r="G513" s="65"/>
      <c r="H513" s="65"/>
      <c r="I513" s="64"/>
      <c r="J513" s="65"/>
      <c r="K513" s="17" t="s">
        <v>85</v>
      </c>
      <c r="L513" s="29">
        <f>L483*0.67</f>
        <v>10.787000000000001</v>
      </c>
      <c r="M513" s="64" t="s">
        <v>38</v>
      </c>
      <c r="N513" s="64"/>
      <c r="O513" s="19"/>
    </row>
    <row r="514" spans="1:15" s="17" customFormat="1" x14ac:dyDescent="0.25">
      <c r="A514" s="64" t="s">
        <v>406</v>
      </c>
      <c r="B514" s="64"/>
      <c r="C514" s="64" t="s">
        <v>224</v>
      </c>
      <c r="D514" s="64"/>
      <c r="E514" s="65"/>
      <c r="F514" s="65"/>
      <c r="G514" s="17" t="s">
        <v>225</v>
      </c>
      <c r="H514" s="65"/>
      <c r="I514" s="64"/>
      <c r="J514" s="65"/>
      <c r="K514" s="17" t="s">
        <v>86</v>
      </c>
      <c r="L514" s="29">
        <f t="shared" ref="L514:L515" si="1">L484*0.67</f>
        <v>2.352444444444445</v>
      </c>
      <c r="M514" s="64" t="s">
        <v>38</v>
      </c>
      <c r="N514" s="64"/>
      <c r="O514" s="19"/>
    </row>
    <row r="515" spans="1:15" s="17" customFormat="1" x14ac:dyDescent="0.25">
      <c r="A515" s="64" t="s">
        <v>406</v>
      </c>
      <c r="B515" s="64"/>
      <c r="C515" s="64" t="s">
        <v>224</v>
      </c>
      <c r="D515" s="64"/>
      <c r="E515" s="65"/>
      <c r="F515" s="65"/>
      <c r="G515" s="17" t="s">
        <v>226</v>
      </c>
      <c r="H515" s="65"/>
      <c r="I515" s="64"/>
      <c r="J515" s="65"/>
      <c r="K515" s="17" t="s">
        <v>86</v>
      </c>
      <c r="L515" s="29">
        <f t="shared" si="1"/>
        <v>1.675</v>
      </c>
      <c r="M515" s="64" t="s">
        <v>38</v>
      </c>
      <c r="N515" s="64"/>
      <c r="O515" s="19"/>
    </row>
    <row r="516" spans="1:15" s="17" customFormat="1" x14ac:dyDescent="0.25">
      <c r="A516" s="64" t="s">
        <v>407</v>
      </c>
      <c r="B516" s="64"/>
      <c r="C516" s="64" t="s">
        <v>212</v>
      </c>
      <c r="D516" s="64"/>
      <c r="E516" s="65"/>
      <c r="F516" s="65"/>
      <c r="G516" s="65"/>
      <c r="H516" s="65"/>
      <c r="I516" s="64"/>
      <c r="J516" s="65"/>
      <c r="K516" s="17" t="s">
        <v>85</v>
      </c>
      <c r="L516" s="17">
        <v>150</v>
      </c>
      <c r="M516" s="64" t="s">
        <v>38</v>
      </c>
      <c r="N516" s="64"/>
      <c r="O516" s="19"/>
    </row>
    <row r="517" spans="1:15" s="17" customFormat="1" x14ac:dyDescent="0.25">
      <c r="A517" s="64" t="s">
        <v>408</v>
      </c>
      <c r="B517" s="64"/>
      <c r="C517" s="64" t="s">
        <v>212</v>
      </c>
      <c r="D517" s="64"/>
      <c r="E517" s="65"/>
      <c r="F517" s="65"/>
      <c r="G517" s="65"/>
      <c r="H517" s="65"/>
      <c r="I517" s="64"/>
      <c r="J517" s="65"/>
      <c r="K517" s="17" t="s">
        <v>85</v>
      </c>
      <c r="L517" s="17">
        <v>100</v>
      </c>
      <c r="M517" s="64" t="s">
        <v>38</v>
      </c>
      <c r="N517" s="64"/>
      <c r="O517" s="19"/>
    </row>
    <row r="518" spans="1:15" s="17" customFormat="1" x14ac:dyDescent="0.25">
      <c r="A518" s="64" t="s">
        <v>408</v>
      </c>
      <c r="B518" s="64"/>
      <c r="C518" s="64" t="s">
        <v>212</v>
      </c>
      <c r="D518" s="64"/>
      <c r="E518" s="65"/>
      <c r="F518" s="65"/>
      <c r="G518" s="64" t="s">
        <v>446</v>
      </c>
      <c r="H518" s="65"/>
      <c r="I518" s="64"/>
      <c r="J518" s="65"/>
      <c r="K518" s="17" t="s">
        <v>86</v>
      </c>
      <c r="L518" s="17">
        <v>22</v>
      </c>
      <c r="M518" s="64" t="s">
        <v>38</v>
      </c>
      <c r="N518" s="64"/>
      <c r="O518" s="19"/>
    </row>
    <row r="519" spans="1:15" s="17" customFormat="1" x14ac:dyDescent="0.25">
      <c r="A519" s="64" t="s">
        <v>409</v>
      </c>
      <c r="B519" s="64"/>
      <c r="C519" s="64" t="s">
        <v>224</v>
      </c>
      <c r="D519" s="64"/>
      <c r="E519" s="65"/>
      <c r="F519" s="65"/>
      <c r="G519" s="65"/>
      <c r="H519" s="65"/>
      <c r="I519" s="64"/>
      <c r="J519" s="65"/>
      <c r="K519" s="17" t="s">
        <v>85</v>
      </c>
      <c r="L519" s="29">
        <v>8.9</v>
      </c>
      <c r="M519" s="64" t="s">
        <v>38</v>
      </c>
      <c r="N519" s="64"/>
      <c r="O519" s="19"/>
    </row>
    <row r="520" spans="1:15" s="17" customFormat="1" x14ac:dyDescent="0.25">
      <c r="A520" s="64" t="s">
        <v>409</v>
      </c>
      <c r="B520" s="64"/>
      <c r="C520" s="64" t="s">
        <v>224</v>
      </c>
      <c r="D520" s="64"/>
      <c r="E520" s="65"/>
      <c r="F520" s="65"/>
      <c r="G520" s="17" t="s">
        <v>225</v>
      </c>
      <c r="H520" s="65"/>
      <c r="I520" s="64"/>
      <c r="J520" s="65"/>
      <c r="K520" s="17" t="s">
        <v>86</v>
      </c>
      <c r="L520" s="29">
        <v>1.9</v>
      </c>
      <c r="M520" s="64" t="s">
        <v>38</v>
      </c>
      <c r="N520" s="64"/>
      <c r="O520" s="19"/>
    </row>
    <row r="521" spans="1:15" s="17" customFormat="1" x14ac:dyDescent="0.25">
      <c r="A521" s="64" t="s">
        <v>409</v>
      </c>
      <c r="B521" s="64"/>
      <c r="C521" s="64" t="s">
        <v>224</v>
      </c>
      <c r="D521" s="64"/>
      <c r="E521" s="65"/>
      <c r="F521" s="65"/>
      <c r="G521" s="17" t="s">
        <v>226</v>
      </c>
      <c r="H521" s="65"/>
      <c r="I521" s="64"/>
      <c r="J521" s="65"/>
      <c r="K521" s="17" t="s">
        <v>86</v>
      </c>
      <c r="L521" s="29">
        <v>1.4</v>
      </c>
      <c r="M521" s="64" t="s">
        <v>38</v>
      </c>
      <c r="N521" s="64"/>
      <c r="O521" s="19"/>
    </row>
    <row r="522" spans="1:15" s="17" customFormat="1" x14ac:dyDescent="0.25">
      <c r="A522" s="64" t="s">
        <v>410</v>
      </c>
      <c r="B522" s="64"/>
      <c r="C522" s="65"/>
      <c r="D522" s="65"/>
      <c r="E522" s="65"/>
      <c r="F522" s="65"/>
      <c r="G522" s="65"/>
      <c r="H522" s="65"/>
      <c r="I522" s="64"/>
      <c r="J522" s="65"/>
      <c r="L522" s="64"/>
      <c r="M522" s="64"/>
      <c r="N522" s="64"/>
      <c r="O522" s="19"/>
    </row>
    <row r="523" spans="1:15" s="17" customFormat="1" x14ac:dyDescent="0.25">
      <c r="A523" s="64" t="s">
        <v>411</v>
      </c>
      <c r="B523" s="64"/>
      <c r="C523" s="64" t="s">
        <v>224</v>
      </c>
      <c r="D523" s="64"/>
      <c r="E523" s="65"/>
      <c r="F523" s="65"/>
      <c r="G523" s="65"/>
      <c r="H523" s="65"/>
      <c r="I523" s="64"/>
      <c r="J523" s="65"/>
      <c r="K523" s="17" t="s">
        <v>85</v>
      </c>
      <c r="L523" s="29">
        <v>4.83</v>
      </c>
      <c r="M523" s="64" t="s">
        <v>38</v>
      </c>
      <c r="N523" s="64"/>
      <c r="O523" s="19"/>
    </row>
    <row r="524" spans="1:15" s="17" customFormat="1" x14ac:dyDescent="0.25">
      <c r="A524" s="64" t="s">
        <v>411</v>
      </c>
      <c r="B524" s="64"/>
      <c r="C524" s="64" t="s">
        <v>224</v>
      </c>
      <c r="D524" s="64"/>
      <c r="E524" s="65"/>
      <c r="F524" s="65"/>
      <c r="G524" s="17" t="s">
        <v>225</v>
      </c>
      <c r="H524" s="65"/>
      <c r="I524" s="64"/>
      <c r="J524" s="65"/>
      <c r="K524" s="17" t="s">
        <v>86</v>
      </c>
      <c r="L524" s="67">
        <v>1.0533300000000001</v>
      </c>
      <c r="M524" s="64" t="s">
        <v>38</v>
      </c>
      <c r="N524" s="64"/>
      <c r="O524" s="19"/>
    </row>
    <row r="525" spans="1:15" s="17" customFormat="1" x14ac:dyDescent="0.25">
      <c r="A525" s="64" t="s">
        <v>411</v>
      </c>
      <c r="B525" s="64"/>
      <c r="C525" s="64" t="s">
        <v>224</v>
      </c>
      <c r="D525" s="64"/>
      <c r="E525" s="65"/>
      <c r="F525" s="65"/>
      <c r="G525" s="17" t="s">
        <v>226</v>
      </c>
      <c r="H525" s="65"/>
      <c r="I525" s="64"/>
      <c r="J525" s="65"/>
      <c r="K525" s="17" t="s">
        <v>86</v>
      </c>
      <c r="L525" s="17">
        <v>0.75</v>
      </c>
      <c r="M525" s="64" t="s">
        <v>38</v>
      </c>
      <c r="N525" s="64"/>
      <c r="O525" s="19"/>
    </row>
    <row r="526" spans="1:15" s="17" customFormat="1" x14ac:dyDescent="0.25">
      <c r="A526" s="64" t="s">
        <v>412</v>
      </c>
      <c r="B526" s="64"/>
      <c r="C526" s="64" t="s">
        <v>224</v>
      </c>
      <c r="D526" s="64"/>
      <c r="K526" s="17" t="s">
        <v>85</v>
      </c>
      <c r="L526" s="29">
        <v>6.9</v>
      </c>
      <c r="M526" s="64" t="s">
        <v>38</v>
      </c>
      <c r="N526" s="64"/>
      <c r="O526" s="19"/>
    </row>
    <row r="527" spans="1:15" s="17" customFormat="1" x14ac:dyDescent="0.25">
      <c r="A527" s="64" t="s">
        <v>412</v>
      </c>
      <c r="B527" s="64"/>
      <c r="C527" s="64" t="s">
        <v>224</v>
      </c>
      <c r="D527" s="64"/>
      <c r="G527" s="17" t="s">
        <v>225</v>
      </c>
      <c r="K527" s="17" t="s">
        <v>86</v>
      </c>
      <c r="L527" s="29">
        <v>1.5</v>
      </c>
      <c r="M527" s="64" t="s">
        <v>38</v>
      </c>
      <c r="N527" s="64"/>
      <c r="O527" s="19"/>
    </row>
    <row r="528" spans="1:15" s="17" customFormat="1" x14ac:dyDescent="0.25">
      <c r="A528" s="64" t="s">
        <v>412</v>
      </c>
      <c r="B528" s="64"/>
      <c r="C528" s="64" t="s">
        <v>224</v>
      </c>
      <c r="D528" s="64"/>
      <c r="G528" s="17" t="s">
        <v>226</v>
      </c>
      <c r="K528" s="17" t="s">
        <v>86</v>
      </c>
      <c r="L528" s="29">
        <v>1.1000000000000001</v>
      </c>
      <c r="M528" s="64" t="s">
        <v>38</v>
      </c>
      <c r="N528" s="64"/>
      <c r="O528" s="19"/>
    </row>
    <row r="529" spans="1:15" x14ac:dyDescent="0.25">
      <c r="A529" s="4" t="s">
        <v>199</v>
      </c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5"/>
      <c r="M529" s="5"/>
      <c r="N529" s="5"/>
      <c r="O529" s="5"/>
    </row>
    <row r="530" spans="1:15" x14ac:dyDescent="0.25">
      <c r="A530" t="s">
        <v>195</v>
      </c>
      <c r="B530" s="10"/>
      <c r="C530" t="s">
        <v>128</v>
      </c>
      <c r="K530" t="s">
        <v>85</v>
      </c>
      <c r="L530" s="21">
        <v>38</v>
      </c>
      <c r="M530" t="s">
        <v>38</v>
      </c>
      <c r="N530" s="11" t="s">
        <v>201</v>
      </c>
      <c r="O530" s="8" t="s">
        <v>92</v>
      </c>
    </row>
    <row r="531" spans="1:15" x14ac:dyDescent="0.25">
      <c r="A531" t="s">
        <v>195</v>
      </c>
      <c r="B531" s="10"/>
      <c r="C531" t="s">
        <v>128</v>
      </c>
      <c r="G531" t="s">
        <v>129</v>
      </c>
      <c r="K531" t="s">
        <v>86</v>
      </c>
      <c r="L531" s="21">
        <v>60</v>
      </c>
      <c r="M531" t="s">
        <v>38</v>
      </c>
      <c r="O531" s="8" t="s">
        <v>92</v>
      </c>
    </row>
    <row r="532" spans="1:15" x14ac:dyDescent="0.25">
      <c r="A532" s="17" t="s">
        <v>194</v>
      </c>
      <c r="B532" s="10"/>
      <c r="C532" t="s">
        <v>37</v>
      </c>
      <c r="K532" t="s">
        <v>85</v>
      </c>
      <c r="L532" s="15">
        <f>(1*0.766) / (2.1/0.86) * 100</f>
        <v>31.369523809523809</v>
      </c>
      <c r="M532" s="17" t="s">
        <v>38</v>
      </c>
      <c r="N532" s="17" t="s">
        <v>335</v>
      </c>
      <c r="O532" s="9" t="s">
        <v>332</v>
      </c>
    </row>
    <row r="533" spans="1:15" x14ac:dyDescent="0.25">
      <c r="A533" s="17" t="s">
        <v>194</v>
      </c>
      <c r="B533" s="10"/>
      <c r="C533" t="s">
        <v>37</v>
      </c>
      <c r="G533" t="s">
        <v>311</v>
      </c>
      <c r="K533" t="s">
        <v>86</v>
      </c>
      <c r="L533" s="15">
        <f>(0.8/0.9) / (2.1/0.86) * 100</f>
        <v>36.402116402116405</v>
      </c>
      <c r="M533" s="17" t="s">
        <v>38</v>
      </c>
      <c r="N533" s="42" t="s">
        <v>331</v>
      </c>
      <c r="O533" s="9" t="s">
        <v>333</v>
      </c>
    </row>
    <row r="534" spans="1:15" x14ac:dyDescent="0.25">
      <c r="A534" s="6"/>
      <c r="B534" s="10"/>
      <c r="G534" s="6" t="s">
        <v>310</v>
      </c>
      <c r="L534" s="23"/>
      <c r="M534" s="6"/>
      <c r="N534" s="6" t="s">
        <v>312</v>
      </c>
      <c r="O534" s="9"/>
    </row>
    <row r="535" spans="1:15" s="17" customFormat="1" x14ac:dyDescent="0.25">
      <c r="A535" s="17" t="s">
        <v>413</v>
      </c>
      <c r="B535" s="19"/>
      <c r="D535" s="17" t="s">
        <v>447</v>
      </c>
      <c r="K535" s="17" t="s">
        <v>85</v>
      </c>
      <c r="L535" s="15">
        <f>((7.8762418/27)/(1/0.86))*100</f>
        <v>25.087288696296294</v>
      </c>
      <c r="M535" s="17" t="s">
        <v>38</v>
      </c>
      <c r="N535" s="17" t="s">
        <v>448</v>
      </c>
      <c r="O535" s="18"/>
    </row>
    <row r="536" spans="1:15" s="17" customFormat="1" x14ac:dyDescent="0.25">
      <c r="A536" s="6" t="s">
        <v>413</v>
      </c>
      <c r="B536" s="10"/>
      <c r="C536" s="6"/>
      <c r="D536" s="6" t="s">
        <v>447</v>
      </c>
      <c r="E536" s="6"/>
      <c r="F536" s="6"/>
      <c r="G536" s="6" t="s">
        <v>449</v>
      </c>
      <c r="H536" s="6"/>
      <c r="I536" s="6"/>
      <c r="J536" s="6"/>
      <c r="K536" s="6" t="s">
        <v>86</v>
      </c>
      <c r="L536" s="13">
        <f>((0.4565/55)/(1/0.86))*100</f>
        <v>0.71379999999999999</v>
      </c>
      <c r="M536" s="6" t="s">
        <v>38</v>
      </c>
      <c r="N536" s="6" t="s">
        <v>450</v>
      </c>
      <c r="O536" s="18"/>
    </row>
    <row r="537" spans="1:15" x14ac:dyDescent="0.25">
      <c r="A537" s="17" t="s">
        <v>380</v>
      </c>
      <c r="B537" s="10"/>
      <c r="C537" t="s">
        <v>379</v>
      </c>
      <c r="G537" s="6"/>
      <c r="K537" t="s">
        <v>85</v>
      </c>
      <c r="L537" s="15">
        <v>100</v>
      </c>
      <c r="M537" s="17" t="s">
        <v>38</v>
      </c>
      <c r="N537" s="6"/>
      <c r="O537" s="9"/>
    </row>
    <row r="538" spans="1:15" x14ac:dyDescent="0.25">
      <c r="A538" s="4" t="s">
        <v>300</v>
      </c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38" t="s">
        <v>313</v>
      </c>
      <c r="M538" s="5"/>
      <c r="N538" s="5"/>
      <c r="O538" s="5"/>
    </row>
    <row r="539" spans="1:15" x14ac:dyDescent="0.25">
      <c r="A539" t="s">
        <v>272</v>
      </c>
      <c r="B539" s="10"/>
      <c r="C539" s="10"/>
      <c r="D539" s="10"/>
      <c r="E539" s="19" t="s">
        <v>270</v>
      </c>
      <c r="F539" s="19" t="s">
        <v>271</v>
      </c>
      <c r="G539" s="10"/>
      <c r="H539" s="10"/>
      <c r="I539" s="10"/>
      <c r="J539" s="10"/>
      <c r="K539" t="s">
        <v>85</v>
      </c>
      <c r="L539" s="19">
        <v>100</v>
      </c>
      <c r="M539" s="8" t="s">
        <v>38</v>
      </c>
      <c r="N539" s="8"/>
      <c r="O539" s="8"/>
    </row>
    <row r="540" spans="1:15" x14ac:dyDescent="0.25">
      <c r="A540" t="s">
        <v>347</v>
      </c>
      <c r="B540" s="10"/>
      <c r="C540" s="10"/>
      <c r="D540" s="10"/>
      <c r="E540" s="19" t="s">
        <v>349</v>
      </c>
      <c r="F540" s="19" t="s">
        <v>271</v>
      </c>
      <c r="G540" s="10"/>
      <c r="H540" s="10"/>
      <c r="I540" s="10"/>
      <c r="J540" s="10"/>
      <c r="K540" t="s">
        <v>85</v>
      </c>
      <c r="L540" s="19">
        <v>100</v>
      </c>
      <c r="M540" s="8" t="s">
        <v>38</v>
      </c>
      <c r="N540" s="8"/>
      <c r="O540" s="8"/>
    </row>
    <row r="541" spans="1:15" x14ac:dyDescent="0.25">
      <c r="B541" s="10"/>
      <c r="C541" s="10"/>
      <c r="D541" s="10"/>
      <c r="E541" s="19"/>
      <c r="F541" s="19"/>
      <c r="G541" s="10"/>
      <c r="H541" s="10"/>
      <c r="I541" s="10"/>
      <c r="J541" s="10"/>
      <c r="L541" s="19"/>
      <c r="M541" s="8"/>
      <c r="N541" s="8"/>
      <c r="O541" s="8"/>
    </row>
    <row r="542" spans="1:15" x14ac:dyDescent="0.25">
      <c r="A542" s="2" t="s">
        <v>315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spans="1:15" x14ac:dyDescent="0.25">
      <c r="A543" s="6" t="s">
        <v>316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152</v>
      </c>
    </row>
    <row r="9" spans="5:5" x14ac:dyDescent="0.25">
      <c r="E9" t="s">
        <v>155</v>
      </c>
    </row>
    <row r="10" spans="5:5" x14ac:dyDescent="0.25">
      <c r="E10" t="s">
        <v>153</v>
      </c>
    </row>
    <row r="11" spans="5:5" x14ac:dyDescent="0.25">
      <c r="E11" t="s">
        <v>154</v>
      </c>
    </row>
    <row r="12" spans="5:5" x14ac:dyDescent="0.25">
      <c r="E12" t="s">
        <v>157</v>
      </c>
    </row>
    <row r="13" spans="5:5" x14ac:dyDescent="0.25">
      <c r="E13" t="s">
        <v>156</v>
      </c>
    </row>
    <row r="15" spans="5:5" x14ac:dyDescent="0.25">
      <c r="E15" s="25" t="s">
        <v>158</v>
      </c>
    </row>
    <row r="16" spans="5:5" x14ac:dyDescent="0.25">
      <c r="E16" t="s">
        <v>159</v>
      </c>
    </row>
    <row r="17" spans="5:5" x14ac:dyDescent="0.25">
      <c r="E17" t="s">
        <v>160</v>
      </c>
    </row>
    <row r="19" spans="5:5" x14ac:dyDescent="0.25">
      <c r="E19" s="25" t="s">
        <v>161</v>
      </c>
    </row>
    <row r="20" spans="5:5" x14ac:dyDescent="0.25">
      <c r="E20" t="s">
        <v>163</v>
      </c>
    </row>
    <row r="21" spans="5:5" x14ac:dyDescent="0.25">
      <c r="E21" t="s">
        <v>162</v>
      </c>
    </row>
    <row r="23" spans="5:5" x14ac:dyDescent="0.25">
      <c r="E23" s="25" t="s">
        <v>164</v>
      </c>
    </row>
    <row r="24" spans="5:5" x14ac:dyDescent="0.25">
      <c r="E24" t="s">
        <v>165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T10" sqref="T10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276</v>
      </c>
    </row>
    <row r="2" spans="1:20" x14ac:dyDescent="0.25">
      <c r="A2" t="s">
        <v>278</v>
      </c>
      <c r="F2" s="31" t="s">
        <v>277</v>
      </c>
    </row>
    <row r="3" spans="1:20" x14ac:dyDescent="0.25">
      <c r="A3" t="s">
        <v>287</v>
      </c>
      <c r="F3" s="31" t="s">
        <v>286</v>
      </c>
    </row>
    <row r="4" spans="1:20" x14ac:dyDescent="0.25">
      <c r="F4" s="31"/>
    </row>
    <row r="5" spans="1:20" x14ac:dyDescent="0.25">
      <c r="C5" s="25" t="s">
        <v>302</v>
      </c>
    </row>
    <row r="6" spans="1:20" x14ac:dyDescent="0.25">
      <c r="C6" s="1" t="s">
        <v>275</v>
      </c>
      <c r="I6" s="1" t="s">
        <v>279</v>
      </c>
      <c r="O6" s="1" t="s">
        <v>288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282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282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282</v>
      </c>
    </row>
    <row r="8" spans="1:20" x14ac:dyDescent="0.25">
      <c r="A8" t="s">
        <v>161</v>
      </c>
      <c r="B8" t="s">
        <v>280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305</v>
      </c>
      <c r="B9" t="s">
        <v>281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306</v>
      </c>
      <c r="B10" t="s">
        <v>283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307</v>
      </c>
      <c r="B11" t="s">
        <v>284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308</v>
      </c>
      <c r="B12" t="s">
        <v>285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303</v>
      </c>
    </row>
    <row r="15" spans="1:20" x14ac:dyDescent="0.25">
      <c r="C15" s="1" t="s">
        <v>275</v>
      </c>
      <c r="I15" s="1" t="s">
        <v>279</v>
      </c>
      <c r="O15" s="1" t="s">
        <v>288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282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282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282</v>
      </c>
    </row>
    <row r="17" spans="1:20" x14ac:dyDescent="0.25">
      <c r="A17" t="s">
        <v>304</v>
      </c>
      <c r="B17" t="s">
        <v>202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314</v>
      </c>
    </row>
    <row r="2" spans="1:1" x14ac:dyDescent="0.25">
      <c r="A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2024-09-06T14:20:39Z</dcterms:modified>
</cp:coreProperties>
</file>