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Git repos\CIBUSmod\data\default\"/>
    </mc:Choice>
  </mc:AlternateContent>
  <bookViews>
    <workbookView xWindow="0" yWindow="0" windowWidth="28800" windowHeight="12300"/>
  </bookViews>
  <sheets>
    <sheet name="default" sheetId="2" r:id="rId1"/>
    <sheet name="Sheet1" sheetId="1" r:id="rId2"/>
    <sheet name="Feed ra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2" l="1"/>
  <c r="E37" i="2" l="1"/>
  <c r="D37" i="2"/>
  <c r="E20" i="2" l="1"/>
  <c r="E18" i="2"/>
  <c r="E16" i="2"/>
  <c r="K4" i="3" l="1"/>
  <c r="K5" i="3"/>
  <c r="K6" i="3"/>
  <c r="K7" i="3"/>
  <c r="K8" i="3"/>
  <c r="K9" i="3"/>
  <c r="K10" i="3"/>
  <c r="K11" i="3"/>
  <c r="K3" i="3"/>
  <c r="H16" i="3"/>
  <c r="F31" i="1" l="1"/>
  <c r="C27" i="1" l="1"/>
  <c r="C32" i="1"/>
  <c r="C26" i="1"/>
  <c r="C24" i="1"/>
  <c r="E7" i="2"/>
  <c r="F15" i="3" l="1"/>
  <c r="G15" i="3"/>
  <c r="H15" i="3"/>
  <c r="D18" i="1" l="1"/>
  <c r="P31" i="1" l="1"/>
  <c r="Q31" i="1"/>
  <c r="R31" i="1"/>
  <c r="S31" i="1"/>
  <c r="T31" i="1"/>
  <c r="Q32" i="1"/>
  <c r="R32" i="1"/>
  <c r="S32" i="1"/>
  <c r="T32" i="1"/>
  <c r="P32" i="1"/>
  <c r="T30" i="1" l="1"/>
  <c r="S30" i="1"/>
  <c r="R30" i="1"/>
  <c r="Q30" i="1"/>
  <c r="P30" i="1"/>
  <c r="V6" i="1"/>
  <c r="V7" i="1"/>
  <c r="V8" i="1"/>
  <c r="V9" i="1"/>
  <c r="V12" i="1"/>
  <c r="V13" i="1"/>
  <c r="V14" i="1"/>
  <c r="V15" i="1"/>
  <c r="V16" i="1"/>
  <c r="V17" i="1"/>
  <c r="V18" i="1"/>
  <c r="V19" i="1"/>
  <c r="V21" i="1"/>
  <c r="V22" i="1"/>
  <c r="V32" i="1" s="1"/>
  <c r="V23" i="1"/>
  <c r="V24" i="1"/>
  <c r="V25" i="1"/>
  <c r="V26" i="1"/>
  <c r="V27" i="1"/>
  <c r="V28" i="1"/>
  <c r="V5" i="1"/>
  <c r="V30" i="1" l="1"/>
  <c r="V31" i="1"/>
  <c r="C44" i="1" l="1"/>
  <c r="C38" i="1" s="1"/>
  <c r="C33" i="1"/>
  <c r="C35" i="1" l="1"/>
  <c r="C34" i="1"/>
  <c r="C45" i="1"/>
  <c r="C39" i="1" s="1"/>
  <c r="S34" i="1"/>
  <c r="S35" i="1" s="1"/>
  <c r="R34" i="1"/>
  <c r="R35" i="1" s="1"/>
  <c r="T34" i="1"/>
  <c r="T35" i="1" s="1"/>
  <c r="Q34" i="1"/>
  <c r="Q35" i="1" s="1"/>
  <c r="V34" i="1"/>
  <c r="V35" i="1" s="1"/>
  <c r="P34" i="1"/>
  <c r="P35" i="1" s="1"/>
  <c r="C46" i="1" l="1"/>
  <c r="C28" i="1"/>
  <c r="C40" i="1"/>
  <c r="C36" i="1"/>
  <c r="C47" i="1"/>
  <c r="C41" i="1" s="1"/>
  <c r="C29" i="1"/>
  <c r="C30" i="1" l="1"/>
  <c r="C48" i="1"/>
  <c r="C42" i="1" s="1"/>
</calcChain>
</file>

<file path=xl/sharedStrings.xml><?xml version="1.0" encoding="utf-8"?>
<sst xmlns="http://schemas.openxmlformats.org/spreadsheetml/2006/main" count="259" uniqueCount="131">
  <si>
    <t>Höns</t>
  </si>
  <si>
    <t>Värpkycklingar</t>
  </si>
  <si>
    <t>Slaktkycklingar</t>
  </si>
  <si>
    <t>Slaktkycklingar, normal uppfödningsomgång</t>
  </si>
  <si>
    <t>Kalkoner</t>
  </si>
  <si>
    <t>Slaktkyckling, inkl kasserade</t>
  </si>
  <si>
    <t>Slaktkyckling, exkl kasserade</t>
  </si>
  <si>
    <t>Höns, inkl kasserade</t>
  </si>
  <si>
    <t>Höns, exkl kasserade</t>
  </si>
  <si>
    <t>Kalkon, inkl kasserade</t>
  </si>
  <si>
    <t>Kalkon, exkl kasserade</t>
  </si>
  <si>
    <t>Summa fjäderfä, inkl kasserade</t>
  </si>
  <si>
    <t>Summa fjäderfä, exkl kasserade</t>
  </si>
  <si>
    <t>Slakt, Antal, 1 000-tal</t>
  </si>
  <si>
    <t>Slakt, Kvantitet, 1 000 ton</t>
  </si>
  <si>
    <t>..</t>
  </si>
  <si>
    <t>Antal djur I juni</t>
  </si>
  <si>
    <t>AVG</t>
  </si>
  <si>
    <t>JORDBRUKSVERKETS STATISTIK</t>
  </si>
  <si>
    <t>Parameter</t>
  </si>
  <si>
    <t>rounds_per_year</t>
  </si>
  <si>
    <t>value</t>
  </si>
  <si>
    <t>Bennetoft &amp; Lindahl (2016)</t>
  </si>
  <si>
    <t>source</t>
  </si>
  <si>
    <t>description</t>
  </si>
  <si>
    <t>unit</t>
  </si>
  <si>
    <t>nr</t>
  </si>
  <si>
    <t>Procent kasserade</t>
  </si>
  <si>
    <t>rejections_at_slaughter</t>
  </si>
  <si>
    <t>%</t>
  </si>
  <si>
    <t>SJV 2016-2020</t>
  </si>
  <si>
    <t>f_animal</t>
  </si>
  <si>
    <t>broilers</t>
  </si>
  <si>
    <t>breeding hens</t>
  </si>
  <si>
    <t>breeding roosters</t>
  </si>
  <si>
    <t>Slaktvikt per fågel</t>
  </si>
  <si>
    <t>4.2-4.4, Ida Ljungkvist (via Elin)</t>
  </si>
  <si>
    <t>5 kg, Ida Ljungkvist (via Elin)</t>
  </si>
  <si>
    <t>eggs_per_breeding_hen</t>
  </si>
  <si>
    <t>hens_per_rooster</t>
  </si>
  <si>
    <t>Ida Ljungkvist</t>
  </si>
  <si>
    <t>mortality</t>
  </si>
  <si>
    <t>Calc</t>
  </si>
  <si>
    <t>x</t>
  </si>
  <si>
    <t>NIR 2022</t>
  </si>
  <si>
    <t>during lifetime</t>
  </si>
  <si>
    <t>parent hens</t>
  </si>
  <si>
    <t>parent roosters</t>
  </si>
  <si>
    <t>grandparent hens</t>
  </si>
  <si>
    <t>grandparent roosters</t>
  </si>
  <si>
    <t>parent_growing_period</t>
  </si>
  <si>
    <t>parent_laying_period</t>
  </si>
  <si>
    <t>weeks</t>
  </si>
  <si>
    <t>Live animals</t>
  </si>
  <si>
    <t>Slaughtered animals</t>
  </si>
  <si>
    <t>Inserted animals</t>
  </si>
  <si>
    <t>Lost animals</t>
  </si>
  <si>
    <t>kg/kg CW</t>
  </si>
  <si>
    <t>live_weight_per_CW</t>
  </si>
  <si>
    <t>feed_conversion_ratio</t>
  </si>
  <si>
    <t>parent_feed</t>
  </si>
  <si>
    <t>kg/kg live weight gain</t>
  </si>
  <si>
    <t>kg/inserted animal</t>
  </si>
  <si>
    <t>Svensk Fågel, pers. comm., confirmed by Ida Ljungkvist, pers. comm.</t>
  </si>
  <si>
    <t>Ida Ljungkvist, pers. comm.</t>
  </si>
  <si>
    <t>Includes feed for roasters (1 roaster per 12.5 hens)</t>
  </si>
  <si>
    <t>alla dessa exporteras levande</t>
  </si>
  <si>
    <t>f_prod_system</t>
  </si>
  <si>
    <t>f_feed</t>
  </si>
  <si>
    <t>parameter</t>
  </si>
  <si>
    <t>Production system</t>
  </si>
  <si>
    <t>parent animals</t>
  </si>
  <si>
    <t>Mortality and losses</t>
  </si>
  <si>
    <t>slaughter_weight</t>
  </si>
  <si>
    <t>kg CW</t>
  </si>
  <si>
    <t>Slaughter and live weights</t>
  </si>
  <si>
    <t>Feed requirements</t>
  </si>
  <si>
    <t>RISE 2022 + Svensk Fågel, pers. comm., confirmed by Ida Ljungkvist, pers. comm.</t>
  </si>
  <si>
    <t>kg/kg LWG</t>
  </si>
  <si>
    <t>kg/animal</t>
  </si>
  <si>
    <t>Feed rations</t>
  </si>
  <si>
    <t>share_in_ration</t>
  </si>
  <si>
    <t>Fallback</t>
  </si>
  <si>
    <t>wheat</t>
  </si>
  <si>
    <t>oats</t>
  </si>
  <si>
    <t>maize</t>
  </si>
  <si>
    <t>rapeseed</t>
  </si>
  <si>
    <t>soybean meal</t>
  </si>
  <si>
    <t>rapeseed meal</t>
  </si>
  <si>
    <t>sunflower seed meal</t>
  </si>
  <si>
    <t>vegetable oils</t>
  </si>
  <si>
    <t>Fett och Fettsyror</t>
  </si>
  <si>
    <t>minerals</t>
  </si>
  <si>
    <t>amino acids and vitamins</t>
  </si>
  <si>
    <t>C</t>
  </si>
  <si>
    <t>Vete</t>
  </si>
  <si>
    <t>Sojamjöl</t>
  </si>
  <si>
    <t>Rapsfrö</t>
  </si>
  <si>
    <t>maize gluten meal</t>
  </si>
  <si>
    <t>Havre</t>
  </si>
  <si>
    <t>Majs</t>
  </si>
  <si>
    <t>Rapsmjöl</t>
  </si>
  <si>
    <t>Majsgluten</t>
  </si>
  <si>
    <t>Kalk, Salt Mineraler</t>
  </si>
  <si>
    <t>Aminosyror, vitaminer och spårämnen</t>
  </si>
  <si>
    <t>Solrosmjöl</t>
  </si>
  <si>
    <t>DM</t>
  </si>
  <si>
    <t>A</t>
  </si>
  <si>
    <t>B</t>
  </si>
  <si>
    <t>RISE 2022 Feed rations [%]</t>
  </si>
  <si>
    <t>On dry matter basis [% of DM]</t>
  </si>
  <si>
    <t>Ration DM:</t>
  </si>
  <si>
    <t>% of DM</t>
  </si>
  <si>
    <t>Per inserted (grand)parent hen, includes feed for roosters (1 roaster per 12.5 hens)</t>
  </si>
  <si>
    <t>slaughter_age</t>
  </si>
  <si>
    <t>days</t>
  </si>
  <si>
    <t>Tynelius (2008)</t>
  </si>
  <si>
    <t>parent hens 24 weeks growing + 40 weeks egg laying. Assuming same slaughter age for roosters</t>
  </si>
  <si>
    <t>broiler places</t>
  </si>
  <si>
    <t>feed_per_animal</t>
  </si>
  <si>
    <t>LWG = live weight gain</t>
  </si>
  <si>
    <t>Ration DM (excl. minerals and amino acids):</t>
  </si>
  <si>
    <t>start_weight</t>
  </si>
  <si>
    <t>kg LW</t>
  </si>
  <si>
    <t>Statistics Netherlands (2012)</t>
  </si>
  <si>
    <t>organic</t>
  </si>
  <si>
    <t>conventional</t>
  </si>
  <si>
    <t>rapeseed cake for organic rations</t>
  </si>
  <si>
    <t>rapeseed cake</t>
  </si>
  <si>
    <t>Clune et al. (2017)</t>
  </si>
  <si>
    <t>kg LW/kg 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</si>
</sst>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name val="Calibri"/>
      <family val="2"/>
      <scheme val="minor"/>
    </font>
    <font>
      <sz val="11"/>
      <color theme="2" tint="-9.9978637043366805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3" fontId="0" fillId="3" borderId="0" xfId="0" applyNumberFormat="1" applyFill="1"/>
    <xf numFmtId="3" fontId="2" fillId="3" borderId="0" xfId="0" applyNumberFormat="1" applyFont="1" applyFill="1"/>
    <xf numFmtId="2" fontId="0" fillId="0" borderId="0" xfId="0" applyNumberFormat="1"/>
    <xf numFmtId="164" fontId="0" fillId="0" borderId="0" xfId="0" applyNumberFormat="1"/>
    <xf numFmtId="9" fontId="0" fillId="0" borderId="0" xfId="1" applyFont="1"/>
    <xf numFmtId="0" fontId="4" fillId="4" borderId="0" xfId="0" applyFont="1" applyFill="1"/>
    <xf numFmtId="0" fontId="5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0" fillId="4" borderId="0" xfId="0" applyFont="1" applyFill="1"/>
    <xf numFmtId="0" fontId="6" fillId="0" borderId="0" xfId="0" applyFont="1"/>
    <xf numFmtId="0" fontId="7" fillId="0" borderId="0" xfId="0" applyFont="1"/>
    <xf numFmtId="164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76199</xdr:colOff>
      <xdr:row>36</xdr:row>
      <xdr:rowOff>57150</xdr:rowOff>
    </xdr:from>
    <xdr:to>
      <xdr:col>19</xdr:col>
      <xdr:colOff>466724</xdr:colOff>
      <xdr:row>44</xdr:row>
      <xdr:rowOff>161925</xdr:rowOff>
    </xdr:to>
    <xdr:sp macro="" textlink="">
      <xdr:nvSpPr>
        <xdr:cNvPr id="2" name="TextBox 1"/>
        <xdr:cNvSpPr txBox="1"/>
      </xdr:nvSpPr>
      <xdr:spPr>
        <a:xfrm>
          <a:off x="10410824" y="6915150"/>
          <a:ext cx="5153025" cy="1628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”Grandparents” importeras som daggamla kycklingar till Blenta AB:s anläggning utanför</a:t>
          </a: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Malmö. Där föds de upp under 24 veckor och får sedan under 40 veckor producera ägg som</a:t>
          </a: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efter tre veckor i ”ruven” kläcks. De kläckta kycklingarna är ”parents” och även de föds upp</a:t>
          </a: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under 24 veckor varefter de producerar ägg i 40 veckor som efter en tre veckors period kläcks.</a:t>
          </a: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Blenta AB kläcker 40 % av de kycklingar som föds upp och slaktas i Sverige. De producerar</a:t>
          </a: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kycklingar av hybriden Cobb 500 (Palmén, pers).</a:t>
          </a:r>
        </a:p>
        <a:p>
          <a:endParaRPr lang="en-GB" sz="1000" b="0" i="0" u="none" strike="noStrike" baseline="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000" b="0" i="0" u="none" strike="noStrike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Tynelius (2008)</a:t>
          </a:r>
          <a:endParaRPr lang="en-GB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zoomScale="80" zoomScaleNormal="80" workbookViewId="0">
      <selection activeCell="G22" sqref="G22"/>
    </sheetView>
  </sheetViews>
  <sheetFormatPr defaultRowHeight="15" x14ac:dyDescent="0.25"/>
  <cols>
    <col min="1" max="3" width="15.7109375" customWidth="1"/>
    <col min="4" max="4" width="27" customWidth="1"/>
    <col min="5" max="5" width="8.42578125" customWidth="1"/>
    <col min="6" max="6" width="12.42578125" customWidth="1"/>
    <col min="7" max="7" width="44.140625" customWidth="1"/>
    <col min="8" max="8" width="13.28515625" customWidth="1"/>
  </cols>
  <sheetData>
    <row r="1" spans="1:8" x14ac:dyDescent="0.25">
      <c r="A1" t="s">
        <v>67</v>
      </c>
      <c r="B1" t="s">
        <v>31</v>
      </c>
      <c r="C1" t="s">
        <v>68</v>
      </c>
      <c r="D1" t="s">
        <v>69</v>
      </c>
      <c r="E1" t="s">
        <v>21</v>
      </c>
      <c r="F1" t="s">
        <v>25</v>
      </c>
      <c r="G1" t="s">
        <v>24</v>
      </c>
      <c r="H1" t="s">
        <v>23</v>
      </c>
    </row>
    <row r="2" spans="1:8" x14ac:dyDescent="0.25">
      <c r="A2" s="13" t="s">
        <v>70</v>
      </c>
      <c r="B2" s="13"/>
      <c r="C2" s="13"/>
      <c r="D2" s="13"/>
      <c r="E2" s="13"/>
      <c r="F2" s="13"/>
      <c r="G2" s="13"/>
      <c r="H2" s="13"/>
    </row>
    <row r="3" spans="1:8" x14ac:dyDescent="0.25">
      <c r="D3" t="s">
        <v>20</v>
      </c>
      <c r="E3">
        <v>8.5</v>
      </c>
      <c r="F3" t="s">
        <v>26</v>
      </c>
      <c r="H3" t="s">
        <v>44</v>
      </c>
    </row>
    <row r="4" spans="1:8" x14ac:dyDescent="0.25">
      <c r="D4" t="s">
        <v>38</v>
      </c>
      <c r="E4">
        <v>150</v>
      </c>
      <c r="F4" t="s">
        <v>26</v>
      </c>
      <c r="G4" t="s">
        <v>45</v>
      </c>
      <c r="H4" t="s">
        <v>40</v>
      </c>
    </row>
    <row r="5" spans="1:8" x14ac:dyDescent="0.25">
      <c r="D5" t="s">
        <v>39</v>
      </c>
      <c r="E5">
        <v>12.5</v>
      </c>
      <c r="F5" t="s">
        <v>26</v>
      </c>
      <c r="H5" t="s">
        <v>40</v>
      </c>
    </row>
    <row r="6" spans="1:8" x14ac:dyDescent="0.25">
      <c r="B6" t="s">
        <v>32</v>
      </c>
      <c r="D6" t="s">
        <v>114</v>
      </c>
      <c r="E6">
        <v>35</v>
      </c>
      <c r="F6" t="s">
        <v>115</v>
      </c>
    </row>
    <row r="7" spans="1:8" x14ac:dyDescent="0.25">
      <c r="D7" t="s">
        <v>114</v>
      </c>
      <c r="E7">
        <f>(24+40)*7</f>
        <v>448</v>
      </c>
      <c r="F7" t="s">
        <v>115</v>
      </c>
      <c r="G7" t="s">
        <v>117</v>
      </c>
      <c r="H7" t="s">
        <v>116</v>
      </c>
    </row>
    <row r="9" spans="1:8" x14ac:dyDescent="0.25">
      <c r="A9" s="13" t="s">
        <v>72</v>
      </c>
      <c r="B9" s="13"/>
      <c r="C9" s="13"/>
      <c r="D9" s="13"/>
      <c r="E9" s="13"/>
      <c r="F9" s="13"/>
      <c r="G9" s="13"/>
      <c r="H9" s="13"/>
    </row>
    <row r="10" spans="1:8" x14ac:dyDescent="0.25">
      <c r="B10" t="s">
        <v>32</v>
      </c>
      <c r="D10" t="s">
        <v>41</v>
      </c>
      <c r="E10">
        <v>3</v>
      </c>
      <c r="F10" t="s">
        <v>29</v>
      </c>
      <c r="H10" t="s">
        <v>22</v>
      </c>
    </row>
    <row r="11" spans="1:8" x14ac:dyDescent="0.25">
      <c r="D11" t="s">
        <v>41</v>
      </c>
      <c r="E11">
        <v>8</v>
      </c>
      <c r="F11" t="s">
        <v>29</v>
      </c>
      <c r="G11" t="s">
        <v>71</v>
      </c>
      <c r="H11" t="s">
        <v>40</v>
      </c>
    </row>
    <row r="12" spans="1:8" x14ac:dyDescent="0.25">
      <c r="B12" t="s">
        <v>32</v>
      </c>
      <c r="D12" t="s">
        <v>28</v>
      </c>
      <c r="E12">
        <v>2.2999999999999998</v>
      </c>
      <c r="F12" t="s">
        <v>29</v>
      </c>
      <c r="H12" t="s">
        <v>30</v>
      </c>
    </row>
    <row r="13" spans="1:8" x14ac:dyDescent="0.25">
      <c r="D13" t="s">
        <v>28</v>
      </c>
      <c r="E13">
        <v>0</v>
      </c>
      <c r="F13" t="s">
        <v>29</v>
      </c>
    </row>
    <row r="15" spans="1:8" x14ac:dyDescent="0.25">
      <c r="A15" s="13" t="s">
        <v>75</v>
      </c>
      <c r="B15" s="13"/>
      <c r="C15" s="13"/>
      <c r="D15" s="13"/>
      <c r="E15" s="13"/>
      <c r="F15" s="13"/>
      <c r="G15" s="13"/>
      <c r="H15" s="13"/>
    </row>
    <row r="16" spans="1:8" x14ac:dyDescent="0.25">
      <c r="B16" t="s">
        <v>32</v>
      </c>
      <c r="D16" t="s">
        <v>122</v>
      </c>
      <c r="E16">
        <f>42/1000</f>
        <v>4.2000000000000003E-2</v>
      </c>
      <c r="F16" t="s">
        <v>123</v>
      </c>
      <c r="H16" t="s">
        <v>124</v>
      </c>
    </row>
    <row r="17" spans="1:8" x14ac:dyDescent="0.25">
      <c r="B17" t="s">
        <v>32</v>
      </c>
      <c r="D17" t="s">
        <v>73</v>
      </c>
      <c r="E17">
        <v>1.5</v>
      </c>
      <c r="F17" t="s">
        <v>74</v>
      </c>
      <c r="H17" t="s">
        <v>30</v>
      </c>
    </row>
    <row r="18" spans="1:8" x14ac:dyDescent="0.25">
      <c r="B18" t="s">
        <v>33</v>
      </c>
      <c r="D18" t="s">
        <v>122</v>
      </c>
      <c r="E18">
        <f>42/1000</f>
        <v>4.2000000000000003E-2</v>
      </c>
      <c r="F18" t="s">
        <v>123</v>
      </c>
      <c r="H18" t="s">
        <v>124</v>
      </c>
    </row>
    <row r="19" spans="1:8" x14ac:dyDescent="0.25">
      <c r="B19" t="s">
        <v>33</v>
      </c>
      <c r="D19" t="s">
        <v>73</v>
      </c>
      <c r="E19">
        <v>4.3</v>
      </c>
      <c r="F19" t="s">
        <v>74</v>
      </c>
      <c r="H19" t="s">
        <v>36</v>
      </c>
    </row>
    <row r="20" spans="1:8" x14ac:dyDescent="0.25">
      <c r="B20" t="s">
        <v>34</v>
      </c>
      <c r="D20" t="s">
        <v>122</v>
      </c>
      <c r="E20">
        <f>42/1000</f>
        <v>4.2000000000000003E-2</v>
      </c>
      <c r="F20" t="s">
        <v>123</v>
      </c>
      <c r="H20" t="s">
        <v>124</v>
      </c>
    </row>
    <row r="21" spans="1:8" x14ac:dyDescent="0.25">
      <c r="B21" t="s">
        <v>34</v>
      </c>
      <c r="D21" t="s">
        <v>73</v>
      </c>
      <c r="E21">
        <v>5</v>
      </c>
      <c r="F21" t="s">
        <v>74</v>
      </c>
      <c r="H21" t="s">
        <v>37</v>
      </c>
    </row>
    <row r="22" spans="1:8" x14ac:dyDescent="0.25">
      <c r="D22" t="s">
        <v>58</v>
      </c>
      <c r="E22" s="10">
        <f>1/0.7</f>
        <v>1.4285714285714286</v>
      </c>
      <c r="F22" t="s">
        <v>130</v>
      </c>
      <c r="H22" t="s">
        <v>129</v>
      </c>
    </row>
    <row r="23" spans="1:8" x14ac:dyDescent="0.25">
      <c r="E23" s="10"/>
    </row>
    <row r="24" spans="1:8" x14ac:dyDescent="0.25">
      <c r="A24" s="13" t="s">
        <v>76</v>
      </c>
      <c r="B24" s="13"/>
      <c r="C24" s="13"/>
      <c r="D24" s="13"/>
      <c r="E24" s="13"/>
      <c r="F24" s="13"/>
      <c r="G24" s="13"/>
      <c r="H24" s="13"/>
    </row>
    <row r="25" spans="1:8" x14ac:dyDescent="0.25">
      <c r="B25" t="s">
        <v>32</v>
      </c>
      <c r="D25" t="s">
        <v>59</v>
      </c>
      <c r="E25">
        <v>1.52</v>
      </c>
      <c r="F25" t="s">
        <v>78</v>
      </c>
      <c r="G25" t="s">
        <v>120</v>
      </c>
      <c r="H25" t="s">
        <v>77</v>
      </c>
    </row>
    <row r="26" spans="1:8" x14ac:dyDescent="0.25">
      <c r="B26" t="s">
        <v>33</v>
      </c>
      <c r="D26" t="s">
        <v>119</v>
      </c>
      <c r="E26">
        <v>48</v>
      </c>
      <c r="F26" t="s">
        <v>79</v>
      </c>
      <c r="G26" t="s">
        <v>113</v>
      </c>
      <c r="H26" t="s">
        <v>64</v>
      </c>
    </row>
    <row r="27" spans="1:8" x14ac:dyDescent="0.25">
      <c r="B27" t="s">
        <v>34</v>
      </c>
      <c r="D27" t="s">
        <v>119</v>
      </c>
      <c r="E27">
        <v>0</v>
      </c>
      <c r="F27" t="s">
        <v>79</v>
      </c>
    </row>
    <row r="29" spans="1:8" x14ac:dyDescent="0.25">
      <c r="A29" s="13" t="s">
        <v>80</v>
      </c>
      <c r="B29" s="13"/>
      <c r="C29" s="13"/>
      <c r="D29" s="13"/>
      <c r="E29" s="13"/>
      <c r="F29" s="17" t="s">
        <v>112</v>
      </c>
      <c r="G29" s="13"/>
      <c r="H29" s="13"/>
    </row>
    <row r="30" spans="1:8" x14ac:dyDescent="0.25">
      <c r="D30" s="14" t="s">
        <v>81</v>
      </c>
      <c r="E30" s="14">
        <v>0</v>
      </c>
      <c r="F30" s="14"/>
      <c r="G30" s="14" t="s">
        <v>82</v>
      </c>
    </row>
    <row r="31" spans="1:8" x14ac:dyDescent="0.25">
      <c r="C31" t="s">
        <v>83</v>
      </c>
      <c r="D31" t="s">
        <v>81</v>
      </c>
      <c r="E31" s="11">
        <v>59.009628610729031</v>
      </c>
    </row>
    <row r="32" spans="1:8" x14ac:dyDescent="0.25">
      <c r="C32" t="s">
        <v>84</v>
      </c>
      <c r="D32" t="s">
        <v>81</v>
      </c>
      <c r="E32" s="11">
        <v>4.8486932599724906</v>
      </c>
    </row>
    <row r="33" spans="1:7" x14ac:dyDescent="0.25">
      <c r="C33" t="s">
        <v>85</v>
      </c>
      <c r="D33" t="s">
        <v>81</v>
      </c>
      <c r="E33" s="11">
        <v>2.9917469050894088</v>
      </c>
    </row>
    <row r="34" spans="1:7" x14ac:dyDescent="0.25">
      <c r="C34" t="s">
        <v>86</v>
      </c>
      <c r="D34" t="s">
        <v>81</v>
      </c>
      <c r="E34" s="11">
        <v>6.5064269790826748</v>
      </c>
    </row>
    <row r="35" spans="1:7" x14ac:dyDescent="0.25">
      <c r="C35" t="s">
        <v>87</v>
      </c>
      <c r="D35" t="s">
        <v>81</v>
      </c>
      <c r="E35" s="11">
        <v>18.569463548830814</v>
      </c>
    </row>
    <row r="36" spans="1:7" x14ac:dyDescent="0.25">
      <c r="A36" t="s">
        <v>126</v>
      </c>
      <c r="C36" t="s">
        <v>88</v>
      </c>
      <c r="D36" t="s">
        <v>81</v>
      </c>
      <c r="E36" s="11">
        <v>2.9881895365934641</v>
      </c>
    </row>
    <row r="37" spans="1:7" x14ac:dyDescent="0.25">
      <c r="A37" s="19" t="s">
        <v>125</v>
      </c>
      <c r="C37" s="18" t="s">
        <v>128</v>
      </c>
      <c r="D37" s="19" t="str">
        <f>D36</f>
        <v>share_in_ration</v>
      </c>
      <c r="E37" s="20">
        <f>E36</f>
        <v>2.9881895365934641</v>
      </c>
      <c r="G37" s="18" t="s">
        <v>127</v>
      </c>
    </row>
    <row r="38" spans="1:7" x14ac:dyDescent="0.25">
      <c r="C38" t="s">
        <v>89</v>
      </c>
      <c r="D38" t="s">
        <v>81</v>
      </c>
      <c r="E38" s="11">
        <v>0.64032632927002808</v>
      </c>
    </row>
    <row r="39" spans="1:7" x14ac:dyDescent="0.25">
      <c r="C39" t="s">
        <v>98</v>
      </c>
      <c r="D39" t="s">
        <v>81</v>
      </c>
      <c r="E39" s="11">
        <v>2.7854195323246222</v>
      </c>
    </row>
    <row r="40" spans="1:7" x14ac:dyDescent="0.25">
      <c r="C40" t="s">
        <v>90</v>
      </c>
      <c r="D40" t="s">
        <v>81</v>
      </c>
      <c r="E40" s="11">
        <v>1.66010529810748</v>
      </c>
      <c r="G40" s="15" t="s">
        <v>91</v>
      </c>
    </row>
    <row r="41" spans="1:7" x14ac:dyDescent="0.25">
      <c r="C41" s="15" t="s">
        <v>92</v>
      </c>
      <c r="E41" s="11"/>
    </row>
    <row r="42" spans="1:7" x14ac:dyDescent="0.25">
      <c r="C42" s="15" t="s">
        <v>93</v>
      </c>
      <c r="E4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48"/>
  <sheetViews>
    <sheetView workbookViewId="0">
      <selection activeCell="J19" sqref="J19"/>
    </sheetView>
  </sheetViews>
  <sheetFormatPr defaultRowHeight="15" x14ac:dyDescent="0.25"/>
  <cols>
    <col min="2" max="2" width="16.28515625" customWidth="1"/>
    <col min="3" max="3" width="23" customWidth="1"/>
    <col min="5" max="5" width="17" customWidth="1"/>
    <col min="6" max="6" width="13" customWidth="1"/>
    <col min="10" max="11" width="9.85546875" bestFit="1" customWidth="1"/>
    <col min="12" max="12" width="9.85546875" customWidth="1"/>
    <col min="15" max="15" width="29.7109375" bestFit="1" customWidth="1"/>
    <col min="16" max="20" width="10.42578125" customWidth="1"/>
    <col min="22" max="22" width="10.5703125" style="2" customWidth="1"/>
  </cols>
  <sheetData>
    <row r="2" spans="2:22" x14ac:dyDescent="0.25">
      <c r="B2" t="s">
        <v>31</v>
      </c>
      <c r="C2" s="2" t="s">
        <v>19</v>
      </c>
      <c r="D2" t="s">
        <v>21</v>
      </c>
      <c r="E2" t="s">
        <v>25</v>
      </c>
      <c r="F2" t="s">
        <v>24</v>
      </c>
      <c r="G2" t="s">
        <v>23</v>
      </c>
      <c r="O2" s="3" t="s">
        <v>18</v>
      </c>
      <c r="P2" s="3"/>
      <c r="Q2" s="3"/>
      <c r="R2" s="3"/>
      <c r="S2" s="3"/>
      <c r="T2" s="3"/>
      <c r="U2" s="3"/>
      <c r="V2" s="4"/>
    </row>
    <row r="3" spans="2:22" x14ac:dyDescent="0.25">
      <c r="C3" t="s">
        <v>20</v>
      </c>
      <c r="D3">
        <v>8.5</v>
      </c>
      <c r="E3" t="s">
        <v>26</v>
      </c>
      <c r="G3" t="s">
        <v>44</v>
      </c>
      <c r="K3" s="1"/>
      <c r="L3" s="1"/>
      <c r="O3" s="5"/>
      <c r="P3" s="5">
        <v>2016</v>
      </c>
      <c r="Q3" s="5">
        <v>2017</v>
      </c>
      <c r="R3" s="5">
        <v>2018</v>
      </c>
      <c r="S3" s="5">
        <v>2019</v>
      </c>
      <c r="T3" s="5">
        <v>2020</v>
      </c>
      <c r="U3" s="5"/>
      <c r="V3" s="6" t="s">
        <v>17</v>
      </c>
    </row>
    <row r="4" spans="2:22" x14ac:dyDescent="0.25">
      <c r="C4" t="s">
        <v>50</v>
      </c>
      <c r="D4">
        <v>24</v>
      </c>
      <c r="E4" t="s">
        <v>52</v>
      </c>
      <c r="K4" s="1"/>
      <c r="L4" s="1"/>
      <c r="O4" s="7" t="s">
        <v>16</v>
      </c>
      <c r="P4" s="5"/>
      <c r="Q4" s="5"/>
      <c r="R4" s="5"/>
      <c r="S4" s="5"/>
      <c r="T4" s="5"/>
      <c r="U4" s="5"/>
      <c r="V4" s="7"/>
    </row>
    <row r="5" spans="2:22" x14ac:dyDescent="0.25">
      <c r="C5" t="s">
        <v>51</v>
      </c>
      <c r="D5">
        <v>40</v>
      </c>
      <c r="E5" t="s">
        <v>52</v>
      </c>
      <c r="K5" s="1"/>
      <c r="L5" s="1"/>
      <c r="O5" s="5" t="s">
        <v>0</v>
      </c>
      <c r="P5" s="8">
        <v>8174310</v>
      </c>
      <c r="Q5" s="8">
        <v>7293848</v>
      </c>
      <c r="R5" s="8">
        <v>7699306</v>
      </c>
      <c r="S5" s="8">
        <v>8909127</v>
      </c>
      <c r="T5" s="8">
        <v>8403424</v>
      </c>
      <c r="U5" s="5"/>
      <c r="V5" s="9">
        <f>AVERAGE(P5:T5)</f>
        <v>8096003</v>
      </c>
    </row>
    <row r="6" spans="2:22" x14ac:dyDescent="0.25">
      <c r="C6" t="s">
        <v>38</v>
      </c>
      <c r="D6">
        <v>150</v>
      </c>
      <c r="E6" t="s">
        <v>26</v>
      </c>
      <c r="F6" t="s">
        <v>45</v>
      </c>
      <c r="G6" t="s">
        <v>40</v>
      </c>
      <c r="K6" s="1"/>
      <c r="L6" s="1"/>
      <c r="O6" s="5" t="s">
        <v>1</v>
      </c>
      <c r="P6" s="8">
        <v>1575281</v>
      </c>
      <c r="Q6" s="8">
        <v>1994435</v>
      </c>
      <c r="R6" s="8">
        <v>1926766</v>
      </c>
      <c r="S6" s="8">
        <v>2067477</v>
      </c>
      <c r="T6" s="8">
        <v>2420149</v>
      </c>
      <c r="U6" s="5"/>
      <c r="V6" s="9">
        <f t="shared" ref="V6:V28" si="0">AVERAGE(P6:T6)</f>
        <v>1996821.6</v>
      </c>
    </row>
    <row r="7" spans="2:22" x14ac:dyDescent="0.25">
      <c r="C7" t="s">
        <v>39</v>
      </c>
      <c r="D7">
        <v>12.5</v>
      </c>
      <c r="E7" t="s">
        <v>26</v>
      </c>
      <c r="G7" t="s">
        <v>40</v>
      </c>
      <c r="K7" s="1"/>
      <c r="L7" s="1"/>
      <c r="O7" s="5" t="s">
        <v>2</v>
      </c>
      <c r="P7" s="8">
        <v>9002683</v>
      </c>
      <c r="Q7" s="8">
        <v>9075870</v>
      </c>
      <c r="R7" s="8">
        <v>9196953</v>
      </c>
      <c r="S7" s="8">
        <v>9698723</v>
      </c>
      <c r="T7" s="8">
        <v>10779686</v>
      </c>
      <c r="U7" s="5"/>
      <c r="V7" s="9">
        <f t="shared" si="0"/>
        <v>9550783</v>
      </c>
    </row>
    <row r="8" spans="2:22" x14ac:dyDescent="0.25">
      <c r="B8" t="s">
        <v>32</v>
      </c>
      <c r="C8" t="s">
        <v>114</v>
      </c>
      <c r="D8">
        <v>35</v>
      </c>
      <c r="E8" t="s">
        <v>115</v>
      </c>
      <c r="O8" s="5" t="s">
        <v>3</v>
      </c>
      <c r="P8" s="8">
        <v>11575444</v>
      </c>
      <c r="Q8" s="8">
        <v>12194334</v>
      </c>
      <c r="R8" s="8">
        <v>12932893</v>
      </c>
      <c r="S8" s="8">
        <v>13224839</v>
      </c>
      <c r="T8" s="8">
        <v>13460610</v>
      </c>
      <c r="U8" s="5"/>
      <c r="V8" s="9">
        <f t="shared" si="0"/>
        <v>12677624</v>
      </c>
    </row>
    <row r="9" spans="2:22" x14ac:dyDescent="0.25">
      <c r="O9" s="5" t="s">
        <v>4</v>
      </c>
      <c r="P9" s="5" t="s">
        <v>15</v>
      </c>
      <c r="Q9" s="5" t="s">
        <v>15</v>
      </c>
      <c r="R9" s="5" t="s">
        <v>15</v>
      </c>
      <c r="S9" s="5" t="s">
        <v>15</v>
      </c>
      <c r="T9" s="8">
        <v>88979</v>
      </c>
      <c r="U9" s="5"/>
      <c r="V9" s="9">
        <f t="shared" si="0"/>
        <v>88979</v>
      </c>
    </row>
    <row r="10" spans="2:22" x14ac:dyDescent="0.25">
      <c r="B10" t="s">
        <v>32</v>
      </c>
      <c r="C10" t="s">
        <v>41</v>
      </c>
      <c r="D10">
        <v>3</v>
      </c>
      <c r="E10" t="s">
        <v>29</v>
      </c>
      <c r="G10" t="s">
        <v>22</v>
      </c>
      <c r="O10" s="5"/>
      <c r="P10" s="5"/>
      <c r="Q10" s="5"/>
      <c r="R10" s="5"/>
      <c r="S10" s="5"/>
      <c r="T10" s="5"/>
      <c r="U10" s="5"/>
      <c r="V10" s="9"/>
    </row>
    <row r="11" spans="2:22" x14ac:dyDescent="0.25">
      <c r="C11" t="s">
        <v>41</v>
      </c>
      <c r="D11">
        <v>8</v>
      </c>
      <c r="E11" t="s">
        <v>29</v>
      </c>
      <c r="G11" t="s">
        <v>40</v>
      </c>
      <c r="O11" s="7" t="s">
        <v>13</v>
      </c>
      <c r="P11" s="5"/>
      <c r="Q11" s="5"/>
      <c r="R11" s="5"/>
      <c r="S11" s="5"/>
      <c r="T11" s="5"/>
      <c r="U11" s="5"/>
      <c r="V11" s="9"/>
    </row>
    <row r="12" spans="2:22" x14ac:dyDescent="0.25">
      <c r="C12" t="s">
        <v>28</v>
      </c>
      <c r="D12">
        <v>2.2999999999999998</v>
      </c>
      <c r="E12" t="s">
        <v>29</v>
      </c>
      <c r="G12" t="s">
        <v>30</v>
      </c>
      <c r="O12" s="5" t="s">
        <v>5</v>
      </c>
      <c r="P12" s="8">
        <v>101322.26</v>
      </c>
      <c r="Q12" s="8">
        <v>101876.26</v>
      </c>
      <c r="R12" s="8">
        <v>100535.2</v>
      </c>
      <c r="S12" s="8">
        <v>106120.9</v>
      </c>
      <c r="T12" s="8">
        <v>110334.65</v>
      </c>
      <c r="U12" s="5"/>
      <c r="V12" s="9">
        <f t="shared" si="0"/>
        <v>104037.85400000001</v>
      </c>
    </row>
    <row r="13" spans="2:22" x14ac:dyDescent="0.25">
      <c r="O13" s="5" t="s">
        <v>6</v>
      </c>
      <c r="P13" s="8">
        <v>99293</v>
      </c>
      <c r="Q13" s="8">
        <v>100024.64</v>
      </c>
      <c r="R13" s="8">
        <v>98502.54</v>
      </c>
      <c r="S13" s="8">
        <v>103450.62</v>
      </c>
      <c r="T13" s="8">
        <v>107185.82</v>
      </c>
      <c r="U13" s="5"/>
      <c r="V13" s="9">
        <f t="shared" si="0"/>
        <v>101691.32399999999</v>
      </c>
    </row>
    <row r="14" spans="2:22" x14ac:dyDescent="0.25">
      <c r="O14" s="5" t="s">
        <v>7</v>
      </c>
      <c r="P14" s="8">
        <v>3292.94</v>
      </c>
      <c r="Q14" s="8">
        <v>3629.26</v>
      </c>
      <c r="R14" s="8">
        <v>4068.72</v>
      </c>
      <c r="S14" s="8">
        <v>3634.95</v>
      </c>
      <c r="T14" s="8">
        <v>3716.97</v>
      </c>
      <c r="U14" s="5"/>
      <c r="V14" s="9">
        <f t="shared" si="0"/>
        <v>3668.5680000000002</v>
      </c>
    </row>
    <row r="15" spans="2:22" x14ac:dyDescent="0.25">
      <c r="B15" t="s">
        <v>32</v>
      </c>
      <c r="C15" t="s">
        <v>73</v>
      </c>
      <c r="D15">
        <v>1.5</v>
      </c>
      <c r="E15" t="s">
        <v>74</v>
      </c>
      <c r="G15" t="s">
        <v>30</v>
      </c>
      <c r="O15" s="5" t="s">
        <v>8</v>
      </c>
      <c r="P15" s="8">
        <v>3108.11</v>
      </c>
      <c r="Q15" s="8">
        <v>3383.42</v>
      </c>
      <c r="R15" s="8">
        <v>3787.65</v>
      </c>
      <c r="S15" s="8">
        <v>3316.08</v>
      </c>
      <c r="T15" s="8">
        <v>3415.29</v>
      </c>
      <c r="U15" s="5"/>
      <c r="V15" s="9">
        <f t="shared" si="0"/>
        <v>3402.1099999999997</v>
      </c>
    </row>
    <row r="16" spans="2:22" x14ac:dyDescent="0.25">
      <c r="B16" t="s">
        <v>33</v>
      </c>
      <c r="C16" t="s">
        <v>73</v>
      </c>
      <c r="D16">
        <v>4.3</v>
      </c>
      <c r="E16" t="s">
        <v>74</v>
      </c>
      <c r="G16" t="s">
        <v>36</v>
      </c>
      <c r="O16" s="5" t="s">
        <v>9</v>
      </c>
      <c r="P16" s="5">
        <v>526.53</v>
      </c>
      <c r="Q16" s="5">
        <v>525.79999999999995</v>
      </c>
      <c r="R16" s="5">
        <v>525.71</v>
      </c>
      <c r="S16" s="5">
        <v>507.97</v>
      </c>
      <c r="T16" s="5">
        <v>521.73</v>
      </c>
      <c r="U16" s="5"/>
      <c r="V16" s="9">
        <f t="shared" si="0"/>
        <v>521.548</v>
      </c>
    </row>
    <row r="17" spans="2:22" x14ac:dyDescent="0.25">
      <c r="B17" t="s">
        <v>34</v>
      </c>
      <c r="C17" t="s">
        <v>73</v>
      </c>
      <c r="D17">
        <v>5</v>
      </c>
      <c r="E17" t="s">
        <v>74</v>
      </c>
      <c r="G17" t="s">
        <v>37</v>
      </c>
      <c r="O17" s="5" t="s">
        <v>10</v>
      </c>
      <c r="P17" s="5">
        <v>517.62</v>
      </c>
      <c r="Q17" s="5">
        <v>511.33</v>
      </c>
      <c r="R17" s="5">
        <v>509.38</v>
      </c>
      <c r="S17" s="5">
        <v>497.41</v>
      </c>
      <c r="T17" s="5">
        <v>512.15</v>
      </c>
      <c r="U17" s="5"/>
      <c r="V17" s="9">
        <f t="shared" si="0"/>
        <v>509.57799999999997</v>
      </c>
    </row>
    <row r="18" spans="2:22" x14ac:dyDescent="0.25">
      <c r="C18" t="s">
        <v>58</v>
      </c>
      <c r="D18" s="10">
        <f>1/0.7</f>
        <v>1.4285714285714286</v>
      </c>
      <c r="E18" t="s">
        <v>57</v>
      </c>
      <c r="O18" s="5" t="s">
        <v>11</v>
      </c>
      <c r="P18" s="8">
        <v>105814.37</v>
      </c>
      <c r="Q18" s="8">
        <v>106752.11</v>
      </c>
      <c r="R18" s="8">
        <v>105777.87</v>
      </c>
      <c r="S18" s="8">
        <v>110955.74</v>
      </c>
      <c r="T18" s="8">
        <v>115221.23</v>
      </c>
      <c r="U18" s="5"/>
      <c r="V18" s="9">
        <f t="shared" si="0"/>
        <v>108904.264</v>
      </c>
    </row>
    <row r="19" spans="2:22" x14ac:dyDescent="0.25">
      <c r="O19" s="5" t="s">
        <v>12</v>
      </c>
      <c r="P19" s="8">
        <v>103556.82</v>
      </c>
      <c r="Q19" s="8">
        <v>104584.67</v>
      </c>
      <c r="R19" s="8">
        <v>103390.34</v>
      </c>
      <c r="S19" s="8">
        <v>107880.49</v>
      </c>
      <c r="T19" s="8">
        <v>111708.92</v>
      </c>
      <c r="U19" s="5"/>
      <c r="V19" s="9">
        <f t="shared" si="0"/>
        <v>106224.24799999999</v>
      </c>
    </row>
    <row r="20" spans="2:22" x14ac:dyDescent="0.25">
      <c r="C20" t="s">
        <v>59</v>
      </c>
      <c r="D20">
        <v>1.52</v>
      </c>
      <c r="E20" t="s">
        <v>61</v>
      </c>
      <c r="G20" t="s">
        <v>63</v>
      </c>
      <c r="O20" s="7" t="s">
        <v>14</v>
      </c>
      <c r="P20" s="5"/>
      <c r="Q20" s="5"/>
      <c r="R20" s="5"/>
      <c r="S20" s="5"/>
      <c r="T20" s="5"/>
      <c r="U20" s="5"/>
      <c r="V20" s="9"/>
    </row>
    <row r="21" spans="2:22" x14ac:dyDescent="0.25">
      <c r="C21" t="s">
        <v>60</v>
      </c>
      <c r="D21">
        <v>48</v>
      </c>
      <c r="E21" t="s">
        <v>62</v>
      </c>
      <c r="F21" t="s">
        <v>65</v>
      </c>
      <c r="G21" t="s">
        <v>64</v>
      </c>
      <c r="O21" s="5" t="s">
        <v>5</v>
      </c>
      <c r="P21" s="5">
        <v>151.53</v>
      </c>
      <c r="Q21" s="5">
        <v>151.29</v>
      </c>
      <c r="R21" s="5">
        <v>149.29</v>
      </c>
      <c r="S21" s="5">
        <v>159.18</v>
      </c>
      <c r="T21" s="5">
        <v>166.83</v>
      </c>
      <c r="U21" s="5"/>
      <c r="V21" s="9">
        <f t="shared" si="0"/>
        <v>155.624</v>
      </c>
    </row>
    <row r="22" spans="2:22" x14ac:dyDescent="0.25">
      <c r="O22" s="5" t="s">
        <v>6</v>
      </c>
      <c r="P22" s="5">
        <v>148.49</v>
      </c>
      <c r="Q22" s="5">
        <v>148.54</v>
      </c>
      <c r="R22" s="5">
        <v>146.28</v>
      </c>
      <c r="S22" s="5">
        <v>155.18</v>
      </c>
      <c r="T22" s="5">
        <v>162.06</v>
      </c>
      <c r="U22" s="5"/>
      <c r="V22" s="9">
        <f t="shared" si="0"/>
        <v>152.10999999999999</v>
      </c>
    </row>
    <row r="23" spans="2:22" x14ac:dyDescent="0.25">
      <c r="B23" t="s">
        <v>42</v>
      </c>
      <c r="F23" s="1"/>
      <c r="O23" s="5" t="s">
        <v>7</v>
      </c>
      <c r="P23" s="5">
        <v>3.85</v>
      </c>
      <c r="Q23" s="5">
        <v>4.25</v>
      </c>
      <c r="R23" s="5">
        <v>4.76</v>
      </c>
      <c r="S23" s="5">
        <v>4.25</v>
      </c>
      <c r="T23" s="5">
        <v>4.3499999999999996</v>
      </c>
      <c r="U23" s="5"/>
      <c r="V23" s="9">
        <f t="shared" si="0"/>
        <v>4.2919999999999998</v>
      </c>
    </row>
    <row r="24" spans="2:22" x14ac:dyDescent="0.25">
      <c r="B24" t="s">
        <v>43</v>
      </c>
      <c r="C24" s="1">
        <f>V8</f>
        <v>12677624</v>
      </c>
      <c r="D24" t="s">
        <v>118</v>
      </c>
      <c r="F24" s="1"/>
      <c r="O24" s="5" t="s">
        <v>8</v>
      </c>
      <c r="P24" s="5">
        <v>3.64</v>
      </c>
      <c r="Q24" s="5">
        <v>3.96</v>
      </c>
      <c r="R24" s="5">
        <v>4.43</v>
      </c>
      <c r="S24" s="5">
        <v>3.88</v>
      </c>
      <c r="T24" s="5">
        <v>4</v>
      </c>
      <c r="U24" s="5"/>
      <c r="V24" s="9">
        <f t="shared" si="0"/>
        <v>3.9820000000000002</v>
      </c>
    </row>
    <row r="25" spans="2:22" x14ac:dyDescent="0.25">
      <c r="B25" s="2" t="s">
        <v>53</v>
      </c>
      <c r="O25" s="5" t="s">
        <v>9</v>
      </c>
      <c r="P25" s="5">
        <v>4.3</v>
      </c>
      <c r="Q25" s="5">
        <v>4.66</v>
      </c>
      <c r="R25" s="5">
        <v>4.6399999999999997</v>
      </c>
      <c r="S25" s="5">
        <v>4.6500000000000004</v>
      </c>
      <c r="T25" s="5">
        <v>4.68</v>
      </c>
      <c r="U25" s="5"/>
      <c r="V25" s="9">
        <f t="shared" si="0"/>
        <v>4.5860000000000003</v>
      </c>
    </row>
    <row r="26" spans="2:22" x14ac:dyDescent="0.25">
      <c r="B26" t="s">
        <v>32</v>
      </c>
      <c r="C26" s="1">
        <f>C24</f>
        <v>12677624</v>
      </c>
      <c r="O26" s="5" t="s">
        <v>10</v>
      </c>
      <c r="P26" s="5">
        <v>4.22</v>
      </c>
      <c r="Q26" s="5">
        <v>4.55</v>
      </c>
      <c r="R26" s="5">
        <v>4.5</v>
      </c>
      <c r="S26" s="5">
        <v>4.5599999999999996</v>
      </c>
      <c r="T26" s="5">
        <v>4.59</v>
      </c>
      <c r="U26" s="5"/>
      <c r="V26" s="9">
        <f t="shared" si="0"/>
        <v>4.484</v>
      </c>
    </row>
    <row r="27" spans="2:22" x14ac:dyDescent="0.25">
      <c r="B27" t="s">
        <v>46</v>
      </c>
      <c r="C27" s="1">
        <f>C33*(D$4+D$5)/52.2</f>
        <v>957386.23132878006</v>
      </c>
      <c r="O27" s="5" t="s">
        <v>11</v>
      </c>
      <c r="P27" s="5">
        <v>161.44</v>
      </c>
      <c r="Q27" s="5">
        <v>162.08000000000001</v>
      </c>
      <c r="R27" s="5">
        <v>160.38999999999999</v>
      </c>
      <c r="S27" s="5">
        <v>169.89</v>
      </c>
      <c r="T27" s="5">
        <v>177.62</v>
      </c>
      <c r="U27" s="5"/>
      <c r="V27" s="9">
        <f t="shared" si="0"/>
        <v>166.28399999999999</v>
      </c>
    </row>
    <row r="28" spans="2:22" x14ac:dyDescent="0.25">
      <c r="B28" t="s">
        <v>47</v>
      </c>
      <c r="C28" s="1">
        <f>C34*(D$4+D$5)/52.2</f>
        <v>76590.898506302401</v>
      </c>
      <c r="O28" s="5" t="s">
        <v>12</v>
      </c>
      <c r="P28" s="5">
        <v>158.03</v>
      </c>
      <c r="Q28" s="5">
        <v>158.78</v>
      </c>
      <c r="R28" s="5">
        <v>156.75</v>
      </c>
      <c r="S28" s="5">
        <v>165.22</v>
      </c>
      <c r="T28" s="5">
        <v>172.28</v>
      </c>
      <c r="U28" s="5"/>
      <c r="V28" s="9">
        <f t="shared" si="0"/>
        <v>162.21199999999999</v>
      </c>
    </row>
    <row r="29" spans="2:22" x14ac:dyDescent="0.25">
      <c r="B29" t="s">
        <v>48</v>
      </c>
      <c r="C29" s="1">
        <f>C35*(D$4+D$5)/52.2</f>
        <v>6937.5813864404345</v>
      </c>
    </row>
    <row r="30" spans="2:22" x14ac:dyDescent="0.25">
      <c r="B30" t="s">
        <v>49</v>
      </c>
      <c r="C30" s="1">
        <f>C36*(D$4+D$5)/52.2</f>
        <v>2312.5271288134782</v>
      </c>
      <c r="O30" t="s">
        <v>27</v>
      </c>
      <c r="P30" s="11">
        <f>(P12-P13)/P12*100</f>
        <v>2.0027780667347872</v>
      </c>
      <c r="Q30" s="11">
        <f>(Q12-Q13)/Q12*100</f>
        <v>1.8175186250457127</v>
      </c>
      <c r="R30" s="11">
        <f>(R12-R13)/R12*100</f>
        <v>2.0218391170455754</v>
      </c>
      <c r="S30" s="11">
        <f>(S12-S13)/S12*100</f>
        <v>2.5162621123642928</v>
      </c>
      <c r="T30" s="11">
        <f>(T12-T13)/T12*100</f>
        <v>2.8538904142986699</v>
      </c>
      <c r="V30" s="11">
        <f>(V12-V13)/V12*100</f>
        <v>2.2554579028514112</v>
      </c>
    </row>
    <row r="31" spans="2:22" x14ac:dyDescent="0.25">
      <c r="B31" s="2" t="s">
        <v>55</v>
      </c>
      <c r="C31" s="1"/>
      <c r="F31">
        <f>C27/((D$4+D$5)/52.2)</f>
        <v>780868.14492753625</v>
      </c>
      <c r="O31" t="s">
        <v>35</v>
      </c>
      <c r="P31" s="10">
        <f t="shared" ref="P31:T32" si="1">P21/P12*1000</f>
        <v>1.4955252675966764</v>
      </c>
      <c r="Q31" s="10">
        <f t="shared" si="1"/>
        <v>1.4850368476424243</v>
      </c>
      <c r="R31" s="10">
        <f t="shared" si="1"/>
        <v>1.4849525340378296</v>
      </c>
      <c r="S31" s="10">
        <f t="shared" si="1"/>
        <v>1.4999872786604713</v>
      </c>
      <c r="T31" s="10">
        <f t="shared" si="1"/>
        <v>1.5120363367264955</v>
      </c>
      <c r="U31" s="10"/>
      <c r="V31" s="10">
        <f>V21/V12*1000</f>
        <v>1.4958401583331389</v>
      </c>
    </row>
    <row r="32" spans="2:22" x14ac:dyDescent="0.25">
      <c r="B32" t="s">
        <v>32</v>
      </c>
      <c r="C32" s="1">
        <f>C24*D3</f>
        <v>107759804</v>
      </c>
      <c r="P32" s="10">
        <f t="shared" si="1"/>
        <v>1.4954729940680613</v>
      </c>
      <c r="Q32" s="10">
        <f t="shared" si="1"/>
        <v>1.4850340876008152</v>
      </c>
      <c r="R32" s="10">
        <f t="shared" si="1"/>
        <v>1.4850378477549921</v>
      </c>
      <c r="S32" s="10">
        <f t="shared" si="1"/>
        <v>1.5000393424418337</v>
      </c>
      <c r="T32" s="10">
        <f t="shared" si="1"/>
        <v>1.5119537267149703</v>
      </c>
      <c r="U32" s="10"/>
      <c r="V32" s="10">
        <f>V22/V13*1000</f>
        <v>1.4958011560553583</v>
      </c>
    </row>
    <row r="33" spans="2:22" x14ac:dyDescent="0.25">
      <c r="B33" t="s">
        <v>46</v>
      </c>
      <c r="C33" s="1">
        <f>C32/D6/(1-D11/100)</f>
        <v>780868.14492753625</v>
      </c>
      <c r="E33" t="s">
        <v>66</v>
      </c>
    </row>
    <row r="34" spans="2:22" x14ac:dyDescent="0.25">
      <c r="B34" t="s">
        <v>47</v>
      </c>
      <c r="C34" s="1">
        <f>C33/D7</f>
        <v>62469.451594202903</v>
      </c>
      <c r="P34" s="1">
        <f>$C$38/$C$24*P8/1000</f>
        <v>93244.426457059992</v>
      </c>
      <c r="Q34" s="1">
        <f>$C$38/$C$24*Q8/1000</f>
        <v>98229.811301909998</v>
      </c>
      <c r="R34" s="1">
        <f>$C$38/$C$24*R8/1000</f>
        <v>104179.173620945</v>
      </c>
      <c r="S34" s="1">
        <f>$C$38/$C$24*S8/1000</f>
        <v>106530.905211235</v>
      </c>
      <c r="T34" s="1">
        <f>$C$38/$C$24*T8/1000</f>
        <v>108430.12667264999</v>
      </c>
      <c r="U34" s="1"/>
      <c r="V34" s="1">
        <f>$C$38/$C$24*V8/1000</f>
        <v>102122.88865276</v>
      </c>
    </row>
    <row r="35" spans="2:22" x14ac:dyDescent="0.25">
      <c r="B35" t="s">
        <v>48</v>
      </c>
      <c r="C35" s="1">
        <f>C33/D6/(1-D11/100)</f>
        <v>5658.4648183154795</v>
      </c>
      <c r="P35" s="12">
        <f>P34/P13</f>
        <v>0.93908358552022797</v>
      </c>
      <c r="Q35" s="12">
        <f t="shared" ref="Q35:V35" si="2">Q34/Q13</f>
        <v>0.98205613438758688</v>
      </c>
      <c r="R35" s="12">
        <f t="shared" si="2"/>
        <v>1.0576293121065203</v>
      </c>
      <c r="S35" s="12">
        <f t="shared" si="2"/>
        <v>1.0297754156643528</v>
      </c>
      <c r="T35" s="12">
        <f t="shared" si="2"/>
        <v>1.0116088739410678</v>
      </c>
      <c r="U35" s="12"/>
      <c r="V35" s="12">
        <f t="shared" si="2"/>
        <v>1.0042438689534616</v>
      </c>
    </row>
    <row r="36" spans="2:22" x14ac:dyDescent="0.25">
      <c r="B36" t="s">
        <v>49</v>
      </c>
      <c r="C36" s="1">
        <f>C35/D10</f>
        <v>1886.1549394384931</v>
      </c>
    </row>
    <row r="37" spans="2:22" x14ac:dyDescent="0.25">
      <c r="B37" s="2" t="s">
        <v>54</v>
      </c>
      <c r="C37" s="1"/>
    </row>
    <row r="38" spans="2:22" x14ac:dyDescent="0.25">
      <c r="B38" t="s">
        <v>32</v>
      </c>
      <c r="C38" s="1">
        <f>C32-C44</f>
        <v>102122888.65276</v>
      </c>
    </row>
    <row r="39" spans="2:22" x14ac:dyDescent="0.25">
      <c r="B39" t="s">
        <v>46</v>
      </c>
      <c r="C39" s="1">
        <f>C33-C45</f>
        <v>701875.52338666667</v>
      </c>
    </row>
    <row r="40" spans="2:22" x14ac:dyDescent="0.25">
      <c r="B40" t="s">
        <v>47</v>
      </c>
      <c r="C40" s="1">
        <f>C34-C46</f>
        <v>56150.041870933339</v>
      </c>
    </row>
    <row r="41" spans="2:22" x14ac:dyDescent="0.25">
      <c r="B41" t="s">
        <v>48</v>
      </c>
      <c r="C41" s="1">
        <f>C35-C47</f>
        <v>5086.0545172946859</v>
      </c>
    </row>
    <row r="42" spans="2:22" x14ac:dyDescent="0.25">
      <c r="B42" t="s">
        <v>49</v>
      </c>
      <c r="C42" s="1">
        <f>C36-C48</f>
        <v>1695.3515057648951</v>
      </c>
    </row>
    <row r="43" spans="2:22" x14ac:dyDescent="0.25">
      <c r="B43" s="2" t="s">
        <v>56</v>
      </c>
      <c r="C43" s="1"/>
    </row>
    <row r="44" spans="2:22" x14ac:dyDescent="0.25">
      <c r="B44" t="s">
        <v>32</v>
      </c>
      <c r="C44" s="1">
        <f>C32*(D$10/100) + C32*(1-D$10/100)*(D$12/100)</f>
        <v>5636915.34724</v>
      </c>
    </row>
    <row r="45" spans="2:22" x14ac:dyDescent="0.25">
      <c r="B45" t="s">
        <v>46</v>
      </c>
      <c r="C45" s="1">
        <f>C33*(D$11/100) + C33*(1-D$11/100)*(D$12/100)</f>
        <v>78992.621540869572</v>
      </c>
    </row>
    <row r="46" spans="2:22" x14ac:dyDescent="0.25">
      <c r="B46" t="s">
        <v>47</v>
      </c>
      <c r="C46" s="1">
        <f>C34*(D$11/100) + C34*(1-D$11/100)*(D$12/100)</f>
        <v>6319.4097232695658</v>
      </c>
    </row>
    <row r="47" spans="2:22" x14ac:dyDescent="0.25">
      <c r="B47" t="s">
        <v>48</v>
      </c>
      <c r="C47" s="1">
        <f>C35*(D$11/100) + C35*(1-D$11/100)*(D$12/100)</f>
        <v>572.4103010207939</v>
      </c>
    </row>
    <row r="48" spans="2:22" x14ac:dyDescent="0.25">
      <c r="B48" t="s">
        <v>49</v>
      </c>
      <c r="C48" s="1">
        <f>C36*(D$11/100) + C36*(1-D$11/100)*(D$12/100)</f>
        <v>190.80343367359797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6"/>
  <sheetViews>
    <sheetView topLeftCell="C1" workbookViewId="0">
      <selection activeCell="G9" sqref="G9"/>
    </sheetView>
  </sheetViews>
  <sheetFormatPr defaultRowHeight="15" x14ac:dyDescent="0.25"/>
  <cols>
    <col min="2" max="2" width="23.5703125" bestFit="1" customWidth="1"/>
    <col min="3" max="3" width="35.5703125" bestFit="1" customWidth="1"/>
  </cols>
  <sheetData>
    <row r="1" spans="2:11" x14ac:dyDescent="0.25">
      <c r="F1" t="s">
        <v>109</v>
      </c>
      <c r="I1" t="s">
        <v>110</v>
      </c>
    </row>
    <row r="2" spans="2:11" x14ac:dyDescent="0.25">
      <c r="D2" t="s">
        <v>106</v>
      </c>
      <c r="F2" t="s">
        <v>107</v>
      </c>
      <c r="G2" t="s">
        <v>108</v>
      </c>
      <c r="H2" t="s">
        <v>94</v>
      </c>
      <c r="I2" t="s">
        <v>107</v>
      </c>
      <c r="J2" t="s">
        <v>108</v>
      </c>
      <c r="K2" t="s">
        <v>94</v>
      </c>
    </row>
    <row r="3" spans="2:11" x14ac:dyDescent="0.25">
      <c r="B3" t="s">
        <v>83</v>
      </c>
      <c r="C3" t="s">
        <v>95</v>
      </c>
      <c r="D3">
        <v>0.87</v>
      </c>
      <c r="H3">
        <v>57.2</v>
      </c>
      <c r="K3" s="11">
        <f>H3*$D3/H$16</f>
        <v>59.009628610729031</v>
      </c>
    </row>
    <row r="4" spans="2:11" x14ac:dyDescent="0.25">
      <c r="B4" t="s">
        <v>84</v>
      </c>
      <c r="C4" t="s">
        <v>99</v>
      </c>
      <c r="D4">
        <v>0.87</v>
      </c>
      <c r="H4">
        <v>4.7</v>
      </c>
      <c r="K4" s="11">
        <f t="shared" ref="K4:K11" si="0">H4*$D4/H$16</f>
        <v>4.8486932599724906</v>
      </c>
    </row>
    <row r="5" spans="2:11" x14ac:dyDescent="0.25">
      <c r="B5" t="s">
        <v>85</v>
      </c>
      <c r="C5" t="s">
        <v>100</v>
      </c>
      <c r="D5">
        <v>0.87</v>
      </c>
      <c r="H5">
        <v>2.9</v>
      </c>
      <c r="K5" s="11">
        <f t="shared" si="0"/>
        <v>2.9917469050894088</v>
      </c>
    </row>
    <row r="6" spans="2:11" x14ac:dyDescent="0.25">
      <c r="B6" t="s">
        <v>86</v>
      </c>
      <c r="C6" t="s">
        <v>97</v>
      </c>
      <c r="D6">
        <v>0.93</v>
      </c>
      <c r="H6">
        <v>5.9</v>
      </c>
      <c r="K6" s="11">
        <f t="shared" si="0"/>
        <v>6.5064269790826748</v>
      </c>
    </row>
    <row r="7" spans="2:11" x14ac:dyDescent="0.25">
      <c r="B7" t="s">
        <v>87</v>
      </c>
      <c r="C7" t="s">
        <v>96</v>
      </c>
      <c r="D7">
        <v>0.87</v>
      </c>
      <c r="H7">
        <v>18</v>
      </c>
      <c r="K7" s="11">
        <f t="shared" si="0"/>
        <v>18.569463548830814</v>
      </c>
    </row>
    <row r="8" spans="2:11" x14ac:dyDescent="0.25">
      <c r="B8" t="s">
        <v>88</v>
      </c>
      <c r="C8" t="s">
        <v>101</v>
      </c>
      <c r="D8">
        <v>0.9</v>
      </c>
      <c r="H8">
        <v>2.8</v>
      </c>
      <c r="K8" s="11">
        <f t="shared" si="0"/>
        <v>2.9881895365934641</v>
      </c>
    </row>
    <row r="9" spans="2:11" x14ac:dyDescent="0.25">
      <c r="B9" t="s">
        <v>89</v>
      </c>
      <c r="C9" t="s">
        <v>105</v>
      </c>
      <c r="D9">
        <v>0.9</v>
      </c>
      <c r="H9">
        <v>0.6</v>
      </c>
      <c r="K9" s="11">
        <f t="shared" si="0"/>
        <v>0.64032632927002808</v>
      </c>
    </row>
    <row r="10" spans="2:11" x14ac:dyDescent="0.25">
      <c r="B10" t="s">
        <v>98</v>
      </c>
      <c r="C10" t="s">
        <v>102</v>
      </c>
      <c r="D10">
        <v>0.87</v>
      </c>
      <c r="H10">
        <v>2.7</v>
      </c>
      <c r="K10" s="11">
        <f t="shared" si="0"/>
        <v>2.7854195323246222</v>
      </c>
    </row>
    <row r="11" spans="2:11" x14ac:dyDescent="0.25">
      <c r="B11" t="s">
        <v>90</v>
      </c>
      <c r="C11" t="s">
        <v>91</v>
      </c>
      <c r="D11">
        <v>1</v>
      </c>
      <c r="H11">
        <v>1.4</v>
      </c>
      <c r="K11" s="11">
        <f t="shared" si="0"/>
        <v>1.66010529810748</v>
      </c>
    </row>
    <row r="12" spans="2:11" x14ac:dyDescent="0.25">
      <c r="B12" t="s">
        <v>92</v>
      </c>
      <c r="C12" t="s">
        <v>103</v>
      </c>
      <c r="D12">
        <v>1</v>
      </c>
      <c r="H12">
        <v>1.8</v>
      </c>
      <c r="K12" s="11"/>
    </row>
    <row r="13" spans="2:11" x14ac:dyDescent="0.25">
      <c r="B13" t="s">
        <v>93</v>
      </c>
      <c r="C13" t="s">
        <v>104</v>
      </c>
      <c r="D13">
        <v>1</v>
      </c>
      <c r="H13">
        <v>2</v>
      </c>
      <c r="K13" s="11"/>
    </row>
    <row r="15" spans="2:11" x14ac:dyDescent="0.25">
      <c r="E15" s="16" t="s">
        <v>111</v>
      </c>
      <c r="F15" s="10">
        <f t="shared" ref="F15:G15" si="1">SUMPRODUCT(F$3:F$13/100,$D$3:$D$13)</f>
        <v>0</v>
      </c>
      <c r="G15" s="10">
        <f t="shared" si="1"/>
        <v>0</v>
      </c>
      <c r="H15" s="10">
        <f>SUMPRODUCT(H$3:H$13/100,$D$3:$D$13)</f>
        <v>0.88131999999999999</v>
      </c>
    </row>
    <row r="16" spans="2:11" x14ac:dyDescent="0.25">
      <c r="E16" s="16" t="s">
        <v>121</v>
      </c>
      <c r="H16" s="10">
        <f>SUMPRODUCT(H$3:H$11/100,$D$3:$D$11)</f>
        <v>0.84331999999999996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default</vt:lpstr>
      <vt:lpstr>Sheet1</vt:lpstr>
      <vt:lpstr>Feed rations</vt:lpstr>
    </vt:vector>
  </TitlesOfParts>
  <Company>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2023-05-30T05:07:13Z</dcterms:created>
  <dcterms:modified xsi:type="dcterms:W3CDTF">2025-03-10T14:37:50Z</dcterms:modified>
</cp:coreProperties>
</file>