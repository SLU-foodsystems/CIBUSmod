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1"/>
  </bookViews>
  <sheets>
    <sheet name="references" sheetId="9" r:id="rId1"/>
    <sheet name="default" sheetId="1" r:id="rId2"/>
    <sheet name="feed pars" sheetId="2" r:id="rId3"/>
    <sheet name="feed pars csv" sheetId="8" r:id="rId4"/>
    <sheet name="max SNG" sheetId="10" r:id="rId5"/>
    <sheet name="pigs" sheetId="3" r:id="rId6"/>
    <sheet name="ruminants" sheetId="4" r:id="rId7"/>
    <sheet name="ruminants, roughage" sheetId="6" r:id="rId8"/>
    <sheet name="horses" sheetId="7" r:id="rId9"/>
    <sheet name="poultry" sheetId="5" r:id="rId10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" i="1" l="1"/>
  <c r="U8" i="2" l="1"/>
  <c r="U9" i="2"/>
  <c r="F9" i="2"/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N35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N44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F8" i="2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N33" i="1"/>
  <c r="N34" i="1"/>
  <c r="N5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Q114" i="1"/>
  <c r="Q113" i="1"/>
  <c r="Q112" i="1"/>
  <c r="Q111" i="1"/>
  <c r="Q110" i="1"/>
  <c r="P112" i="1"/>
  <c r="P111" i="1"/>
  <c r="P110" i="1"/>
  <c r="O114" i="1"/>
  <c r="O113" i="1"/>
  <c r="O112" i="1"/>
  <c r="O111" i="1"/>
  <c r="O110" i="1"/>
  <c r="N114" i="1"/>
  <c r="N113" i="1"/>
  <c r="N111" i="1"/>
  <c r="N110" i="1"/>
  <c r="E111" i="1"/>
  <c r="E110" i="1"/>
  <c r="B110" i="1"/>
  <c r="A114" i="1"/>
  <c r="A113" i="1"/>
  <c r="A112" i="1"/>
  <c r="A111" i="1"/>
  <c r="M114" i="1"/>
  <c r="M113" i="1"/>
  <c r="M112" i="1"/>
  <c r="M111" i="1"/>
  <c r="M110" i="1"/>
  <c r="A110" i="1"/>
  <c r="Q107" i="1"/>
  <c r="Q106" i="1"/>
  <c r="Q105" i="1"/>
  <c r="Q104" i="1"/>
  <c r="Q103" i="1"/>
  <c r="P105" i="1"/>
  <c r="P104" i="1"/>
  <c r="P103" i="1"/>
  <c r="O107" i="1"/>
  <c r="N107" i="1"/>
  <c r="O106" i="1"/>
  <c r="N106" i="1"/>
  <c r="O105" i="1"/>
  <c r="O104" i="1"/>
  <c r="N104" i="1"/>
  <c r="O103" i="1"/>
  <c r="N103" i="1"/>
  <c r="M107" i="1"/>
  <c r="M106" i="1"/>
  <c r="M105" i="1"/>
  <c r="M104" i="1"/>
  <c r="M103" i="1"/>
  <c r="E104" i="1"/>
  <c r="E103" i="1"/>
  <c r="B103" i="1"/>
  <c r="A107" i="1"/>
  <c r="A106" i="1"/>
  <c r="A105" i="1"/>
  <c r="A104" i="1"/>
  <c r="A103" i="1"/>
  <c r="N98" i="1"/>
  <c r="N92" i="1"/>
  <c r="N91" i="1"/>
  <c r="N112" i="1" l="1"/>
  <c r="N105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N30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N15" i="1" s="1"/>
  <c r="N24" i="2"/>
  <c r="N38" i="1"/>
  <c r="N10" i="1"/>
  <c r="N9" i="1"/>
  <c r="N6" i="1"/>
  <c r="N7" i="1"/>
  <c r="N8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N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N21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N20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N12" i="1" s="1"/>
  <c r="AF13" i="2"/>
  <c r="AJ13" i="2" s="1"/>
  <c r="F13" i="2" s="1"/>
  <c r="E10" i="8" s="1"/>
  <c r="AG13" i="2"/>
  <c r="AI13" i="2"/>
  <c r="E13" i="2" s="1"/>
  <c r="D10" i="8" s="1"/>
  <c r="N17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N41" i="1"/>
  <c r="N42" i="1" s="1"/>
  <c r="N36" i="1"/>
  <c r="N37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N25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N28" i="1"/>
  <c r="N27" i="1"/>
  <c r="N16" i="1"/>
  <c r="N26" i="1"/>
  <c r="N40" i="1"/>
  <c r="N13" i="1"/>
  <c r="N39" i="1"/>
  <c r="N29" i="1"/>
  <c r="N14" i="1"/>
  <c r="N32" i="1"/>
  <c r="N45" i="1"/>
  <c r="N11" i="1"/>
  <c r="N18" i="1"/>
  <c r="N43" i="1"/>
  <c r="AE38" i="2"/>
  <c r="AN35" i="8" s="1"/>
  <c r="AC37" i="2" l="1"/>
  <c r="AG34" i="8" s="1"/>
  <c r="D43" i="2"/>
  <c r="C40" i="8" s="1"/>
  <c r="AC42" i="2"/>
  <c r="AG39" i="8" s="1"/>
  <c r="N19" i="1"/>
</calcChain>
</file>

<file path=xl/sharedStrings.xml><?xml version="1.0" encoding="utf-8"?>
<sst xmlns="http://schemas.openxmlformats.org/spreadsheetml/2006/main" count="1567" uniqueCount="651">
  <si>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</si>
  <si>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</si>
  <si>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</si>
  <si>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</si>
  <si>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</si>
  <si>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</si>
  <si>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</si>
  <si>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</si>
  <si>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</si>
  <si>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</si>
  <si>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</si>
  <si>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</si>
  <si>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</si>
  <si>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</si>
  <si>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</si>
  <si>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</si>
  <si>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</si>
  <si>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</si>
  <si>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</si>
  <si>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</si>
  <si>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</si>
  <si>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</si>
  <si>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</si>
  <si>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</si>
  <si>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</si>
  <si>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</si>
  <si>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</si>
  <si>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</si>
  <si>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</si>
  <si>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</si>
  <si>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</si>
  <si>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</si>
  <si>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</si>
  <si>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</si>
  <si>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</si>
  <si>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</si>
  <si>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</si>
  <si>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</si>
  <si>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</si>
  <si>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</si>
  <si>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</si>
  <si>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</si>
  <si>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</si>
  <si>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</si>
  <si>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</si>
  <si>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</si>
  <si>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</si>
  <si>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</si>
  <si>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</si>
  <si>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</si>
  <si>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</si>
  <si>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</si>
  <si>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</si>
  <si>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</si>
  <si>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</si>
  <si>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</si>
  <si>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</si>
  <si>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</si>
  <si>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</si>
  <si>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</si>
  <si>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</si>
  <si>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</si>
  <si>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</si>
  <si>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</si>
  <si>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</si>
  <si>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</si>
  <si>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</si>
  <si>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</si>
  <si>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</si>
  <si>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</si>
  <si>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</si>
  <si>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</si>
  <si>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</si>
  <si>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</si>
  <si>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</si>
  <si>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</si>
  <si>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</si>
  <si>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</si>
  <si>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</si>
  <si>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</si>
  <si>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</si>
  <si>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</si>
  <si>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</si>
  <si>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</si>
  <si>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</si>
  <si>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</si>
  <si>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</si>
  <si>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</si>
  <si>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</si>
  <si>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</si>
  <si>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</si>
  <si>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</si>
  <si>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</si>
  <si>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</si>
  <si>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</si>
  <si>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</si>
  <si>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</si>
  <si>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</si>
  <si>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</si>
  <si>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</si>
  <si>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</si>
  <si>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</si>
  <si>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</si>
  <si>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</si>
  <si>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</si>
  <si>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</si>
  <si>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</si>
  <si>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</si>
  <si>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</si>
  <si>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</si>
  <si>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</si>
  <si>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</si>
  <si>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</si>
  <si>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</si>
  <si>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</si>
  <si>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</si>
  <si>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</si>
  <si>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</si>
  <si>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</si>
  <si>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</si>
  <si>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</si>
  <si>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</si>
  <si>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</si>
  <si>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</si>
  <si>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</si>
  <si>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</si>
  <si>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</si>
  <si>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</si>
  <si>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</si>
  <si>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</si>
  <si>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</si>
  <si>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</si>
  <si>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</si>
  <si>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</si>
  <si>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</si>
  <si>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</si>
  <si>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</si>
  <si>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</si>
  <si>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</si>
  <si>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</si>
  <si>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</si>
  <si>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</si>
  <si>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</si>
  <si>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</si>
  <si>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</si>
  <si>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</si>
  <si>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</si>
  <si>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</si>
  <si>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</si>
  <si>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</si>
  <si>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</si>
  <si>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</si>
  <si>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</si>
  <si>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</si>
  <si>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</si>
  <si>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</si>
  <si>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</si>
  <si>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</si>
  <si>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</si>
  <si>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</si>
  <si>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</si>
  <si>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</si>
  <si>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</si>
  <si>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</si>
  <si>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</si>
  <si>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</si>
  <si>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</si>
  <si>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</si>
  <si>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</si>
  <si>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</si>
  <si>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</si>
  <si>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</si>
  <si>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</si>
  <si>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</si>
  <si>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</si>
  <si>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</si>
  <si>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</si>
  <si>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</si>
  <si>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</si>
  <si>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</si>
  <si>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</si>
  <si>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</si>
  <si>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</si>
  <si>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</si>
  <si>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</si>
  <si>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</si>
  <si>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</si>
  <si>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</si>
  <si>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</si>
  <si>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</si>
  <si>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</si>
  <si>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</si>
  <si>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</si>
  <si>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</si>
  <si>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</si>
  <si>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</si>
  <si>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</si>
  <si>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</si>
  <si>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</si>
  <si>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</si>
  <si>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</si>
  <si>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</si>
  <si>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</si>
  <si>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</si>
  <si>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</si>
  <si>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</si>
  <si>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</si>
  <si>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</si>
  <si>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</si>
  <si>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</si>
  <si>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</si>
  <si>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</si>
  <si>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</si>
  <si>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</si>
  <si>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</si>
  <si>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</si>
  <si>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</si>
  <si>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</si>
  <si>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</si>
  <si>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</si>
  <si>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</si>
  <si>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</si>
  <si>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</si>
  <si>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</si>
  <si>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</si>
  <si>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</si>
  <si>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</si>
  <si>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</si>
  <si>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</si>
  <si>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</si>
  <si>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</si>
  <si>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</si>
  <si>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</si>
  <si>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</si>
  <si>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</si>
  <si>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</si>
  <si>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</si>
  <si>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</si>
  <si>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</si>
  <si>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</si>
  <si>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</si>
  <si>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</si>
  <si>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</si>
  <si>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</si>
  <si>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</si>
  <si>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</si>
  <si>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</si>
  <si>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</si>
  <si>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</si>
  <si>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</si>
  <si>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</si>
  <si>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</si>
  <si>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</si>
  <si>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</si>
  <si>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</si>
  <si>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</si>
  <si>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</si>
  <si>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</si>
  <si>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</si>
  <si>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</si>
  <si>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</si>
  <si>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</si>
  <si>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</si>
  <si>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</si>
  <si>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</si>
  <si>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</si>
  <si>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</si>
  <si>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</si>
  <si>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</si>
  <si>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</si>
  <si>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</si>
  <si>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</si>
  <si>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</si>
  <si>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</si>
  <si>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</si>
  <si>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</si>
  <si>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</si>
  <si>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</si>
  <si>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</si>
  <si>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</si>
  <si>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</si>
  <si>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</si>
  <si>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</si>
  <si>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</si>
  <si>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</si>
  <si>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</si>
  <si>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</si>
  <si>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</si>
  <si>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</si>
  <si>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</si>
  <si>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</si>
  <si>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</si>
  <si>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</si>
  <si>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</si>
  <si>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</si>
  <si>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</si>
  <si>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</si>
  <si>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</si>
  <si>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</si>
  <si>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</si>
  <si>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</si>
  <si>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</si>
  <si>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</si>
  <si>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</si>
  <si>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</si>
  <si>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</si>
  <si>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</si>
  <si>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</si>
  <si>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</si>
  <si>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</si>
  <si>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</si>
  <si>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</si>
  <si>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</si>
  <si>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</si>
  <si>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</si>
  <si>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</si>
  <si>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</si>
  <si>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</si>
  <si>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</si>
  <si>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</si>
  <si>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</si>
  <si>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</si>
  <si>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</si>
  <si>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</si>
  <si>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</si>
  <si>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</si>
  <si>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</si>
  <si>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</si>
  <si>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</si>
  <si>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</si>
  <si>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</si>
  <si>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</si>
  <si>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</si>
  <si>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</si>
  <si>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</si>
  <si>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</si>
  <si>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</si>
  <si>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</si>
  <si>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</si>
  <si>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</si>
  <si>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</si>
  <si>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</si>
  <si>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</si>
  <si>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</si>
  <si>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</si>
  <si>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</si>
  <si>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</si>
  <si>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</si>
  <si>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</si>
  <si>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</si>
  <si>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</si>
  <si>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</si>
  <si>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</si>
  <si>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</si>
  <si>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</si>
  <si>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</si>
  <si>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</si>
  <si>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</si>
  <si>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</si>
  <si>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</si>
  <si>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</si>
  <si>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</si>
  <si>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</si>
  <si>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</si>
  <si>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</si>
  <si>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</si>
  <si>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</si>
  <si>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</si>
  <si>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</si>
  <si>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</si>
  <si>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</si>
  <si>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</si>
  <si>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</si>
  <si>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</si>
  <si>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</si>
  <si>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</si>
  <si>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</si>
  <si>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</si>
  <si>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</si>
  <si>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</si>
  <si>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</si>
  <si>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</si>
  <si>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</si>
  <si>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</si>
  <si>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</si>
  <si>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</si>
  <si>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</si>
  <si>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</si>
  <si>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</si>
  <si>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</si>
  <si>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</si>
  <si>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</si>
  <si>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</si>
  <si>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</si>
  <si>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</si>
  <si>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</si>
  <si>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</si>
  <si>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</si>
  <si>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</si>
  <si>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</si>
  <si>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</si>
  <si>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</si>
  <si>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</si>
  <si>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</si>
  <si>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</si>
  <si>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</si>
  <si>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</si>
  <si>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</si>
  <si>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</si>
  <si>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</si>
  <si>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</si>
  <si>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</si>
  <si>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</si>
  <si>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</si>
  <si>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</si>
  <si>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</si>
  <si>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</si>
  <si>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</si>
  <si>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</si>
  <si>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</si>
  <si>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</si>
  <si>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</si>
  <si>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</si>
  <si>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</si>
  <si>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</si>
  <si>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</si>
  <si>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</si>
  <si>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</si>
  <si>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</si>
  <si>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</si>
  <si>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</si>
  <si>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</si>
  <si>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</si>
  <si>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</si>
  <si>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</si>
  <si>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</si>
  <si>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</si>
  <si>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</si>
  <si>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</si>
  <si>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</si>
  <si>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</si>
  <si>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</si>
  <si>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</si>
  <si>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</si>
  <si>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</si>
  <si>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</si>
  <si>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</si>
  <si>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</si>
  <si>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</si>
  <si>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</si>
  <si>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</si>
  <si>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</si>
  <si>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</si>
  <si>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</si>
  <si>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</si>
  <si>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</si>
  <si>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</si>
  <si>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</si>
  <si>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</si>
  <si>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</si>
  <si>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</si>
  <si>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</si>
  <si>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</si>
  <si>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</si>
  <si>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</si>
  <si>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</si>
  <si>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</si>
  <si>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</si>
  <si>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</si>
  <si>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</si>
  <si>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</si>
  <si>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</si>
  <si>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</si>
  <si>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</si>
  <si>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</si>
  <si>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</si>
  <si>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</si>
  <si>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</si>
  <si>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</si>
  <si>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</si>
  <si>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</si>
  <si>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</si>
  <si>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</si>
  <si>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</si>
  <si>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</si>
  <si>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</si>
  <si>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</si>
  <si>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</si>
  <si>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</si>
  <si>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</si>
  <si>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</si>
  <si>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</si>
  <si>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</si>
  <si>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</si>
  <si>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</si>
  <si>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</si>
  <si>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</si>
  <si>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</si>
  <si>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</si>
  <si>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</si>
  <si>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</si>
  <si>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</si>
  <si>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</si>
  <si>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</si>
  <si>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</si>
  <si>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</si>
  <si>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</si>
  <si>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</si>
  <si>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</si>
  <si>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</si>
  <si>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</si>
  <si>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</si>
  <si>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</si>
  <si>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</si>
  <si>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</si>
  <si>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</si>
  <si>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</si>
  <si>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</si>
  <si>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</si>
  <si>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</si>
  <si>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</si>
  <si>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</si>
  <si>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</si>
  <si>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</si>
  <si>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</si>
  <si>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</si>
  <si>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</si>
  <si>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</si>
  <si>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</si>
  <si>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</si>
  <si>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</si>
  <si>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</si>
  <si>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</si>
  <si>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</si>
  <si>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</si>
  <si>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</si>
  <si>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</si>
  <si>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</si>
  <si>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</si>
  <si>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</si>
  <si>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</si>
  <si>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</si>
  <si>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</si>
  <si>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</si>
  <si>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</si>
  <si>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</si>
  <si>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</si>
  <si>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</si>
  <si>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</si>
  <si>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</si>
  <si>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</si>
  <si>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</si>
  <si>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</si>
  <si>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</si>
  <si>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</si>
  <si>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</si>
  <si>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</si>
  <si>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</si>
  <si>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</si>
  <si>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</si>
  <si>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</si>
  <si>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</si>
  <si>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</si>
  <si>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</si>
  <si>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</si>
  <si>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</si>
  <si>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</si>
  <si>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</si>
  <si>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</si>
  <si>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</si>
  <si>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</si>
  <si>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</si>
  <si>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</si>
  <si>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</si>
  <si>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</si>
  <si>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</si>
  <si>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</si>
  <si>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</si>
  <si>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</si>
  <si>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</si>
  <si>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</si>
  <si>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</si>
  <si>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</si>
  <si>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</si>
  <si>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</si>
  <si>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</si>
  <si>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</si>
  <si>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</si>
  <si>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</si>
  <si>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</si>
  <si>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</si>
  <si>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</si>
  <si>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</si>
  <si>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</si>
  <si>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</si>
  <si>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</si>
  <si>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</si>
  <si>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</si>
  <si>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</si>
  <si>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</si>
  <si>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</si>
  <si>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</si>
  <si>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</si>
  <si>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</si>
  <si>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</si>
  <si>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</si>
  <si>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</si>
  <si>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</si>
  <si>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</si>
  <si>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</si>
  <si>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</si>
  <si>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</si>
  <si>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</si>
  <si>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</si>
  <si>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</si>
  <si>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</si>
  <si>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</si>
  <si>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</si>
  <si>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</si>
  <si>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</si>
  <si>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</si>
  <si>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</si>
  <si>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</si>
  <si>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</si>
  <si>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</si>
  <si>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</si>
  <si>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</si>
  <si>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</si>
  <si>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</si>
  <si>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</si>
  <si>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</si>
  <si>
    <t>f_feed_group:feed</t>
  </si>
  <si>
    <t>ley silage</t>
  </si>
  <si>
    <t>hay and straw</t>
  </si>
  <si>
    <t>dry concentrates</t>
  </si>
  <si>
    <t>wet concentrates</t>
  </si>
  <si>
    <t>??</t>
  </si>
  <si>
    <t>Statistics Netherlands (2012) Standardised calculation methods for animal manure and nutrients. Standard data 1990–2008</t>
  </si>
  <si>
    <t>Statistics Netherlands (2012)</t>
  </si>
  <si>
    <t>Cederberg &amp; Henriksson (2020)</t>
  </si>
  <si>
    <t>for cattle</t>
  </si>
  <si>
    <t>Cederberg, C. &amp; Henriksson, M. (2020). Gräsmarkernas användning i jordbruket</t>
  </si>
  <si>
    <t>f_crop_resid</t>
  </si>
  <si>
    <t>Conversion factors: Feeds --&gt; crop products, by-products or crop residues</t>
  </si>
  <si>
    <t>Crop products</t>
  </si>
  <si>
    <t>By-products</t>
  </si>
  <si>
    <t>Crop residues</t>
  </si>
  <si>
    <r>
      <rPr>
        <b/>
        <sz val="11"/>
        <color rgb="FF00B0F0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Setting this parameter too close to 100% may cause problems.</t>
    </r>
  </si>
  <si>
    <t>milling by-products from wheat, barley or rye</t>
  </si>
  <si>
    <t>milling by-products from oats</t>
  </si>
  <si>
    <t>add as crop product?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</si>
</sst>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C5" sqref="C5"/>
    </sheetView>
  </sheetViews>
  <sheetFormatPr defaultRowHeight="15" x14ac:dyDescent="0.25"/>
  <sheetData>
    <row r="1" spans="1:1" x14ac:dyDescent="0.25">
      <c r="A1" t="s">
        <v>637</v>
      </c>
    </row>
    <row r="2" spans="1:1" x14ac:dyDescent="0.25">
      <c r="A2" t="s">
        <v>641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abSelected="1" zoomScale="80" zoomScaleNormal="80" workbookViewId="0">
      <pane ySplit="1" topLeftCell="A56" activePane="bottomLeft" state="frozen"/>
      <selection pane="bottomLeft" activeCell="I76" sqref="I76"/>
    </sheetView>
  </sheetViews>
  <sheetFormatPr defaultRowHeight="15" x14ac:dyDescent="0.25"/>
  <cols>
    <col min="6" max="7" width="20.28515625" customWidth="1"/>
    <col min="8" max="8" width="23.5703125" bestFit="1" customWidth="1"/>
    <col min="9" max="9" width="19.5703125" bestFit="1" customWidth="1"/>
    <col min="10" max="11" width="20.140625" customWidth="1"/>
    <col min="12" max="12" width="9.7109375" customWidth="1"/>
    <col min="13" max="13" width="16.42578125" bestFit="1" customWidth="1"/>
    <col min="14" max="14" width="25.85546875" bestFit="1" customWidth="1"/>
    <col min="15" max="15" width="12.7109375" bestFit="1" customWidth="1"/>
    <col min="16" max="16" width="38.140625" customWidth="1"/>
    <col min="17" max="17" width="58" customWidth="1"/>
  </cols>
  <sheetData>
    <row r="1" spans="1:18" x14ac:dyDescent="0.25">
      <c r="A1" s="4" t="s">
        <v>18</v>
      </c>
      <c r="B1" s="4" t="s">
        <v>13</v>
      </c>
      <c r="C1" s="4" t="s">
        <v>12</v>
      </c>
      <c r="D1" s="4" t="s">
        <v>14</v>
      </c>
      <c r="E1" s="4" t="s">
        <v>15</v>
      </c>
      <c r="F1" s="4" t="s">
        <v>0</v>
      </c>
      <c r="G1" s="4" t="s">
        <v>631</v>
      </c>
      <c r="H1" s="4" t="s">
        <v>313</v>
      </c>
      <c r="I1" s="4" t="s">
        <v>1</v>
      </c>
      <c r="J1" s="4" t="s">
        <v>8</v>
      </c>
      <c r="K1" s="4" t="s">
        <v>642</v>
      </c>
      <c r="L1" s="4" t="s">
        <v>583</v>
      </c>
      <c r="M1" s="4" t="s">
        <v>3</v>
      </c>
      <c r="N1" s="4" t="s">
        <v>4</v>
      </c>
      <c r="O1" s="4" t="s">
        <v>5</v>
      </c>
      <c r="P1" s="4" t="s">
        <v>6</v>
      </c>
      <c r="Q1" s="4" t="s">
        <v>7</v>
      </c>
    </row>
    <row r="2" spans="1:18" x14ac:dyDescent="0.25">
      <c r="A2" s="1" t="s">
        <v>643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 t="s">
        <v>584</v>
      </c>
      <c r="P2" s="20" t="s">
        <v>298</v>
      </c>
      <c r="Q2" s="2"/>
      <c r="R2" s="5"/>
    </row>
    <row r="3" spans="1:18" x14ac:dyDescent="0.25">
      <c r="M3" s="6" t="s">
        <v>27</v>
      </c>
      <c r="N3" s="17">
        <v>0</v>
      </c>
      <c r="O3" s="6"/>
      <c r="P3" s="6" t="s">
        <v>29</v>
      </c>
    </row>
    <row r="4" spans="1:18" x14ac:dyDescent="0.25">
      <c r="A4" s="103" t="s">
        <v>644</v>
      </c>
      <c r="M4" s="6"/>
      <c r="N4" s="17"/>
      <c r="O4" s="6"/>
      <c r="P4" s="6"/>
    </row>
    <row r="5" spans="1:18" x14ac:dyDescent="0.25">
      <c r="F5" t="s">
        <v>299</v>
      </c>
      <c r="I5" t="s">
        <v>9</v>
      </c>
      <c r="M5" t="s">
        <v>27</v>
      </c>
      <c r="N5" s="18">
        <f>1/INDEX('feed pars'!C$6:C$46/100,MATCH(F5,'feed pars'!B$6:B$46,0))</f>
        <v>1</v>
      </c>
    </row>
    <row r="6" spans="1:18" x14ac:dyDescent="0.25">
      <c r="F6" t="s">
        <v>300</v>
      </c>
      <c r="I6" t="s">
        <v>9</v>
      </c>
      <c r="M6" t="s">
        <v>27</v>
      </c>
      <c r="N6" s="18">
        <f>1/INDEX('feed pars'!C$6:C$46/100,MATCH(F6,'feed pars'!B$6:B$46,0))</f>
        <v>1</v>
      </c>
    </row>
    <row r="7" spans="1:18" x14ac:dyDescent="0.25">
      <c r="F7" t="s">
        <v>301</v>
      </c>
      <c r="I7" t="s">
        <v>9</v>
      </c>
      <c r="M7" t="s">
        <v>27</v>
      </c>
      <c r="N7" s="18">
        <f>1/INDEX('feed pars'!C$6:C$46/100,MATCH(F7,'feed pars'!B$6:B$46,0))</f>
        <v>1</v>
      </c>
    </row>
    <row r="8" spans="1:18" x14ac:dyDescent="0.25">
      <c r="F8" t="s">
        <v>2</v>
      </c>
      <c r="I8" t="s">
        <v>9</v>
      </c>
      <c r="M8" t="s">
        <v>27</v>
      </c>
      <c r="N8" s="18">
        <f>1/INDEX('feed pars'!C$6:C$46/100,MATCH(F8,'feed pars'!B$6:B$46,0))</f>
        <v>1</v>
      </c>
    </row>
    <row r="9" spans="1:18" x14ac:dyDescent="0.25">
      <c r="F9" t="s">
        <v>11</v>
      </c>
      <c r="I9" t="s">
        <v>10</v>
      </c>
      <c r="M9" t="s">
        <v>27</v>
      </c>
      <c r="N9" s="18">
        <f>1/INDEX('feed pars'!C$6:C$46/100,MATCH(F9,'feed pars'!B$6:B$46,0))</f>
        <v>1</v>
      </c>
    </row>
    <row r="10" spans="1:18" x14ac:dyDescent="0.25">
      <c r="F10" t="s">
        <v>28</v>
      </c>
      <c r="I10" t="s">
        <v>28</v>
      </c>
      <c r="M10" t="s">
        <v>27</v>
      </c>
      <c r="N10" s="18">
        <f>1/INDEX('feed pars'!C$6:C$46/100,MATCH(F10,'feed pars'!B$6:B$46,0))</f>
        <v>1</v>
      </c>
    </row>
    <row r="11" spans="1:18" x14ac:dyDescent="0.25">
      <c r="F11" t="s">
        <v>16</v>
      </c>
      <c r="I11" t="s">
        <v>16</v>
      </c>
      <c r="M11" t="s">
        <v>27</v>
      </c>
      <c r="N11" s="18">
        <f>1/INDEX('feed pars'!C$6:C$46/100,MATCH(F11,'feed pars'!B$6:B$46,0))</f>
        <v>1.1627906976744187</v>
      </c>
    </row>
    <row r="12" spans="1:18" x14ac:dyDescent="0.25">
      <c r="F12" t="s">
        <v>32</v>
      </c>
      <c r="I12" t="s">
        <v>32</v>
      </c>
      <c r="M12" t="s">
        <v>27</v>
      </c>
      <c r="N12" s="18">
        <f>1/INDEX('feed pars'!C$6:C$46/100,MATCH(F12,'feed pars'!B$6:B$46,0))</f>
        <v>1.1627906976744187</v>
      </c>
    </row>
    <row r="13" spans="1:18" x14ac:dyDescent="0.25">
      <c r="F13" t="s">
        <v>33</v>
      </c>
      <c r="I13" t="s">
        <v>33</v>
      </c>
      <c r="M13" t="s">
        <v>27</v>
      </c>
      <c r="N13" s="18">
        <f>1/INDEX('feed pars'!C$6:C$46/100,MATCH(F13,'feed pars'!B$6:B$46,0))</f>
        <v>1.1627906976744187</v>
      </c>
    </row>
    <row r="14" spans="1:18" x14ac:dyDescent="0.25">
      <c r="F14" t="s">
        <v>34</v>
      </c>
      <c r="I14" t="s">
        <v>34</v>
      </c>
      <c r="M14" t="s">
        <v>27</v>
      </c>
      <c r="N14" s="18">
        <f>1/INDEX('feed pars'!C$6:C$46/100,MATCH(F14,'feed pars'!B$6:B$46,0))</f>
        <v>1.1627906976744187</v>
      </c>
    </row>
    <row r="15" spans="1:18" x14ac:dyDescent="0.25">
      <c r="F15" t="s">
        <v>305</v>
      </c>
      <c r="I15" t="s">
        <v>305</v>
      </c>
      <c r="M15" t="s">
        <v>27</v>
      </c>
      <c r="N15" s="18">
        <f>1/INDEX('feed pars'!C$6:C$46/100,MATCH(F15,'feed pars'!B$6:B$46,0))</f>
        <v>1.1627906976744187</v>
      </c>
    </row>
    <row r="16" spans="1:18" x14ac:dyDescent="0.25">
      <c r="F16" t="s">
        <v>35</v>
      </c>
      <c r="I16" t="s">
        <v>35</v>
      </c>
      <c r="M16" t="s">
        <v>27</v>
      </c>
      <c r="N16" s="18">
        <f>1/INDEX('feed pars'!C$6:C$46/100,MATCH(F16,'feed pars'!B$6:B$46,0))</f>
        <v>1.1627906976744187</v>
      </c>
    </row>
    <row r="17" spans="1:16" x14ac:dyDescent="0.25">
      <c r="F17" t="s">
        <v>36</v>
      </c>
      <c r="I17" t="s">
        <v>36</v>
      </c>
      <c r="M17" t="s">
        <v>27</v>
      </c>
      <c r="N17" s="18">
        <f>1/INDEX('feed pars'!C$6:C$46/100,MATCH(F17,'feed pars'!B$6:B$46,0))</f>
        <v>1.1764705882352942</v>
      </c>
    </row>
    <row r="18" spans="1:16" x14ac:dyDescent="0.25">
      <c r="F18" t="s">
        <v>37</v>
      </c>
      <c r="I18" t="s">
        <v>37</v>
      </c>
      <c r="M18" t="s">
        <v>27</v>
      </c>
      <c r="N18" s="18">
        <f>1/INDEX('feed pars'!C$6:C$46/100,MATCH(F18,'feed pars'!B$6:B$46,0))</f>
        <v>1.1764705882352942</v>
      </c>
    </row>
    <row r="19" spans="1:16" x14ac:dyDescent="0.25">
      <c r="F19" t="s">
        <v>30</v>
      </c>
      <c r="I19" t="s">
        <v>30</v>
      </c>
      <c r="M19" t="s">
        <v>27</v>
      </c>
      <c r="N19" s="18">
        <f>1/INDEX('feed pars'!C$6:C$46/100,MATCH(F19,'feed pars'!B$6:B$46,0))</f>
        <v>1.0989010989010988</v>
      </c>
    </row>
    <row r="20" spans="1:16" x14ac:dyDescent="0.25">
      <c r="F20" t="s">
        <v>38</v>
      </c>
      <c r="I20" t="s">
        <v>38</v>
      </c>
      <c r="M20" t="s">
        <v>27</v>
      </c>
      <c r="N20" s="18">
        <f>1/INDEX('feed pars'!C$6:C$46/100,MATCH(F20,'feed pars'!B$6:B$46,0))</f>
        <v>1.0989010989010988</v>
      </c>
    </row>
    <row r="21" spans="1:16" x14ac:dyDescent="0.25">
      <c r="F21" s="3" t="s">
        <v>303</v>
      </c>
      <c r="G21" s="3"/>
      <c r="H21" s="3"/>
      <c r="I21" s="3" t="s">
        <v>30</v>
      </c>
      <c r="J21" s="3"/>
      <c r="K21" s="3"/>
      <c r="L21" s="3"/>
      <c r="M21" s="3" t="s">
        <v>27</v>
      </c>
      <c r="N21" s="16">
        <f>1/INDEX('feed pars'!C$6:C$46/100,MATCH(F21,'feed pars'!B$6:B$46,0))*1/0.38</f>
        <v>2.6315789473684212</v>
      </c>
    </row>
    <row r="22" spans="1:16" x14ac:dyDescent="0.25">
      <c r="F22" s="3" t="s">
        <v>303</v>
      </c>
      <c r="G22" s="3"/>
      <c r="H22" s="3"/>
      <c r="I22" s="3" t="s">
        <v>30</v>
      </c>
      <c r="J22" s="3" t="s">
        <v>31</v>
      </c>
      <c r="K22" s="3"/>
      <c r="L22" s="3"/>
      <c r="M22" s="3" t="s">
        <v>304</v>
      </c>
      <c r="N22" s="18"/>
      <c r="P22" s="3" t="s">
        <v>309</v>
      </c>
    </row>
    <row r="23" spans="1:16" x14ac:dyDescent="0.25">
      <c r="F23" s="21" t="s">
        <v>306</v>
      </c>
      <c r="G23" s="21"/>
      <c r="H23" s="21"/>
      <c r="I23" s="21" t="s">
        <v>306</v>
      </c>
      <c r="J23" s="21"/>
      <c r="K23" s="21"/>
      <c r="L23" s="21"/>
      <c r="M23" s="21" t="s">
        <v>27</v>
      </c>
      <c r="N23" s="18">
        <f>1/INDEX('feed pars'!C$6:C$46/100,MATCH(F23,'feed pars'!B$6:B$46,0))</f>
        <v>1.1494252873563218</v>
      </c>
      <c r="O23" s="21"/>
      <c r="P23" s="3"/>
    </row>
    <row r="24" spans="1:16" x14ac:dyDescent="0.25">
      <c r="A24" s="103" t="s">
        <v>645</v>
      </c>
      <c r="F24" s="21"/>
      <c r="G24" s="21"/>
      <c r="H24" s="21"/>
      <c r="I24" s="21"/>
      <c r="J24" s="21"/>
      <c r="K24" s="21"/>
      <c r="L24" s="21"/>
      <c r="M24" s="21"/>
      <c r="N24" s="18"/>
      <c r="O24" s="21"/>
      <c r="P24" s="3"/>
    </row>
    <row r="25" spans="1:16" x14ac:dyDescent="0.25">
      <c r="F25" t="s">
        <v>39</v>
      </c>
      <c r="J25" t="s">
        <v>39</v>
      </c>
      <c r="M25" t="s">
        <v>27</v>
      </c>
      <c r="N25" s="18">
        <f>1/INDEX('feed pars'!C$6:C$46/100,MATCH(F25,'feed pars'!B$6:B$46,0))</f>
        <v>1.1428571428571428</v>
      </c>
    </row>
    <row r="26" spans="1:16" x14ac:dyDescent="0.25">
      <c r="F26" s="3" t="s">
        <v>40</v>
      </c>
      <c r="G26" s="3"/>
      <c r="H26" s="3"/>
      <c r="I26" s="3"/>
      <c r="J26" s="3" t="s">
        <v>40</v>
      </c>
      <c r="K26" s="3"/>
      <c r="L26" s="3"/>
      <c r="M26" s="3" t="s">
        <v>27</v>
      </c>
      <c r="N26" s="16">
        <f>1/INDEX('feed pars'!C$6:C$46/100,MATCH(F26,'feed pars'!B$6:B$46,0))</f>
        <v>1.1428571428571428</v>
      </c>
      <c r="O26" s="3"/>
      <c r="P26" s="3" t="s">
        <v>585</v>
      </c>
    </row>
    <row r="27" spans="1:16" x14ac:dyDescent="0.25">
      <c r="F27" t="s">
        <v>31</v>
      </c>
      <c r="J27" t="s">
        <v>31</v>
      </c>
      <c r="M27" t="s">
        <v>27</v>
      </c>
      <c r="N27" s="18">
        <f>1/INDEX('feed pars'!C$6:C$46/100,MATCH(F27,'feed pars'!B$6:B$46,0))</f>
        <v>1.1173184357541899</v>
      </c>
    </row>
    <row r="28" spans="1:16" x14ac:dyDescent="0.25">
      <c r="F28" t="s">
        <v>41</v>
      </c>
      <c r="J28" t="s">
        <v>41</v>
      </c>
      <c r="M28" t="s">
        <v>27</v>
      </c>
      <c r="N28" s="18">
        <f>1/INDEX('feed pars'!C$6:C$46/100,MATCH(F28,'feed pars'!B$6:B$46,0))</f>
        <v>1.0989010989010988</v>
      </c>
    </row>
    <row r="29" spans="1:16" x14ac:dyDescent="0.25">
      <c r="F29" t="s">
        <v>42</v>
      </c>
      <c r="J29" t="s">
        <v>42</v>
      </c>
      <c r="M29" t="s">
        <v>27</v>
      </c>
      <c r="N29" s="18">
        <f>1/INDEX('feed pars'!C$6:C$46/100,MATCH(F29,'feed pars'!B$6:B$46,0))</f>
        <v>1.0989010989010988</v>
      </c>
    </row>
    <row r="30" spans="1:16" x14ac:dyDescent="0.25">
      <c r="F30" s="3" t="s">
        <v>307</v>
      </c>
      <c r="G30" s="3"/>
      <c r="H30" s="3"/>
      <c r="I30" s="3"/>
      <c r="J30" s="3" t="s">
        <v>307</v>
      </c>
      <c r="K30" s="3"/>
      <c r="L30" s="3"/>
      <c r="M30" s="3" t="s">
        <v>27</v>
      </c>
      <c r="N30" s="16">
        <f>1/INDEX('feed pars'!C$6:C$46/100,MATCH(F30,'feed pars'!B$6:B$46,0))</f>
        <v>1.1111111111111112</v>
      </c>
      <c r="O30" s="3"/>
      <c r="P30" s="3" t="s">
        <v>650</v>
      </c>
    </row>
    <row r="31" spans="1:16" x14ac:dyDescent="0.25">
      <c r="F31" t="s">
        <v>43</v>
      </c>
      <c r="J31" t="s">
        <v>648</v>
      </c>
      <c r="M31" t="s">
        <v>27</v>
      </c>
      <c r="N31" s="18">
        <f>1/INDEX('feed pars'!C$6:C$46/100,MATCH(F31,'feed pars'!B$6:B$46,0))</f>
        <v>1.1494252873563218</v>
      </c>
    </row>
    <row r="32" spans="1:16" x14ac:dyDescent="0.25">
      <c r="F32" t="s">
        <v>44</v>
      </c>
      <c r="J32" t="s">
        <v>648</v>
      </c>
      <c r="M32" t="s">
        <v>27</v>
      </c>
      <c r="N32" s="18">
        <f>1/INDEX('feed pars'!C$6:C$46/100,MATCH(F32,'feed pars'!B$6:B$46,0))</f>
        <v>1.1389521640091116</v>
      </c>
    </row>
    <row r="33" spans="1:14" x14ac:dyDescent="0.25">
      <c r="F33" t="s">
        <v>586</v>
      </c>
      <c r="J33" t="s">
        <v>649</v>
      </c>
      <c r="M33" t="s">
        <v>27</v>
      </c>
      <c r="N33" s="18">
        <f>1/INDEX('feed pars'!C$6:C$46/100,MATCH(F33,'feed pars'!B$6:B$46,0))</f>
        <v>1.1415525114155252</v>
      </c>
    </row>
    <row r="34" spans="1:14" x14ac:dyDescent="0.25">
      <c r="F34" t="s">
        <v>587</v>
      </c>
      <c r="J34" t="s">
        <v>649</v>
      </c>
      <c r="M34" t="s">
        <v>27</v>
      </c>
      <c r="N34" s="18">
        <f>1/INDEX('feed pars'!C$6:C$46/100,MATCH(F34,'feed pars'!B$6:B$46,0))</f>
        <v>1.1415525114155252</v>
      </c>
    </row>
    <row r="35" spans="1:14" x14ac:dyDescent="0.25">
      <c r="F35" t="s">
        <v>630</v>
      </c>
      <c r="J35" t="s">
        <v>648</v>
      </c>
      <c r="M35" t="s">
        <v>27</v>
      </c>
      <c r="N35" s="18">
        <f>1/INDEX('feed pars'!C$6:C$46/100,MATCH(F35,'feed pars'!B$6:B$46,0))</f>
        <v>1.1415525114155252</v>
      </c>
    </row>
    <row r="36" spans="1:14" x14ac:dyDescent="0.25">
      <c r="F36" t="s">
        <v>45</v>
      </c>
      <c r="J36" t="s">
        <v>292</v>
      </c>
      <c r="M36" t="s">
        <v>27</v>
      </c>
      <c r="N36" s="18">
        <f>1/INDEX('feed pars'!C$6:C$46/100,MATCH(F36,'feed pars'!B$6:B$46,0))</f>
        <v>1.1111111111111112</v>
      </c>
    </row>
    <row r="37" spans="1:14" x14ac:dyDescent="0.25">
      <c r="F37" t="s">
        <v>46</v>
      </c>
      <c r="J37" t="s">
        <v>292</v>
      </c>
      <c r="M37" t="s">
        <v>27</v>
      </c>
      <c r="N37" s="18">
        <f>N36</f>
        <v>1.1111111111111112</v>
      </c>
    </row>
    <row r="38" spans="1:14" x14ac:dyDescent="0.25">
      <c r="F38" t="s">
        <v>302</v>
      </c>
      <c r="J38" t="s">
        <v>302</v>
      </c>
      <c r="M38" t="s">
        <v>27</v>
      </c>
      <c r="N38" s="16">
        <f>1/0.25</f>
        <v>4</v>
      </c>
    </row>
    <row r="39" spans="1:14" x14ac:dyDescent="0.25">
      <c r="F39" t="s">
        <v>47</v>
      </c>
      <c r="J39" t="s">
        <v>47</v>
      </c>
      <c r="M39" t="s">
        <v>27</v>
      </c>
      <c r="N39" s="18">
        <f>1/INDEX('feed pars'!C$6:C$46/100,MATCH(F39,'feed pars'!B$6:B$46,0))</f>
        <v>1.3245033112582782</v>
      </c>
    </row>
    <row r="40" spans="1:14" x14ac:dyDescent="0.25">
      <c r="F40" t="s">
        <v>48</v>
      </c>
      <c r="J40" t="s">
        <v>48</v>
      </c>
      <c r="M40" t="s">
        <v>27</v>
      </c>
      <c r="N40" s="18">
        <f>1/INDEX('feed pars'!C$6:C$46/100,MATCH(F40,'feed pars'!B$6:B$46,0))</f>
        <v>1.1173184357541899</v>
      </c>
    </row>
    <row r="41" spans="1:14" x14ac:dyDescent="0.25">
      <c r="F41" t="s">
        <v>49</v>
      </c>
      <c r="J41" t="s">
        <v>49</v>
      </c>
      <c r="M41" t="s">
        <v>27</v>
      </c>
      <c r="N41" s="18">
        <f>1/INDEX('feed pars'!C$6:C$46/100,MATCH(F41,'feed pars'!B$6:B$46,0))</f>
        <v>16</v>
      </c>
    </row>
    <row r="42" spans="1:14" x14ac:dyDescent="0.25">
      <c r="F42" t="s">
        <v>50</v>
      </c>
      <c r="J42" t="s">
        <v>49</v>
      </c>
      <c r="M42" t="s">
        <v>27</v>
      </c>
      <c r="N42" s="16">
        <f>N41</f>
        <v>16</v>
      </c>
    </row>
    <row r="43" spans="1:14" x14ac:dyDescent="0.25">
      <c r="F43" t="s">
        <v>51</v>
      </c>
      <c r="J43" t="s">
        <v>51</v>
      </c>
      <c r="M43" t="s">
        <v>27</v>
      </c>
      <c r="N43" s="18">
        <f>1/INDEX('feed pars'!C$6:C$46/100,MATCH(F43,'feed pars'!B$6:B$46,0))</f>
        <v>1.0989010989010988</v>
      </c>
    </row>
    <row r="44" spans="1:14" x14ac:dyDescent="0.25">
      <c r="F44" t="s">
        <v>599</v>
      </c>
      <c r="J44" t="s">
        <v>599</v>
      </c>
      <c r="M44" t="s">
        <v>27</v>
      </c>
      <c r="N44" s="18">
        <f>1/INDEX('feed pars'!C$6:C$46/100,MATCH(F44,'feed pars'!B$6:B$46,0))</f>
        <v>4.3478260869565215</v>
      </c>
    </row>
    <row r="45" spans="1:14" x14ac:dyDescent="0.25">
      <c r="F45" t="s">
        <v>52</v>
      </c>
      <c r="J45" t="s">
        <v>52</v>
      </c>
      <c r="M45" t="s">
        <v>27</v>
      </c>
      <c r="N45" s="18">
        <f>1/INDEX('feed pars'!C$6:C$46/100,MATCH(F45,'feed pars'!B$6:B$46,0))</f>
        <v>1.0863661053775122</v>
      </c>
    </row>
    <row r="46" spans="1:14" x14ac:dyDescent="0.25">
      <c r="N46" s="18"/>
    </row>
    <row r="47" spans="1:14" x14ac:dyDescent="0.25">
      <c r="A47" s="103" t="s">
        <v>646</v>
      </c>
      <c r="N47" s="18"/>
    </row>
    <row r="48" spans="1:14" x14ac:dyDescent="0.25">
      <c r="F48" t="s">
        <v>295</v>
      </c>
      <c r="K48" t="s">
        <v>295</v>
      </c>
      <c r="M48" t="s">
        <v>27</v>
      </c>
      <c r="N48" s="18">
        <v>1</v>
      </c>
    </row>
    <row r="49" spans="1:17" x14ac:dyDescent="0.25">
      <c r="N49" s="18"/>
    </row>
    <row r="50" spans="1:17" x14ac:dyDescent="0.25">
      <c r="A50" s="1" t="s">
        <v>24</v>
      </c>
      <c r="B50" s="1"/>
      <c r="C50" s="1"/>
      <c r="D50" s="1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M51" s="6" t="s">
        <v>22</v>
      </c>
      <c r="N51" s="6">
        <v>0</v>
      </c>
      <c r="O51" s="6" t="s">
        <v>23</v>
      </c>
      <c r="P51" s="6" t="s">
        <v>29</v>
      </c>
    </row>
    <row r="52" spans="1:17" x14ac:dyDescent="0.25">
      <c r="I52" t="s">
        <v>9</v>
      </c>
      <c r="M52" t="s">
        <v>22</v>
      </c>
      <c r="N52" s="3">
        <v>95</v>
      </c>
      <c r="O52" t="s">
        <v>23</v>
      </c>
    </row>
    <row r="53" spans="1:17" x14ac:dyDescent="0.25">
      <c r="I53" t="s">
        <v>10</v>
      </c>
      <c r="M53" t="s">
        <v>22</v>
      </c>
      <c r="N53" s="3">
        <v>95</v>
      </c>
      <c r="O53" t="s">
        <v>23</v>
      </c>
    </row>
    <row r="54" spans="1:17" x14ac:dyDescent="0.25">
      <c r="I54" t="s">
        <v>28</v>
      </c>
      <c r="M54" t="s">
        <v>22</v>
      </c>
      <c r="N54" s="3">
        <v>95</v>
      </c>
      <c r="O54" t="s">
        <v>23</v>
      </c>
    </row>
    <row r="55" spans="1:17" x14ac:dyDescent="0.25">
      <c r="A55" t="s">
        <v>20</v>
      </c>
      <c r="I55" t="s">
        <v>32</v>
      </c>
      <c r="M55" t="s">
        <v>22</v>
      </c>
      <c r="N55" s="3">
        <v>50</v>
      </c>
      <c r="O55" t="s">
        <v>23</v>
      </c>
      <c r="P55" s="3"/>
    </row>
    <row r="56" spans="1:17" x14ac:dyDescent="0.25">
      <c r="A56" t="s">
        <v>374</v>
      </c>
      <c r="I56" t="s">
        <v>32</v>
      </c>
      <c r="M56" t="s">
        <v>22</v>
      </c>
      <c r="N56" s="3">
        <v>50</v>
      </c>
      <c r="O56" t="s">
        <v>23</v>
      </c>
      <c r="P56" s="3"/>
    </row>
    <row r="57" spans="1:17" x14ac:dyDescent="0.25">
      <c r="A57" t="s">
        <v>20</v>
      </c>
      <c r="I57" t="s">
        <v>16</v>
      </c>
      <c r="M57" t="s">
        <v>22</v>
      </c>
      <c r="N57" s="3">
        <v>50</v>
      </c>
      <c r="O57" t="s">
        <v>23</v>
      </c>
      <c r="P57" s="3"/>
    </row>
    <row r="58" spans="1:17" x14ac:dyDescent="0.25">
      <c r="A58" t="s">
        <v>374</v>
      </c>
      <c r="I58" t="s">
        <v>16</v>
      </c>
      <c r="M58" t="s">
        <v>22</v>
      </c>
      <c r="N58" s="3">
        <v>50</v>
      </c>
      <c r="O58" t="s">
        <v>23</v>
      </c>
      <c r="P58" s="3"/>
    </row>
    <row r="59" spans="1:17" x14ac:dyDescent="0.25">
      <c r="A59" t="s">
        <v>20</v>
      </c>
      <c r="I59" t="s">
        <v>33</v>
      </c>
      <c r="M59" t="s">
        <v>22</v>
      </c>
      <c r="N59" s="3">
        <v>50</v>
      </c>
      <c r="O59" t="s">
        <v>23</v>
      </c>
      <c r="P59" s="3"/>
    </row>
    <row r="60" spans="1:17" x14ac:dyDescent="0.25">
      <c r="A60" t="s">
        <v>374</v>
      </c>
      <c r="I60" t="s">
        <v>33</v>
      </c>
      <c r="M60" t="s">
        <v>22</v>
      </c>
      <c r="N60" s="3">
        <v>50</v>
      </c>
      <c r="O60" t="s">
        <v>23</v>
      </c>
      <c r="P60" s="3"/>
    </row>
    <row r="61" spans="1:17" x14ac:dyDescent="0.25">
      <c r="A61" s="1" t="s">
        <v>25</v>
      </c>
      <c r="B61" s="1"/>
      <c r="C61" s="1"/>
      <c r="D61" s="1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M62" s="6" t="s">
        <v>26</v>
      </c>
      <c r="N62" s="6">
        <v>0</v>
      </c>
      <c r="O62" s="6" t="s">
        <v>23</v>
      </c>
      <c r="P62" s="6" t="s">
        <v>29</v>
      </c>
    </row>
    <row r="63" spans="1:17" x14ac:dyDescent="0.25">
      <c r="I63" t="s">
        <v>306</v>
      </c>
      <c r="M63" t="s">
        <v>26</v>
      </c>
      <c r="N63" s="21">
        <v>100</v>
      </c>
      <c r="O63" s="21" t="s">
        <v>23</v>
      </c>
      <c r="P63" s="6"/>
    </row>
    <row r="64" spans="1:17" x14ac:dyDescent="0.25">
      <c r="J64" t="s">
        <v>39</v>
      </c>
      <c r="M64" t="s">
        <v>26</v>
      </c>
      <c r="N64" s="21">
        <v>100</v>
      </c>
      <c r="O64" s="21" t="s">
        <v>23</v>
      </c>
      <c r="P64" s="6"/>
    </row>
    <row r="65" spans="1:17" x14ac:dyDescent="0.25">
      <c r="J65" t="s">
        <v>31</v>
      </c>
      <c r="M65" t="s">
        <v>26</v>
      </c>
      <c r="N65" s="21">
        <v>61</v>
      </c>
      <c r="O65" t="s">
        <v>23</v>
      </c>
    </row>
    <row r="66" spans="1:17" x14ac:dyDescent="0.25">
      <c r="I66" t="s">
        <v>38</v>
      </c>
      <c r="M66" t="s">
        <v>26</v>
      </c>
      <c r="N66" s="3">
        <v>100</v>
      </c>
      <c r="O66" t="s">
        <v>23</v>
      </c>
      <c r="P66" s="3" t="s">
        <v>294</v>
      </c>
    </row>
    <row r="67" spans="1:17" x14ac:dyDescent="0.25">
      <c r="I67" t="s">
        <v>35</v>
      </c>
      <c r="M67" t="s">
        <v>26</v>
      </c>
      <c r="N67" s="3">
        <v>50</v>
      </c>
      <c r="O67" t="s">
        <v>23</v>
      </c>
      <c r="P67" s="3" t="s">
        <v>376</v>
      </c>
    </row>
    <row r="68" spans="1:17" x14ac:dyDescent="0.25">
      <c r="A68" s="1" t="s">
        <v>321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t="s">
        <v>647</v>
      </c>
    </row>
    <row r="70" spans="1:17" x14ac:dyDescent="0.25">
      <c r="A70" t="s">
        <v>19</v>
      </c>
      <c r="H70" t="s">
        <v>319</v>
      </c>
      <c r="I70" t="s">
        <v>28</v>
      </c>
      <c r="M70" t="s">
        <v>320</v>
      </c>
      <c r="N70" s="3">
        <v>90</v>
      </c>
      <c r="O70" t="s">
        <v>23</v>
      </c>
      <c r="P70" s="3"/>
    </row>
    <row r="71" spans="1:17" x14ac:dyDescent="0.25">
      <c r="A71" t="s">
        <v>19</v>
      </c>
      <c r="B71" t="s">
        <v>314</v>
      </c>
      <c r="E71" t="s">
        <v>315</v>
      </c>
      <c r="H71" t="s">
        <v>319</v>
      </c>
      <c r="I71" t="s">
        <v>28</v>
      </c>
      <c r="M71" t="s">
        <v>320</v>
      </c>
      <c r="N71" s="3">
        <v>5</v>
      </c>
      <c r="O71" t="s">
        <v>23</v>
      </c>
      <c r="P71" s="3"/>
    </row>
    <row r="72" spans="1:17" x14ac:dyDescent="0.25">
      <c r="A72" t="s">
        <v>19</v>
      </c>
      <c r="B72" t="s">
        <v>314</v>
      </c>
      <c r="E72" t="s">
        <v>316</v>
      </c>
      <c r="H72" t="s">
        <v>319</v>
      </c>
      <c r="I72" t="s">
        <v>28</v>
      </c>
      <c r="M72" t="s">
        <v>320</v>
      </c>
      <c r="N72" s="3">
        <v>5</v>
      </c>
      <c r="O72" t="s">
        <v>23</v>
      </c>
      <c r="P72" s="3"/>
    </row>
    <row r="73" spans="1:17" x14ac:dyDescent="0.25">
      <c r="A73" t="s">
        <v>19</v>
      </c>
      <c r="E73" t="s">
        <v>317</v>
      </c>
      <c r="H73" t="s">
        <v>319</v>
      </c>
      <c r="I73" t="s">
        <v>28</v>
      </c>
      <c r="M73" t="s">
        <v>320</v>
      </c>
      <c r="N73" s="3">
        <v>0</v>
      </c>
      <c r="O73" t="s">
        <v>23</v>
      </c>
      <c r="P73" s="3"/>
    </row>
    <row r="74" spans="1:17" x14ac:dyDescent="0.25">
      <c r="A74" t="s">
        <v>19</v>
      </c>
      <c r="B74" t="s">
        <v>314</v>
      </c>
      <c r="E74" t="s">
        <v>318</v>
      </c>
      <c r="H74" t="s">
        <v>319</v>
      </c>
      <c r="I74" t="s">
        <v>28</v>
      </c>
      <c r="M74" t="s">
        <v>320</v>
      </c>
      <c r="N74" s="3">
        <v>0</v>
      </c>
      <c r="O74" t="s">
        <v>23</v>
      </c>
      <c r="P74" s="3"/>
    </row>
    <row r="75" spans="1:17" x14ac:dyDescent="0.25">
      <c r="N75" s="3"/>
      <c r="P75" s="3"/>
    </row>
    <row r="76" spans="1:17" x14ac:dyDescent="0.25">
      <c r="A76" t="s">
        <v>19</v>
      </c>
      <c r="B76" t="s">
        <v>314</v>
      </c>
      <c r="E76" t="s">
        <v>315</v>
      </c>
      <c r="H76" t="s">
        <v>319</v>
      </c>
      <c r="I76" t="s">
        <v>28</v>
      </c>
      <c r="L76">
        <v>811</v>
      </c>
      <c r="M76" t="s">
        <v>320</v>
      </c>
      <c r="N76" s="3">
        <v>50</v>
      </c>
      <c r="O76" t="s">
        <v>23</v>
      </c>
      <c r="P76" s="3"/>
    </row>
    <row r="77" spans="1:17" x14ac:dyDescent="0.25">
      <c r="A77" t="s">
        <v>19</v>
      </c>
      <c r="B77" t="s">
        <v>314</v>
      </c>
      <c r="E77" t="s">
        <v>316</v>
      </c>
      <c r="H77" t="s">
        <v>319</v>
      </c>
      <c r="I77" t="s">
        <v>28</v>
      </c>
      <c r="L77">
        <v>811</v>
      </c>
      <c r="M77" t="s">
        <v>320</v>
      </c>
      <c r="N77" s="3">
        <v>50</v>
      </c>
      <c r="O77" t="s">
        <v>23</v>
      </c>
      <c r="P77" s="3"/>
    </row>
    <row r="78" spans="1:17" x14ac:dyDescent="0.25">
      <c r="A78" t="s">
        <v>19</v>
      </c>
      <c r="E78" t="s">
        <v>317</v>
      </c>
      <c r="H78" t="s">
        <v>319</v>
      </c>
      <c r="I78" t="s">
        <v>28</v>
      </c>
      <c r="L78">
        <v>811</v>
      </c>
      <c r="M78" t="s">
        <v>320</v>
      </c>
      <c r="N78" s="3">
        <v>0</v>
      </c>
      <c r="O78" t="s">
        <v>23</v>
      </c>
      <c r="P78" s="3"/>
    </row>
    <row r="79" spans="1:17" x14ac:dyDescent="0.25">
      <c r="A79" t="s">
        <v>19</v>
      </c>
      <c r="B79" t="s">
        <v>314</v>
      </c>
      <c r="E79" t="s">
        <v>318</v>
      </c>
      <c r="H79" t="s">
        <v>319</v>
      </c>
      <c r="I79" t="s">
        <v>28</v>
      </c>
      <c r="L79">
        <v>811</v>
      </c>
      <c r="M79" t="s">
        <v>320</v>
      </c>
      <c r="N79" s="3">
        <v>0</v>
      </c>
      <c r="O79" t="s">
        <v>23</v>
      </c>
      <c r="P79" s="3"/>
    </row>
    <row r="80" spans="1:17" x14ac:dyDescent="0.25">
      <c r="A80" t="s">
        <v>19</v>
      </c>
      <c r="B80" t="s">
        <v>314</v>
      </c>
      <c r="E80" t="s">
        <v>315</v>
      </c>
      <c r="H80" t="s">
        <v>319</v>
      </c>
      <c r="I80" t="s">
        <v>28</v>
      </c>
      <c r="L80">
        <v>812</v>
      </c>
      <c r="M80" t="s">
        <v>320</v>
      </c>
      <c r="N80" s="3">
        <v>50</v>
      </c>
      <c r="O80" t="s">
        <v>23</v>
      </c>
      <c r="P80" s="3"/>
    </row>
    <row r="81" spans="1:17" x14ac:dyDescent="0.25">
      <c r="A81" t="s">
        <v>19</v>
      </c>
      <c r="B81" t="s">
        <v>314</v>
      </c>
      <c r="E81" t="s">
        <v>316</v>
      </c>
      <c r="H81" t="s">
        <v>319</v>
      </c>
      <c r="I81" t="s">
        <v>28</v>
      </c>
      <c r="L81">
        <v>812</v>
      </c>
      <c r="M81" t="s">
        <v>320</v>
      </c>
      <c r="N81" s="3">
        <v>50</v>
      </c>
      <c r="O81" t="s">
        <v>23</v>
      </c>
      <c r="P81" s="3"/>
    </row>
    <row r="82" spans="1:17" x14ac:dyDescent="0.25">
      <c r="A82" t="s">
        <v>19</v>
      </c>
      <c r="E82" t="s">
        <v>317</v>
      </c>
      <c r="H82" t="s">
        <v>319</v>
      </c>
      <c r="I82" t="s">
        <v>28</v>
      </c>
      <c r="L82">
        <v>812</v>
      </c>
      <c r="M82" t="s">
        <v>320</v>
      </c>
      <c r="N82" s="3">
        <v>0</v>
      </c>
      <c r="O82" t="s">
        <v>23</v>
      </c>
      <c r="P82" s="3"/>
    </row>
    <row r="83" spans="1:17" x14ac:dyDescent="0.25">
      <c r="A83" t="s">
        <v>19</v>
      </c>
      <c r="B83" t="s">
        <v>314</v>
      </c>
      <c r="E83" t="s">
        <v>318</v>
      </c>
      <c r="H83" t="s">
        <v>319</v>
      </c>
      <c r="I83" t="s">
        <v>28</v>
      </c>
      <c r="L83">
        <v>812</v>
      </c>
      <c r="M83" t="s">
        <v>320</v>
      </c>
      <c r="N83" s="3">
        <v>0</v>
      </c>
      <c r="O83" t="s">
        <v>23</v>
      </c>
      <c r="P83" s="3"/>
    </row>
    <row r="84" spans="1:17" x14ac:dyDescent="0.25">
      <c r="N84" s="3"/>
      <c r="P84" s="3"/>
    </row>
    <row r="85" spans="1:17" x14ac:dyDescent="0.25">
      <c r="A85" t="s">
        <v>377</v>
      </c>
      <c r="H85" t="s">
        <v>319</v>
      </c>
      <c r="I85" t="s">
        <v>28</v>
      </c>
      <c r="M85" t="s">
        <v>320</v>
      </c>
      <c r="N85" s="3">
        <v>10</v>
      </c>
      <c r="O85" t="s">
        <v>23</v>
      </c>
      <c r="P85" s="3"/>
    </row>
    <row r="86" spans="1:17" x14ac:dyDescent="0.25">
      <c r="A86" t="s">
        <v>381</v>
      </c>
      <c r="H86" t="s">
        <v>319</v>
      </c>
      <c r="I86" t="s">
        <v>28</v>
      </c>
      <c r="M86" t="s">
        <v>320</v>
      </c>
      <c r="N86" s="3">
        <v>90</v>
      </c>
      <c r="O86" t="s">
        <v>23</v>
      </c>
      <c r="P86" s="3"/>
    </row>
    <row r="87" spans="1:17" x14ac:dyDescent="0.25">
      <c r="N87" s="3"/>
      <c r="P87" s="3"/>
    </row>
    <row r="88" spans="1:17" x14ac:dyDescent="0.25">
      <c r="A88" s="1" t="s">
        <v>380</v>
      </c>
      <c r="B88" s="1"/>
      <c r="C88" s="1"/>
      <c r="D88" s="1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M89" s="6" t="s">
        <v>378</v>
      </c>
      <c r="N89" s="6">
        <v>0</v>
      </c>
      <c r="O89" s="6" t="s">
        <v>23</v>
      </c>
      <c r="P89" s="6" t="s">
        <v>29</v>
      </c>
    </row>
    <row r="90" spans="1:17" x14ac:dyDescent="0.25">
      <c r="M90" s="6" t="s">
        <v>379</v>
      </c>
      <c r="N90" s="6">
        <v>0</v>
      </c>
      <c r="O90" s="6" t="s">
        <v>23</v>
      </c>
      <c r="P90" s="6" t="s">
        <v>29</v>
      </c>
    </row>
    <row r="91" spans="1:17" x14ac:dyDescent="0.25">
      <c r="A91" t="s">
        <v>19</v>
      </c>
      <c r="B91" t="s">
        <v>314</v>
      </c>
      <c r="E91" t="s">
        <v>315</v>
      </c>
      <c r="G91" t="s">
        <v>632</v>
      </c>
      <c r="M91" s="21" t="s">
        <v>378</v>
      </c>
      <c r="N91" s="21">
        <f>(0.8*20+0.2*2)</f>
        <v>16.399999999999999</v>
      </c>
      <c r="O91" s="21" t="s">
        <v>23</v>
      </c>
      <c r="P91" s="21" t="s">
        <v>382</v>
      </c>
      <c r="Q91" t="s">
        <v>639</v>
      </c>
    </row>
    <row r="92" spans="1:17" x14ac:dyDescent="0.25">
      <c r="A92" t="s">
        <v>19</v>
      </c>
      <c r="G92" t="s">
        <v>632</v>
      </c>
      <c r="M92" s="21" t="s">
        <v>378</v>
      </c>
      <c r="N92" s="21">
        <f>(0.6*20+0.4*2)</f>
        <v>12.8</v>
      </c>
      <c r="O92" s="21" t="s">
        <v>23</v>
      </c>
      <c r="P92" s="21" t="s">
        <v>383</v>
      </c>
      <c r="Q92" t="s">
        <v>639</v>
      </c>
    </row>
    <row r="93" spans="1:17" x14ac:dyDescent="0.25">
      <c r="A93" t="s">
        <v>381</v>
      </c>
      <c r="G93" t="s">
        <v>632</v>
      </c>
      <c r="M93" s="21" t="s">
        <v>378</v>
      </c>
      <c r="N93" s="21">
        <v>2</v>
      </c>
      <c r="O93" s="21" t="s">
        <v>23</v>
      </c>
      <c r="P93" s="21" t="s">
        <v>384</v>
      </c>
      <c r="Q93" t="s">
        <v>639</v>
      </c>
    </row>
    <row r="94" spans="1:17" x14ac:dyDescent="0.25">
      <c r="A94" t="s">
        <v>377</v>
      </c>
      <c r="G94" t="s">
        <v>632</v>
      </c>
      <c r="M94" s="21" t="s">
        <v>378</v>
      </c>
      <c r="N94" s="21">
        <v>2</v>
      </c>
      <c r="O94" s="21" t="s">
        <v>23</v>
      </c>
      <c r="P94" s="21" t="s">
        <v>384</v>
      </c>
      <c r="Q94" t="s">
        <v>639</v>
      </c>
    </row>
    <row r="95" spans="1:17" x14ac:dyDescent="0.25">
      <c r="M95" s="21"/>
      <c r="N95" s="21"/>
      <c r="O95" s="21"/>
      <c r="P95" s="21"/>
    </row>
    <row r="96" spans="1:17" x14ac:dyDescent="0.25">
      <c r="A96" t="s">
        <v>19</v>
      </c>
      <c r="B96" t="s">
        <v>314</v>
      </c>
      <c r="E96" t="s">
        <v>315</v>
      </c>
      <c r="G96" t="s">
        <v>632</v>
      </c>
      <c r="M96" s="21" t="s">
        <v>379</v>
      </c>
      <c r="N96" s="21">
        <v>5</v>
      </c>
      <c r="O96" s="21" t="s">
        <v>23</v>
      </c>
      <c r="P96" s="21" t="s">
        <v>385</v>
      </c>
      <c r="Q96" t="s">
        <v>639</v>
      </c>
    </row>
    <row r="97" spans="1:17" x14ac:dyDescent="0.25">
      <c r="A97" t="s">
        <v>19</v>
      </c>
      <c r="E97" t="s">
        <v>317</v>
      </c>
      <c r="G97" t="s">
        <v>632</v>
      </c>
      <c r="M97" s="21" t="s">
        <v>379</v>
      </c>
      <c r="N97" s="21">
        <v>5</v>
      </c>
      <c r="O97" s="21" t="s">
        <v>23</v>
      </c>
      <c r="P97" s="21" t="s">
        <v>385</v>
      </c>
      <c r="Q97" t="s">
        <v>639</v>
      </c>
    </row>
    <row r="98" spans="1:17" x14ac:dyDescent="0.25">
      <c r="A98" t="s">
        <v>19</v>
      </c>
      <c r="G98" t="s">
        <v>632</v>
      </c>
      <c r="M98" s="21" t="s">
        <v>379</v>
      </c>
      <c r="N98" s="21">
        <f>0.9*5+0.1*15</f>
        <v>6</v>
      </c>
      <c r="O98" s="21" t="s">
        <v>23</v>
      </c>
      <c r="P98" s="21" t="s">
        <v>386</v>
      </c>
      <c r="Q98" t="s">
        <v>639</v>
      </c>
    </row>
    <row r="99" spans="1:17" x14ac:dyDescent="0.25">
      <c r="A99" t="s">
        <v>381</v>
      </c>
      <c r="G99" t="s">
        <v>632</v>
      </c>
      <c r="M99" s="21" t="s">
        <v>379</v>
      </c>
      <c r="N99" s="21">
        <v>15</v>
      </c>
      <c r="O99" s="21" t="s">
        <v>23</v>
      </c>
      <c r="P99" s="21"/>
      <c r="Q99" t="s">
        <v>639</v>
      </c>
    </row>
    <row r="100" spans="1:17" x14ac:dyDescent="0.25">
      <c r="A100" t="s">
        <v>377</v>
      </c>
      <c r="G100" t="s">
        <v>632</v>
      </c>
      <c r="M100" s="21" t="s">
        <v>379</v>
      </c>
      <c r="N100" s="21">
        <v>15</v>
      </c>
      <c r="O100" s="21" t="s">
        <v>23</v>
      </c>
      <c r="P100" s="21"/>
      <c r="Q100" t="s">
        <v>639</v>
      </c>
    </row>
    <row r="101" spans="1:17" x14ac:dyDescent="0.25">
      <c r="M101" s="21"/>
      <c r="N101" s="21"/>
      <c r="O101" s="21"/>
      <c r="P101" s="21"/>
    </row>
    <row r="102" spans="1:17" x14ac:dyDescent="0.25">
      <c r="A102" s="22"/>
      <c r="B102" s="22"/>
      <c r="E102" s="22"/>
      <c r="G102" t="s">
        <v>301</v>
      </c>
      <c r="M102" s="21" t="s">
        <v>378</v>
      </c>
      <c r="N102" s="21">
        <v>5</v>
      </c>
      <c r="O102" s="21" t="s">
        <v>23</v>
      </c>
      <c r="P102" s="21"/>
      <c r="Q102" t="s">
        <v>639</v>
      </c>
    </row>
    <row r="103" spans="1:17" x14ac:dyDescent="0.25">
      <c r="A103" s="22" t="str">
        <f>A96</f>
        <v>cattle</v>
      </c>
      <c r="B103" s="22" t="str">
        <f>B96</f>
        <v>dairy</v>
      </c>
      <c r="E103" s="22" t="str">
        <f t="shared" ref="E103:E104" si="0">E96</f>
        <v>cows</v>
      </c>
      <c r="G103" t="s">
        <v>301</v>
      </c>
      <c r="M103" s="22" t="str">
        <f t="shared" ref="M103:Q107" si="1">M96</f>
        <v>feeding_losses</v>
      </c>
      <c r="N103" s="22">
        <f t="shared" si="1"/>
        <v>5</v>
      </c>
      <c r="O103" s="22" t="str">
        <f t="shared" si="1"/>
        <v>%</v>
      </c>
      <c r="P103" s="22" t="str">
        <f t="shared" si="1"/>
        <v>No feeding on pasture</v>
      </c>
      <c r="Q103" s="22" t="str">
        <f t="shared" si="1"/>
        <v>Cederberg &amp; Henriksson (2020)</v>
      </c>
    </row>
    <row r="104" spans="1:17" x14ac:dyDescent="0.25">
      <c r="A104" s="22" t="str">
        <f t="shared" ref="A104:A107" si="2">A97</f>
        <v>cattle</v>
      </c>
      <c r="E104" s="22" t="str">
        <f t="shared" si="0"/>
        <v>bulls</v>
      </c>
      <c r="G104" t="s">
        <v>301</v>
      </c>
      <c r="M104" s="22" t="str">
        <f t="shared" si="1"/>
        <v>feeding_losses</v>
      </c>
      <c r="N104" s="22">
        <f t="shared" si="1"/>
        <v>5</v>
      </c>
      <c r="O104" s="22" t="str">
        <f t="shared" si="1"/>
        <v>%</v>
      </c>
      <c r="P104" s="22" t="str">
        <f t="shared" si="1"/>
        <v>No feeding on pasture</v>
      </c>
      <c r="Q104" s="22" t="str">
        <f t="shared" si="1"/>
        <v>Cederberg &amp; Henriksson (2020)</v>
      </c>
    </row>
    <row r="105" spans="1:17" x14ac:dyDescent="0.25">
      <c r="A105" s="22" t="str">
        <f t="shared" si="2"/>
        <v>cattle</v>
      </c>
      <c r="G105" t="s">
        <v>301</v>
      </c>
      <c r="M105" s="22" t="str">
        <f t="shared" si="1"/>
        <v>feeding_losses</v>
      </c>
      <c r="N105" s="22">
        <f t="shared" si="1"/>
        <v>6</v>
      </c>
      <c r="O105" s="22" t="str">
        <f t="shared" si="1"/>
        <v>%</v>
      </c>
      <c r="P105" s="22" t="str">
        <f t="shared" si="1"/>
        <v>10% feeding on pasture</v>
      </c>
      <c r="Q105" s="22" t="str">
        <f t="shared" si="1"/>
        <v>Cederberg &amp; Henriksson (2020)</v>
      </c>
    </row>
    <row r="106" spans="1:17" x14ac:dyDescent="0.25">
      <c r="A106" s="22" t="str">
        <f t="shared" si="2"/>
        <v>sheep</v>
      </c>
      <c r="G106" t="s">
        <v>301</v>
      </c>
      <c r="M106" s="22" t="str">
        <f t="shared" si="1"/>
        <v>feeding_losses</v>
      </c>
      <c r="N106" s="22">
        <f t="shared" si="1"/>
        <v>15</v>
      </c>
      <c r="O106" s="22" t="str">
        <f t="shared" si="1"/>
        <v>%</v>
      </c>
      <c r="P106" s="22"/>
      <c r="Q106" s="22" t="str">
        <f t="shared" si="1"/>
        <v>Cederberg &amp; Henriksson (2020)</v>
      </c>
    </row>
    <row r="107" spans="1:17" x14ac:dyDescent="0.25">
      <c r="A107" s="22" t="str">
        <f t="shared" si="2"/>
        <v>horses</v>
      </c>
      <c r="G107" t="s">
        <v>301</v>
      </c>
      <c r="M107" s="22" t="str">
        <f t="shared" si="1"/>
        <v>feeding_losses</v>
      </c>
      <c r="N107" s="22">
        <f t="shared" si="1"/>
        <v>15</v>
      </c>
      <c r="O107" s="22" t="str">
        <f t="shared" si="1"/>
        <v>%</v>
      </c>
      <c r="P107" s="22"/>
      <c r="Q107" s="22" t="str">
        <f t="shared" si="1"/>
        <v>Cederberg &amp; Henriksson (2020)</v>
      </c>
    </row>
    <row r="108" spans="1:17" x14ac:dyDescent="0.25">
      <c r="A108" s="22"/>
      <c r="M108" s="22"/>
      <c r="N108" s="22"/>
      <c r="O108" s="22"/>
      <c r="P108" s="22"/>
      <c r="Q108" s="22"/>
    </row>
    <row r="109" spans="1:17" x14ac:dyDescent="0.25">
      <c r="G109" t="s">
        <v>633</v>
      </c>
      <c r="M109" s="21" t="s">
        <v>378</v>
      </c>
      <c r="N109" s="21">
        <v>5</v>
      </c>
      <c r="O109" s="21" t="s">
        <v>23</v>
      </c>
      <c r="P109" s="21"/>
      <c r="Q109" t="s">
        <v>639</v>
      </c>
    </row>
    <row r="110" spans="1:17" x14ac:dyDescent="0.25">
      <c r="A110" s="22" t="str">
        <f>A96</f>
        <v>cattle</v>
      </c>
      <c r="B110" s="22" t="str">
        <f>B96</f>
        <v>dairy</v>
      </c>
      <c r="E110" s="22" t="str">
        <f t="shared" ref="E110:E111" si="3">E96</f>
        <v>cows</v>
      </c>
      <c r="G110" t="s">
        <v>633</v>
      </c>
      <c r="M110" s="22" t="str">
        <f t="shared" ref="M110:Q114" si="4">M96</f>
        <v>feeding_losses</v>
      </c>
      <c r="N110" s="22">
        <f t="shared" si="4"/>
        <v>5</v>
      </c>
      <c r="O110" s="22" t="str">
        <f t="shared" si="4"/>
        <v>%</v>
      </c>
      <c r="P110" s="22" t="str">
        <f t="shared" si="4"/>
        <v>No feeding on pasture</v>
      </c>
      <c r="Q110" s="22" t="str">
        <f t="shared" si="4"/>
        <v>Cederberg &amp; Henriksson (2020)</v>
      </c>
    </row>
    <row r="111" spans="1:17" x14ac:dyDescent="0.25">
      <c r="A111" s="22" t="str">
        <f t="shared" ref="A111:A114" si="5">A97</f>
        <v>cattle</v>
      </c>
      <c r="E111" s="22" t="str">
        <f t="shared" si="3"/>
        <v>bulls</v>
      </c>
      <c r="G111" t="s">
        <v>633</v>
      </c>
      <c r="M111" s="22" t="str">
        <f t="shared" si="4"/>
        <v>feeding_losses</v>
      </c>
      <c r="N111" s="22">
        <f t="shared" si="4"/>
        <v>5</v>
      </c>
      <c r="O111" s="22" t="str">
        <f t="shared" si="4"/>
        <v>%</v>
      </c>
      <c r="P111" s="22" t="str">
        <f t="shared" si="4"/>
        <v>No feeding on pasture</v>
      </c>
      <c r="Q111" s="22" t="str">
        <f t="shared" si="4"/>
        <v>Cederberg &amp; Henriksson (2020)</v>
      </c>
    </row>
    <row r="112" spans="1:17" x14ac:dyDescent="0.25">
      <c r="A112" s="22" t="str">
        <f t="shared" si="5"/>
        <v>cattle</v>
      </c>
      <c r="G112" t="s">
        <v>633</v>
      </c>
      <c r="M112" s="22" t="str">
        <f t="shared" si="4"/>
        <v>feeding_losses</v>
      </c>
      <c r="N112" s="22">
        <f t="shared" si="4"/>
        <v>6</v>
      </c>
      <c r="O112" s="22" t="str">
        <f t="shared" si="4"/>
        <v>%</v>
      </c>
      <c r="P112" s="22" t="str">
        <f t="shared" si="4"/>
        <v>10% feeding on pasture</v>
      </c>
      <c r="Q112" s="22" t="str">
        <f t="shared" si="4"/>
        <v>Cederberg &amp; Henriksson (2020)</v>
      </c>
    </row>
    <row r="113" spans="1:17" x14ac:dyDescent="0.25">
      <c r="A113" s="22" t="str">
        <f t="shared" si="5"/>
        <v>sheep</v>
      </c>
      <c r="G113" t="s">
        <v>633</v>
      </c>
      <c r="M113" s="22" t="str">
        <f t="shared" si="4"/>
        <v>feeding_losses</v>
      </c>
      <c r="N113" s="22">
        <f t="shared" si="4"/>
        <v>15</v>
      </c>
      <c r="O113" s="22" t="str">
        <f t="shared" si="4"/>
        <v>%</v>
      </c>
      <c r="P113" s="21"/>
      <c r="Q113" s="22" t="str">
        <f t="shared" ref="Q113:Q114" si="6">Q99</f>
        <v>Cederberg &amp; Henriksson (2020)</v>
      </c>
    </row>
    <row r="114" spans="1:17" x14ac:dyDescent="0.25">
      <c r="A114" s="22" t="str">
        <f t="shared" si="5"/>
        <v>horses</v>
      </c>
      <c r="G114" t="s">
        <v>633</v>
      </c>
      <c r="M114" s="22" t="str">
        <f t="shared" si="4"/>
        <v>feeding_losses</v>
      </c>
      <c r="N114" s="22">
        <f t="shared" si="4"/>
        <v>15</v>
      </c>
      <c r="O114" s="22" t="str">
        <f t="shared" si="4"/>
        <v>%</v>
      </c>
      <c r="P114" s="21"/>
      <c r="Q114" s="22" t="str">
        <f t="shared" si="6"/>
        <v>Cederberg &amp; Henriksson (2020)</v>
      </c>
    </row>
    <row r="115" spans="1:17" x14ac:dyDescent="0.25">
      <c r="N115" s="3"/>
      <c r="P115" s="21"/>
    </row>
    <row r="116" spans="1:17" x14ac:dyDescent="0.25">
      <c r="A116" s="3"/>
      <c r="G116" t="s">
        <v>634</v>
      </c>
      <c r="M116" s="21" t="s">
        <v>378</v>
      </c>
      <c r="N116" s="21"/>
      <c r="P116" s="3" t="s">
        <v>636</v>
      </c>
    </row>
    <row r="117" spans="1:17" x14ac:dyDescent="0.25">
      <c r="A117" s="3"/>
      <c r="G117" t="s">
        <v>634</v>
      </c>
      <c r="M117" s="21" t="s">
        <v>379</v>
      </c>
      <c r="N117" s="21">
        <v>2</v>
      </c>
      <c r="O117" s="21" t="s">
        <v>23</v>
      </c>
      <c r="P117" s="3" t="s">
        <v>640</v>
      </c>
      <c r="Q117" t="s">
        <v>638</v>
      </c>
    </row>
    <row r="118" spans="1:17" x14ac:dyDescent="0.25">
      <c r="A118" s="3"/>
      <c r="M118" s="21"/>
      <c r="N118" s="21"/>
      <c r="O118" s="21"/>
      <c r="P118" s="3"/>
    </row>
    <row r="119" spans="1:17" x14ac:dyDescent="0.25">
      <c r="A119" s="3"/>
      <c r="G119" t="s">
        <v>635</v>
      </c>
      <c r="M119" s="21" t="s">
        <v>378</v>
      </c>
      <c r="N119" s="21"/>
      <c r="P119" s="3" t="s">
        <v>636</v>
      </c>
    </row>
    <row r="120" spans="1:17" x14ac:dyDescent="0.25">
      <c r="A120" s="3"/>
      <c r="G120" t="s">
        <v>635</v>
      </c>
      <c r="M120" s="21" t="s">
        <v>379</v>
      </c>
      <c r="N120" s="21">
        <v>3</v>
      </c>
      <c r="O120" s="21" t="s">
        <v>23</v>
      </c>
      <c r="P120" s="3" t="s">
        <v>640</v>
      </c>
      <c r="Q120" t="s">
        <v>638</v>
      </c>
    </row>
    <row r="121" spans="1:17" x14ac:dyDescent="0.25">
      <c r="N121" s="3"/>
      <c r="P121" s="21"/>
    </row>
    <row r="122" spans="1:17" x14ac:dyDescent="0.25">
      <c r="A122" s="1" t="s">
        <v>600</v>
      </c>
      <c r="B122" s="1"/>
      <c r="C122" s="1"/>
      <c r="D122" s="1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t="s">
        <v>19</v>
      </c>
      <c r="N123" s="21"/>
      <c r="P123" s="21" t="s">
        <v>601</v>
      </c>
    </row>
    <row r="124" spans="1:17" x14ac:dyDescent="0.25">
      <c r="A124" s="3" t="s">
        <v>381</v>
      </c>
      <c r="B124" s="3"/>
      <c r="C124" s="3"/>
      <c r="D124" s="3"/>
      <c r="E124" s="3" t="s">
        <v>485</v>
      </c>
      <c r="F124" s="3"/>
      <c r="G124" s="3"/>
      <c r="H124" s="3"/>
      <c r="I124" s="3"/>
      <c r="J124" s="3"/>
      <c r="K124" s="3"/>
      <c r="L124" s="3"/>
      <c r="M124" s="3" t="s">
        <v>486</v>
      </c>
      <c r="N124" s="3">
        <v>4.5</v>
      </c>
      <c r="O124" s="3" t="s">
        <v>487</v>
      </c>
      <c r="P124" s="3"/>
    </row>
    <row r="125" spans="1:17" x14ac:dyDescent="0.25">
      <c r="A125" s="3" t="s">
        <v>381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 t="s">
        <v>486</v>
      </c>
      <c r="N125" s="3">
        <v>6.5</v>
      </c>
      <c r="O125" s="3" t="s">
        <v>487</v>
      </c>
      <c r="P125" s="3"/>
    </row>
    <row r="126" spans="1:17" x14ac:dyDescent="0.25">
      <c r="A126" t="s">
        <v>377</v>
      </c>
      <c r="M126" t="s">
        <v>488</v>
      </c>
      <c r="N126" s="21">
        <v>18</v>
      </c>
      <c r="O126" t="s">
        <v>489</v>
      </c>
      <c r="P126" s="3"/>
      <c r="Q126" t="s">
        <v>490</v>
      </c>
    </row>
    <row r="127" spans="1:17" x14ac:dyDescent="0.25">
      <c r="A127" t="s">
        <v>20</v>
      </c>
      <c r="M127" t="s">
        <v>488</v>
      </c>
      <c r="N127" s="21">
        <v>1.5</v>
      </c>
      <c r="O127" t="s">
        <v>489</v>
      </c>
      <c r="P127" s="3"/>
      <c r="Q127" t="s">
        <v>490</v>
      </c>
    </row>
    <row r="128" spans="1:17" x14ac:dyDescent="0.25">
      <c r="A128" t="s">
        <v>374</v>
      </c>
      <c r="M128" t="s">
        <v>488</v>
      </c>
      <c r="N128" s="21">
        <v>0</v>
      </c>
      <c r="O128" t="s">
        <v>489</v>
      </c>
      <c r="P128" s="3"/>
      <c r="Q128" t="s">
        <v>490</v>
      </c>
    </row>
    <row r="129" spans="1:17" x14ac:dyDescent="0.25">
      <c r="N129" s="21"/>
      <c r="P129" s="3"/>
    </row>
    <row r="130" spans="1:17" x14ac:dyDescent="0.25">
      <c r="M130" t="s">
        <v>602</v>
      </c>
      <c r="N130" s="21">
        <v>1</v>
      </c>
      <c r="O130" s="21" t="s">
        <v>603</v>
      </c>
      <c r="P130" s="21" t="s">
        <v>604</v>
      </c>
      <c r="Q130" s="21"/>
    </row>
    <row r="131" spans="1:17" x14ac:dyDescent="0.25">
      <c r="A131" t="s">
        <v>19</v>
      </c>
      <c r="M131" t="s">
        <v>602</v>
      </c>
      <c r="N131" s="21">
        <v>1</v>
      </c>
      <c r="O131" s="21" t="s">
        <v>603</v>
      </c>
      <c r="P131" s="21"/>
      <c r="Q131" s="21"/>
    </row>
    <row r="132" spans="1:17" x14ac:dyDescent="0.25">
      <c r="A132" t="s">
        <v>19</v>
      </c>
      <c r="B132" t="s">
        <v>314</v>
      </c>
      <c r="E132" t="s">
        <v>315</v>
      </c>
      <c r="M132" t="s">
        <v>602</v>
      </c>
      <c r="N132" s="21">
        <v>1</v>
      </c>
      <c r="O132" s="21" t="s">
        <v>603</v>
      </c>
      <c r="P132" s="21"/>
      <c r="Q132" s="21"/>
    </row>
    <row r="133" spans="1:17" x14ac:dyDescent="0.25">
      <c r="A133" t="s">
        <v>19</v>
      </c>
      <c r="B133" t="s">
        <v>314</v>
      </c>
      <c r="E133" t="s">
        <v>317</v>
      </c>
      <c r="M133" t="s">
        <v>602</v>
      </c>
      <c r="N133" s="21">
        <v>1</v>
      </c>
      <c r="O133" s="21" t="s">
        <v>603</v>
      </c>
      <c r="P133" s="21"/>
      <c r="Q133" s="21"/>
    </row>
    <row r="134" spans="1:17" x14ac:dyDescent="0.25">
      <c r="A134" t="s">
        <v>19</v>
      </c>
      <c r="B134" t="s">
        <v>605</v>
      </c>
      <c r="E134" t="s">
        <v>317</v>
      </c>
      <c r="M134" t="s">
        <v>602</v>
      </c>
      <c r="N134" s="21">
        <v>1</v>
      </c>
      <c r="O134" s="21" t="s">
        <v>603</v>
      </c>
      <c r="P134" s="21"/>
      <c r="Q134" s="21"/>
    </row>
    <row r="135" spans="1:17" x14ac:dyDescent="0.25">
      <c r="N135" s="3"/>
      <c r="P135" s="3"/>
    </row>
    <row r="136" spans="1:17" x14ac:dyDescent="0.25">
      <c r="A136" s="1" t="s">
        <v>21</v>
      </c>
      <c r="B136" s="1"/>
      <c r="C136" s="1"/>
      <c r="D136" s="1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 t="s">
        <v>293</v>
      </c>
      <c r="Q136" s="2"/>
    </row>
    <row r="137" spans="1:17" x14ac:dyDescent="0.25">
      <c r="L137" s="103" t="s">
        <v>617</v>
      </c>
    </row>
    <row r="138" spans="1:17" x14ac:dyDescent="0.25">
      <c r="M138" t="s">
        <v>375</v>
      </c>
      <c r="N138" s="21" t="s">
        <v>614</v>
      </c>
      <c r="O138" t="s">
        <v>598</v>
      </c>
      <c r="P138" s="3"/>
    </row>
    <row r="139" spans="1:17" x14ac:dyDescent="0.25">
      <c r="M139" t="s">
        <v>476</v>
      </c>
      <c r="N139" s="21" t="s">
        <v>614</v>
      </c>
      <c r="O139" t="s">
        <v>597</v>
      </c>
      <c r="P139" s="3"/>
    </row>
    <row r="140" spans="1:17" x14ac:dyDescent="0.25">
      <c r="M140" s="37" t="s">
        <v>608</v>
      </c>
      <c r="N140" s="21" t="s">
        <v>614</v>
      </c>
    </row>
    <row r="141" spans="1:17" x14ac:dyDescent="0.25">
      <c r="M141" s="37" t="s">
        <v>609</v>
      </c>
      <c r="N141" s="21" t="s">
        <v>614</v>
      </c>
    </row>
    <row r="142" spans="1:17" x14ac:dyDescent="0.25">
      <c r="M142" s="37" t="s">
        <v>610</v>
      </c>
      <c r="N142" s="21" t="s">
        <v>614</v>
      </c>
    </row>
    <row r="143" spans="1:17" x14ac:dyDescent="0.25">
      <c r="M143" s="37" t="s">
        <v>611</v>
      </c>
      <c r="N143" s="21" t="s">
        <v>614</v>
      </c>
      <c r="P143" s="3"/>
    </row>
    <row r="144" spans="1:17" x14ac:dyDescent="0.25">
      <c r="L144" s="103" t="s">
        <v>616</v>
      </c>
    </row>
    <row r="145" spans="12:16" x14ac:dyDescent="0.25">
      <c r="M145" t="s">
        <v>17</v>
      </c>
      <c r="N145" s="21" t="s">
        <v>615</v>
      </c>
      <c r="O145" t="s">
        <v>622</v>
      </c>
      <c r="P145" s="21" t="s">
        <v>595</v>
      </c>
    </row>
    <row r="146" spans="12:16" x14ac:dyDescent="0.25">
      <c r="M146" t="s">
        <v>588</v>
      </c>
      <c r="N146" s="21" t="s">
        <v>615</v>
      </c>
      <c r="O146" t="s">
        <v>596</v>
      </c>
      <c r="P146" s="3"/>
    </row>
    <row r="147" spans="12:16" x14ac:dyDescent="0.25">
      <c r="M147" t="s">
        <v>477</v>
      </c>
      <c r="N147" s="21" t="s">
        <v>615</v>
      </c>
      <c r="O147" t="s">
        <v>478</v>
      </c>
      <c r="P147" s="21" t="s">
        <v>479</v>
      </c>
    </row>
    <row r="148" spans="12:16" x14ac:dyDescent="0.25">
      <c r="L148" s="103" t="s">
        <v>618</v>
      </c>
    </row>
    <row r="149" spans="12:16" x14ac:dyDescent="0.25">
      <c r="M149" t="s">
        <v>17</v>
      </c>
      <c r="N149" s="21" t="s">
        <v>625</v>
      </c>
      <c r="O149" t="s">
        <v>622</v>
      </c>
      <c r="P149" s="21" t="s">
        <v>595</v>
      </c>
    </row>
    <row r="150" spans="12:16" x14ac:dyDescent="0.25">
      <c r="M150" t="s">
        <v>588</v>
      </c>
      <c r="N150" s="21" t="s">
        <v>625</v>
      </c>
      <c r="O150" t="s">
        <v>596</v>
      </c>
      <c r="P150" s="3"/>
    </row>
    <row r="151" spans="12:16" x14ac:dyDescent="0.25">
      <c r="L151" s="103" t="s">
        <v>619</v>
      </c>
    </row>
    <row r="152" spans="12:16" x14ac:dyDescent="0.25">
      <c r="M152" t="s">
        <v>17</v>
      </c>
      <c r="N152" s="21" t="s">
        <v>626</v>
      </c>
      <c r="O152" t="s">
        <v>622</v>
      </c>
      <c r="P152" s="21" t="s">
        <v>595</v>
      </c>
    </row>
    <row r="153" spans="12:16" x14ac:dyDescent="0.25">
      <c r="M153" t="s">
        <v>588</v>
      </c>
      <c r="N153" s="21" t="s">
        <v>626</v>
      </c>
      <c r="O153" t="s">
        <v>596</v>
      </c>
      <c r="P153" s="3"/>
    </row>
    <row r="154" spans="12:16" x14ac:dyDescent="0.25">
      <c r="L154" s="103" t="s">
        <v>620</v>
      </c>
    </row>
    <row r="155" spans="12:16" x14ac:dyDescent="0.25">
      <c r="M155" t="s">
        <v>17</v>
      </c>
      <c r="N155" s="21" t="s">
        <v>627</v>
      </c>
      <c r="O155" t="s">
        <v>623</v>
      </c>
      <c r="P155" s="21" t="s">
        <v>595</v>
      </c>
    </row>
    <row r="156" spans="12:16" x14ac:dyDescent="0.25">
      <c r="M156" t="s">
        <v>588</v>
      </c>
      <c r="N156" s="21" t="s">
        <v>627</v>
      </c>
      <c r="O156" t="s">
        <v>596</v>
      </c>
      <c r="P156" s="3"/>
    </row>
    <row r="157" spans="12:16" x14ac:dyDescent="0.25">
      <c r="L157" s="103" t="s">
        <v>621</v>
      </c>
    </row>
    <row r="158" spans="12:16" x14ac:dyDescent="0.25">
      <c r="M158" t="s">
        <v>613</v>
      </c>
      <c r="N158" s="21" t="s">
        <v>628</v>
      </c>
      <c r="O158" t="s">
        <v>624</v>
      </c>
      <c r="P158" s="2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opLeftCell="B1" zoomScale="80" zoomScaleNormal="80" workbookViewId="0">
      <pane xSplit="1" ySplit="5" topLeftCell="C16" activePane="bottomRight" state="frozen"/>
      <selection activeCell="B1" sqref="B1"/>
      <selection pane="topRight" activeCell="C1" sqref="C1"/>
      <selection pane="bottomLeft" activeCell="B6" sqref="B6"/>
      <selection pane="bottomRight" activeCell="B35" activeCellId="1" sqref="A31:XFD32 A35:XFD35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471</v>
      </c>
      <c r="C1" s="7" t="s">
        <v>113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296</v>
      </c>
      <c r="D3" s="42"/>
      <c r="E3" s="42"/>
      <c r="F3" s="42"/>
      <c r="G3" s="42"/>
      <c r="H3" s="42"/>
      <c r="K3" s="41" t="s">
        <v>469</v>
      </c>
      <c r="L3" s="42"/>
      <c r="M3" s="42"/>
      <c r="N3" s="42"/>
      <c r="O3" s="42"/>
      <c r="P3" s="42"/>
      <c r="Q3" s="42"/>
      <c r="R3" s="42"/>
      <c r="S3" s="42"/>
      <c r="T3" s="56" t="s">
        <v>483</v>
      </c>
      <c r="U3" s="42">
        <f>1/6.25</f>
        <v>0.16</v>
      </c>
      <c r="V3" s="42"/>
      <c r="W3" s="42"/>
      <c r="Z3" s="41" t="s">
        <v>20</v>
      </c>
      <c r="AA3" s="42"/>
      <c r="AB3" s="42"/>
      <c r="AC3" s="42"/>
      <c r="AD3" s="42"/>
      <c r="AE3" s="42"/>
      <c r="AF3" s="42"/>
      <c r="AG3" s="42"/>
      <c r="AH3" s="42"/>
      <c r="AI3" s="56" t="s">
        <v>483</v>
      </c>
      <c r="AJ3" s="42">
        <f>1/6.25</f>
        <v>0.16</v>
      </c>
      <c r="AK3" s="42"/>
      <c r="AL3" s="42"/>
      <c r="AP3" s="41" t="s">
        <v>374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289</v>
      </c>
      <c r="L4" s="46">
        <v>1</v>
      </c>
      <c r="M4" s="46" t="s">
        <v>566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289</v>
      </c>
      <c r="AA4" s="46">
        <v>1</v>
      </c>
      <c r="AB4" s="46" t="s">
        <v>566</v>
      </c>
      <c r="AC4" s="46" t="s">
        <v>565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289</v>
      </c>
      <c r="AQ4" s="46">
        <v>1</v>
      </c>
      <c r="AR4" s="46">
        <v>2</v>
      </c>
    </row>
    <row r="5" spans="2:45" x14ac:dyDescent="0.25">
      <c r="B5" s="4" t="s">
        <v>53</v>
      </c>
      <c r="C5" s="47" t="s">
        <v>54</v>
      </c>
      <c r="D5" s="49" t="s">
        <v>387</v>
      </c>
      <c r="E5" s="48" t="s">
        <v>607</v>
      </c>
      <c r="F5" s="48" t="s">
        <v>480</v>
      </c>
      <c r="G5" s="48" t="s">
        <v>481</v>
      </c>
      <c r="H5" s="49" t="s">
        <v>482</v>
      </c>
      <c r="I5" s="51" t="s">
        <v>472</v>
      </c>
      <c r="K5" s="45" t="s">
        <v>290</v>
      </c>
      <c r="L5" s="47" t="s">
        <v>54</v>
      </c>
      <c r="M5" s="48" t="s">
        <v>475</v>
      </c>
      <c r="N5" s="48" t="s">
        <v>474</v>
      </c>
      <c r="O5" s="48" t="s">
        <v>492</v>
      </c>
      <c r="P5" s="47" t="s">
        <v>390</v>
      </c>
      <c r="Q5" s="48" t="s">
        <v>391</v>
      </c>
      <c r="R5" s="48" t="s">
        <v>392</v>
      </c>
      <c r="S5" s="48" t="s">
        <v>277</v>
      </c>
      <c r="T5" s="49" t="s">
        <v>467</v>
      </c>
      <c r="U5" s="48" t="s">
        <v>480</v>
      </c>
      <c r="V5" s="48" t="s">
        <v>481</v>
      </c>
      <c r="W5" s="49" t="s">
        <v>482</v>
      </c>
      <c r="X5" s="77" t="s">
        <v>472</v>
      </c>
      <c r="Z5" s="45" t="s">
        <v>290</v>
      </c>
      <c r="AA5" s="47" t="s">
        <v>54</v>
      </c>
      <c r="AB5" s="48" t="s">
        <v>475</v>
      </c>
      <c r="AC5" s="71" t="s">
        <v>492</v>
      </c>
      <c r="AD5" s="48" t="s">
        <v>116</v>
      </c>
      <c r="AE5" s="48" t="s">
        <v>115</v>
      </c>
      <c r="AF5" s="47" t="s">
        <v>390</v>
      </c>
      <c r="AG5" s="48" t="s">
        <v>391</v>
      </c>
      <c r="AH5" s="48" t="s">
        <v>473</v>
      </c>
      <c r="AI5" s="49" t="s">
        <v>467</v>
      </c>
      <c r="AJ5" s="48" t="s">
        <v>480</v>
      </c>
      <c r="AK5" s="48" t="s">
        <v>481</v>
      </c>
      <c r="AL5" s="49" t="s">
        <v>482</v>
      </c>
      <c r="AM5" s="77" t="s">
        <v>472</v>
      </c>
      <c r="AN5" s="70" t="s">
        <v>559</v>
      </c>
      <c r="AO5" s="4"/>
      <c r="AP5" s="45" t="s">
        <v>290</v>
      </c>
      <c r="AQ5" s="95" t="s">
        <v>54</v>
      </c>
      <c r="AR5" s="94" t="s">
        <v>606</v>
      </c>
      <c r="AS5" s="51" t="s">
        <v>472</v>
      </c>
    </row>
    <row r="6" spans="2:45" x14ac:dyDescent="0.25">
      <c r="B6" t="s">
        <v>299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470</v>
      </c>
      <c r="AP6" s="45"/>
      <c r="AQ6" s="96"/>
      <c r="AR6" s="38"/>
    </row>
    <row r="7" spans="2:45" x14ac:dyDescent="0.25">
      <c r="B7" t="s">
        <v>300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470</v>
      </c>
      <c r="AP7" s="45"/>
      <c r="AQ7" s="27"/>
      <c r="AR7" s="38"/>
    </row>
    <row r="8" spans="2:45" x14ac:dyDescent="0.25">
      <c r="B8" t="s">
        <v>301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>P8*U$3/1000*100</f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468</v>
      </c>
      <c r="Y8" t="s">
        <v>470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470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>AVERAGE(U9,AJ9)</f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>P9*U$3/1000*100</f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470</v>
      </c>
      <c r="AP9" s="45"/>
      <c r="AQ9" s="27"/>
      <c r="AR9" s="38"/>
    </row>
    <row r="10" spans="2:45" x14ac:dyDescent="0.25">
      <c r="B10" t="s">
        <v>11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388</v>
      </c>
      <c r="Y10" s="7" t="s">
        <v>470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470</v>
      </c>
      <c r="AP10" s="45"/>
      <c r="AQ10" s="27"/>
      <c r="AR10" s="38"/>
    </row>
    <row r="11" spans="2:45" x14ac:dyDescent="0.25">
      <c r="B11" t="s">
        <v>28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470</v>
      </c>
      <c r="AP11" s="45"/>
      <c r="AQ11" s="27"/>
      <c r="AR11" s="38"/>
    </row>
    <row r="12" spans="2:45" x14ac:dyDescent="0.25">
      <c r="B12" t="s">
        <v>16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491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558</v>
      </c>
      <c r="AO12" t="s">
        <v>470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32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491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560</v>
      </c>
      <c r="AO13" t="s">
        <v>470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33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491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561</v>
      </c>
      <c r="AO14" t="s">
        <v>470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34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491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562</v>
      </c>
      <c r="AO15" t="s">
        <v>470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305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491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470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35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491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563</v>
      </c>
      <c r="AO17" t="s">
        <v>470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36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491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564</v>
      </c>
      <c r="AO18" t="s">
        <v>470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37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491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310</v>
      </c>
      <c r="Y19" s="7" t="s">
        <v>470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310</v>
      </c>
      <c r="AO19" t="s">
        <v>470</v>
      </c>
      <c r="AP19" s="45"/>
      <c r="AQ19" s="27"/>
      <c r="AR19" s="38"/>
    </row>
    <row r="20" spans="2:45" x14ac:dyDescent="0.25">
      <c r="B20" t="s">
        <v>30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491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567</v>
      </c>
      <c r="AO20" t="s">
        <v>470</v>
      </c>
      <c r="AP20" s="45"/>
      <c r="AQ20" s="27"/>
      <c r="AR20" s="38">
        <v>16.8</v>
      </c>
      <c r="AS20" t="s">
        <v>567</v>
      </c>
    </row>
    <row r="21" spans="2:45" x14ac:dyDescent="0.25">
      <c r="B21" t="s">
        <v>38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491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568</v>
      </c>
      <c r="AO21" t="s">
        <v>470</v>
      </c>
      <c r="AP21" s="45"/>
      <c r="AQ21" s="27"/>
      <c r="AR21" s="38"/>
    </row>
    <row r="22" spans="2:45" x14ac:dyDescent="0.25">
      <c r="B22" t="s">
        <v>303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311</v>
      </c>
      <c r="Y22" t="s">
        <v>470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311</v>
      </c>
      <c r="AO22" t="s">
        <v>470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295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470</v>
      </c>
      <c r="AP23" s="45"/>
      <c r="AQ23" s="27"/>
      <c r="AR23" s="38"/>
    </row>
    <row r="24" spans="2:45" x14ac:dyDescent="0.25">
      <c r="B24" t="s">
        <v>306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470</v>
      </c>
      <c r="AP24" s="45"/>
      <c r="AQ24" s="27"/>
      <c r="AR24" s="38">
        <v>16</v>
      </c>
      <c r="AS24" s="7" t="s">
        <v>629</v>
      </c>
    </row>
    <row r="25" spans="2:45" x14ac:dyDescent="0.25">
      <c r="B25" t="s">
        <v>39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569</v>
      </c>
      <c r="AO25" t="s">
        <v>470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40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570</v>
      </c>
      <c r="Y26" t="s">
        <v>470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570</v>
      </c>
      <c r="AO26" t="s">
        <v>470</v>
      </c>
      <c r="AP26" s="45"/>
      <c r="AQ26" s="27"/>
      <c r="AR26" s="38"/>
    </row>
    <row r="27" spans="2:45" x14ac:dyDescent="0.25">
      <c r="B27" t="s">
        <v>31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571</v>
      </c>
      <c r="AO27" t="s">
        <v>470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41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572</v>
      </c>
      <c r="AO28" t="s">
        <v>470</v>
      </c>
      <c r="AP28" s="45"/>
      <c r="AQ28" s="27"/>
      <c r="AR28" s="38">
        <v>8.6</v>
      </c>
      <c r="AS28" t="s">
        <v>572</v>
      </c>
    </row>
    <row r="29" spans="2:45" x14ac:dyDescent="0.25">
      <c r="B29" t="s">
        <v>42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470</v>
      </c>
      <c r="AP29" s="45"/>
      <c r="AQ29" s="27"/>
      <c r="AR29" s="38"/>
    </row>
    <row r="30" spans="2:45" x14ac:dyDescent="0.25">
      <c r="B30" t="s">
        <v>307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308</v>
      </c>
      <c r="Y30" s="7" t="s">
        <v>470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470</v>
      </c>
      <c r="AP30" s="45"/>
      <c r="AQ30" s="27"/>
      <c r="AR30" s="38"/>
    </row>
    <row r="31" spans="2:45" x14ac:dyDescent="0.25">
      <c r="B31" t="s">
        <v>43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573</v>
      </c>
      <c r="AO31" t="s">
        <v>470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44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484</v>
      </c>
      <c r="Y32" s="7" t="s">
        <v>470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484</v>
      </c>
      <c r="AO32" t="s">
        <v>470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586</v>
      </c>
      <c r="C33" s="44">
        <f t="shared" ref="C33:C35" si="31">AVERAGE(AA33,L33)</f>
        <v>87.6</v>
      </c>
      <c r="D33" s="101">
        <f t="shared" ref="D33" si="32">M33</f>
        <v>16.941015999999998</v>
      </c>
      <c r="E33" s="43">
        <f t="shared" si="3"/>
        <v>5</v>
      </c>
      <c r="F33" s="28">
        <f t="shared" ref="F33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587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630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45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574</v>
      </c>
      <c r="AO36" t="s">
        <v>470</v>
      </c>
      <c r="AP36" s="45"/>
      <c r="AQ36" s="27"/>
      <c r="AR36" s="38"/>
    </row>
    <row r="37" spans="2:44" x14ac:dyDescent="0.25">
      <c r="B37" t="s">
        <v>46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470</v>
      </c>
      <c r="AP37" s="45"/>
      <c r="AQ37" s="27"/>
      <c r="AR37" s="38"/>
    </row>
    <row r="38" spans="2:44" x14ac:dyDescent="0.25">
      <c r="B38" t="s">
        <v>302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576</v>
      </c>
      <c r="AN38" s="75" t="s">
        <v>575</v>
      </c>
      <c r="AO38" t="s">
        <v>470</v>
      </c>
      <c r="AP38" s="45"/>
      <c r="AQ38" s="27"/>
      <c r="AR38" s="38"/>
    </row>
    <row r="39" spans="2:44" x14ac:dyDescent="0.25">
      <c r="B39" t="s">
        <v>373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577</v>
      </c>
      <c r="AO39" t="s">
        <v>470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47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578</v>
      </c>
      <c r="AO40" t="s">
        <v>470</v>
      </c>
      <c r="AP40" s="45"/>
      <c r="AQ40" s="27"/>
      <c r="AR40" s="38"/>
    </row>
    <row r="41" spans="2:44" x14ac:dyDescent="0.25">
      <c r="B41" t="s">
        <v>48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579</v>
      </c>
      <c r="AO41" t="s">
        <v>470</v>
      </c>
      <c r="AP41" s="45"/>
      <c r="AQ41" s="27"/>
      <c r="AR41" s="38"/>
    </row>
    <row r="42" spans="2:44" x14ac:dyDescent="0.25">
      <c r="B42" t="s">
        <v>49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470</v>
      </c>
      <c r="AP42" s="45"/>
      <c r="AQ42" s="27"/>
      <c r="AR42" s="38"/>
    </row>
    <row r="43" spans="2:44" x14ac:dyDescent="0.25">
      <c r="B43" t="s">
        <v>50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580</v>
      </c>
      <c r="Y43" t="s">
        <v>470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580</v>
      </c>
      <c r="AO43" t="s">
        <v>470</v>
      </c>
      <c r="AP43" s="45"/>
      <c r="AQ43" s="27"/>
      <c r="AR43" s="38"/>
    </row>
    <row r="44" spans="2:44" x14ac:dyDescent="0.25">
      <c r="B44" t="s">
        <v>51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581</v>
      </c>
      <c r="AO44" t="s">
        <v>470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599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52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582</v>
      </c>
      <c r="Y46" t="s">
        <v>470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582</v>
      </c>
      <c r="AO46" t="s">
        <v>470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312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495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494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493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389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workbookViewId="0">
      <selection activeCell="B32" sqref="B3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589</v>
      </c>
      <c r="I1" s="4" t="s">
        <v>590</v>
      </c>
      <c r="P1" s="4" t="s">
        <v>592</v>
      </c>
      <c r="W1" s="4" t="s">
        <v>591</v>
      </c>
      <c r="AD1" s="4" t="s">
        <v>593</v>
      </c>
      <c r="AJ1" s="4" t="s">
        <v>594</v>
      </c>
      <c r="AP1" s="4" t="s">
        <v>612</v>
      </c>
    </row>
    <row r="2" spans="1:45" x14ac:dyDescent="0.25">
      <c r="A2" s="36" t="s">
        <v>0</v>
      </c>
      <c r="B2" s="36" t="s">
        <v>375</v>
      </c>
      <c r="C2" s="36" t="s">
        <v>476</v>
      </c>
      <c r="D2" s="36" t="s">
        <v>608</v>
      </c>
      <c r="E2" s="36" t="s">
        <v>609</v>
      </c>
      <c r="F2" s="36" t="s">
        <v>610</v>
      </c>
      <c r="G2" s="36" t="s">
        <v>611</v>
      </c>
      <c r="H2" s="37"/>
      <c r="I2" s="36" t="s">
        <v>0</v>
      </c>
      <c r="J2" s="36" t="s">
        <v>18</v>
      </c>
      <c r="K2" s="36" t="s">
        <v>15</v>
      </c>
      <c r="L2" s="36" t="s">
        <v>588</v>
      </c>
      <c r="M2" s="36" t="s">
        <v>17</v>
      </c>
      <c r="N2" s="36" t="s">
        <v>477</v>
      </c>
      <c r="P2" s="36" t="s">
        <v>0</v>
      </c>
      <c r="Q2" s="36" t="s">
        <v>18</v>
      </c>
      <c r="R2" s="36" t="s">
        <v>15</v>
      </c>
      <c r="S2" s="36" t="s">
        <v>588</v>
      </c>
      <c r="T2" s="36" t="s">
        <v>17</v>
      </c>
      <c r="U2" s="36" t="s">
        <v>477</v>
      </c>
      <c r="W2" s="36" t="s">
        <v>0</v>
      </c>
      <c r="X2" s="36" t="s">
        <v>18</v>
      </c>
      <c r="Y2" s="36" t="s">
        <v>15</v>
      </c>
      <c r="Z2" s="36" t="s">
        <v>588</v>
      </c>
      <c r="AA2" s="36" t="s">
        <v>17</v>
      </c>
      <c r="AB2" s="36" t="s">
        <v>477</v>
      </c>
      <c r="AD2" s="36" t="s">
        <v>0</v>
      </c>
      <c r="AE2" s="36" t="s">
        <v>18</v>
      </c>
      <c r="AF2" s="36" t="s">
        <v>15</v>
      </c>
      <c r="AG2" s="36" t="s">
        <v>588</v>
      </c>
      <c r="AH2" s="36" t="s">
        <v>17</v>
      </c>
      <c r="AJ2" s="36" t="s">
        <v>0</v>
      </c>
      <c r="AK2" s="36" t="s">
        <v>18</v>
      </c>
      <c r="AL2" s="36" t="s">
        <v>15</v>
      </c>
      <c r="AM2" s="36" t="s">
        <v>588</v>
      </c>
      <c r="AN2" s="36" t="s">
        <v>17</v>
      </c>
      <c r="AP2" s="36" t="s">
        <v>0</v>
      </c>
      <c r="AQ2" s="36" t="s">
        <v>18</v>
      </c>
      <c r="AR2" s="36" t="s">
        <v>15</v>
      </c>
      <c r="AS2" s="102" t="s">
        <v>613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19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381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377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20</v>
      </c>
      <c r="AG3" s="65"/>
      <c r="AH3" s="65"/>
      <c r="AJ3" s="28" t="str">
        <f>'feed pars'!$B6</f>
        <v>ley silage, 1st cut</v>
      </c>
      <c r="AK3" t="s">
        <v>20</v>
      </c>
      <c r="AL3" t="s">
        <v>291</v>
      </c>
      <c r="AM3" s="65"/>
      <c r="AN3" s="65"/>
      <c r="AP3" s="28" t="str">
        <f>'feed pars'!$B6</f>
        <v>ley silage, 1st cut</v>
      </c>
      <c r="AQ3" t="s">
        <v>374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19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381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377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20</v>
      </c>
      <c r="AG4" s="37"/>
      <c r="AH4" s="37"/>
      <c r="AJ4" s="28" t="str">
        <f>'feed pars'!$B7</f>
        <v>ley silage, regrowth</v>
      </c>
      <c r="AK4" t="s">
        <v>20</v>
      </c>
      <c r="AL4" t="s">
        <v>291</v>
      </c>
      <c r="AM4" s="37"/>
      <c r="AN4" s="37"/>
      <c r="AP4" s="28" t="str">
        <f>'feed pars'!$B7</f>
        <v>ley silage, regrowth</v>
      </c>
      <c r="AQ4" t="s">
        <v>374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19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381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377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20</v>
      </c>
      <c r="AG5" s="37"/>
      <c r="AH5" s="37"/>
      <c r="AJ5" s="28" t="str">
        <f>'feed pars'!$B8</f>
        <v>other silage</v>
      </c>
      <c r="AK5" t="s">
        <v>20</v>
      </c>
      <c r="AL5" t="s">
        <v>291</v>
      </c>
      <c r="AM5" s="37"/>
      <c r="AN5" s="37"/>
      <c r="AP5" s="28" t="str">
        <f>'feed pars'!$B8</f>
        <v>other silage</v>
      </c>
      <c r="AQ5" t="s">
        <v>374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19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381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377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20</v>
      </c>
      <c r="AG6" s="37"/>
      <c r="AH6" s="37"/>
      <c r="AJ6" s="28" t="str">
        <f>'feed pars'!$B9</f>
        <v>hay</v>
      </c>
      <c r="AK6" t="s">
        <v>20</v>
      </c>
      <c r="AL6" t="s">
        <v>291</v>
      </c>
      <c r="AM6" s="37"/>
      <c r="AN6" s="37"/>
      <c r="AP6" s="28" t="str">
        <f>'feed pars'!$B9</f>
        <v>hay</v>
      </c>
      <c r="AQ6" t="s">
        <v>374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19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381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377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20</v>
      </c>
      <c r="AG7" s="37"/>
      <c r="AH7" s="37"/>
      <c r="AJ7" s="28" t="str">
        <f>'feed pars'!$B10</f>
        <v>maize silage</v>
      </c>
      <c r="AK7" t="s">
        <v>20</v>
      </c>
      <c r="AL7" t="s">
        <v>291</v>
      </c>
      <c r="AM7" s="37"/>
      <c r="AN7" s="37"/>
      <c r="AP7" s="28" t="str">
        <f>'feed pars'!$B10</f>
        <v>maize silage</v>
      </c>
      <c r="AQ7" t="s">
        <v>374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19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381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377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20</v>
      </c>
      <c r="AG8" s="37"/>
      <c r="AH8" s="37"/>
      <c r="AJ8" s="28" t="str">
        <f>'feed pars'!$B11</f>
        <v>grazing</v>
      </c>
      <c r="AK8" t="s">
        <v>20</v>
      </c>
      <c r="AL8" t="s">
        <v>291</v>
      </c>
      <c r="AM8" s="37"/>
      <c r="AN8" s="37"/>
      <c r="AP8" s="28" t="str">
        <f>'feed pars'!$B11</f>
        <v>grazing</v>
      </c>
      <c r="AQ8" t="s">
        <v>374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19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381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377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20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20</v>
      </c>
      <c r="AL9" t="s">
        <v>291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374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19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381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377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20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20</v>
      </c>
      <c r="AL10" t="s">
        <v>291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374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19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381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377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20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20</v>
      </c>
      <c r="AL11" t="s">
        <v>291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374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19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381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377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20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20</v>
      </c>
      <c r="AL12" t="s">
        <v>291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374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19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381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377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20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20</v>
      </c>
      <c r="AL13" t="s">
        <v>291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374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19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381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377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20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20</v>
      </c>
      <c r="AL14" t="s">
        <v>291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374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19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381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377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20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20</v>
      </c>
      <c r="AL15" t="s">
        <v>291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374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19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381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377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20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20</v>
      </c>
      <c r="AL16" t="s">
        <v>291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374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19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381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377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20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20</v>
      </c>
      <c r="AL17" t="s">
        <v>291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374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19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381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377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20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20</v>
      </c>
      <c r="AL18" t="s">
        <v>291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374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19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381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377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20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20</v>
      </c>
      <c r="AL19" t="s">
        <v>291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374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19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381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377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20</v>
      </c>
      <c r="AF20" s="37"/>
      <c r="AG20" s="37"/>
      <c r="AH20" s="37"/>
      <c r="AJ20" s="28" t="str">
        <f>'feed pars'!$B23</f>
        <v>straw</v>
      </c>
      <c r="AK20" t="s">
        <v>20</v>
      </c>
      <c r="AL20" t="s">
        <v>291</v>
      </c>
      <c r="AM20" s="37"/>
      <c r="AN20" s="37"/>
      <c r="AP20" s="28" t="str">
        <f>'feed pars'!$B23</f>
        <v>straw</v>
      </c>
      <c r="AQ20" t="s">
        <v>374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19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381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377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20</v>
      </c>
      <c r="AF21" s="37"/>
      <c r="AG21" s="37"/>
      <c r="AH21" s="37"/>
      <c r="AJ21" s="28" t="str">
        <f>'feed pars'!$B24</f>
        <v>soybeans</v>
      </c>
      <c r="AK21" t="s">
        <v>20</v>
      </c>
      <c r="AL21" t="s">
        <v>291</v>
      </c>
      <c r="AM21" s="37"/>
      <c r="AN21" s="37"/>
      <c r="AP21" s="28" t="str">
        <f>'feed pars'!$B24</f>
        <v>soybeans</v>
      </c>
      <c r="AQ21" t="s">
        <v>374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19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381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377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20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20</v>
      </c>
      <c r="AL22" t="s">
        <v>291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374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19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381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377</v>
      </c>
      <c r="Z23" s="37"/>
      <c r="AA23" s="37"/>
      <c r="AB23" s="37"/>
      <c r="AD23" s="28" t="str">
        <f>'feed pars'!$B26</f>
        <v>soybean protein concentrate</v>
      </c>
      <c r="AE23" t="s">
        <v>20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20</v>
      </c>
      <c r="AL23" t="s">
        <v>291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374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19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381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377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20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20</v>
      </c>
      <c r="AL24" t="s">
        <v>291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374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19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381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377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20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20</v>
      </c>
      <c r="AL25" t="s">
        <v>291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374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19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381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377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20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20</v>
      </c>
      <c r="AL26" t="s">
        <v>291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374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19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381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377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20</v>
      </c>
      <c r="AF27" s="37"/>
      <c r="AG27" s="37"/>
      <c r="AH27" s="37"/>
      <c r="AJ27" s="28" t="str">
        <f>'feed pars'!$B30</f>
        <v>luzern meal</v>
      </c>
      <c r="AK27" t="s">
        <v>20</v>
      </c>
      <c r="AL27" t="s">
        <v>291</v>
      </c>
      <c r="AM27" s="37"/>
      <c r="AN27" s="37"/>
      <c r="AP27" s="28" t="str">
        <f>'feed pars'!$B30</f>
        <v>luzern meal</v>
      </c>
      <c r="AQ27" t="s">
        <v>374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19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381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377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20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20</v>
      </c>
      <c r="AL28" t="s">
        <v>291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374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19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381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377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20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20</v>
      </c>
      <c r="AL29" t="s">
        <v>291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374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19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381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377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20</v>
      </c>
      <c r="AF30" s="37"/>
      <c r="AG30" s="37"/>
      <c r="AH30" s="37"/>
      <c r="AJ30" s="28" t="str">
        <f>'feed pars'!$B33</f>
        <v>oat hulls</v>
      </c>
      <c r="AK30" t="s">
        <v>20</v>
      </c>
      <c r="AL30" t="s">
        <v>291</v>
      </c>
      <c r="AM30" s="37"/>
      <c r="AN30" s="37"/>
      <c r="AP30" s="28" t="str">
        <f>'feed pars'!$B33</f>
        <v>oat hulls</v>
      </c>
      <c r="AQ30" t="s">
        <v>374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19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381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377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20</v>
      </c>
      <c r="AF31" s="37"/>
      <c r="AG31" s="37"/>
      <c r="AH31" s="37"/>
      <c r="AJ31" s="28" t="str">
        <f>'feed pars'!$B34</f>
        <v>oat bran</v>
      </c>
      <c r="AK31" t="s">
        <v>20</v>
      </c>
      <c r="AL31" t="s">
        <v>291</v>
      </c>
      <c r="AM31" s="37"/>
      <c r="AN31" s="37"/>
      <c r="AP31" s="28" t="str">
        <f>'feed pars'!$B34</f>
        <v>oat bran</v>
      </c>
      <c r="AQ31" t="s">
        <v>374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19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381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377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19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381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377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20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20</v>
      </c>
      <c r="AL33" t="s">
        <v>291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374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19</v>
      </c>
      <c r="L34" s="37"/>
      <c r="M34" s="37"/>
      <c r="N34" s="37"/>
      <c r="P34" s="28" t="str">
        <f>'feed pars'!$B37</f>
        <v>wheat distillers grain, wet</v>
      </c>
      <c r="Q34" t="s">
        <v>381</v>
      </c>
      <c r="S34" s="37"/>
      <c r="T34" s="37"/>
      <c r="U34" s="37"/>
      <c r="W34" s="28" t="str">
        <f>'feed pars'!$B37</f>
        <v>wheat distillers grain, wet</v>
      </c>
      <c r="X34" t="s">
        <v>377</v>
      </c>
      <c r="Z34" s="37"/>
      <c r="AA34" s="37"/>
      <c r="AB34" s="37"/>
      <c r="AD34" s="28" t="str">
        <f>'feed pars'!$B37</f>
        <v>wheat distillers grain, wet</v>
      </c>
      <c r="AE34" t="s">
        <v>20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20</v>
      </c>
      <c r="AL34" t="s">
        <v>291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374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19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381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377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20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20</v>
      </c>
      <c r="AL35" t="s">
        <v>291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374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19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381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377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20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20</v>
      </c>
      <c r="AL36" t="s">
        <v>291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374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19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381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377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20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20</v>
      </c>
      <c r="AL37" t="s">
        <v>291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374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19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381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377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20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20</v>
      </c>
      <c r="AL38" t="s">
        <v>291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374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19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381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377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20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20</v>
      </c>
      <c r="AL39" t="s">
        <v>291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374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19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381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377</v>
      </c>
      <c r="Z40" s="37"/>
      <c r="AA40" s="37"/>
      <c r="AB40" s="37"/>
      <c r="AD40" s="28" t="str">
        <f>'feed pars'!$B43</f>
        <v>whey powder</v>
      </c>
      <c r="AE40" t="s">
        <v>20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20</v>
      </c>
      <c r="AL40" t="s">
        <v>291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374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19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381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377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20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20</v>
      </c>
      <c r="AL41" t="s">
        <v>291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374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19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381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377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20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20</v>
      </c>
      <c r="AL42" s="37" t="s">
        <v>291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374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19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381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377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20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20</v>
      </c>
      <c r="AL43" s="36" t="s">
        <v>291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374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25" sqref="F25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53</v>
      </c>
      <c r="B2" s="15" t="s">
        <v>117</v>
      </c>
      <c r="C2" s="15" t="s">
        <v>120</v>
      </c>
      <c r="D2" s="15" t="s">
        <v>121</v>
      </c>
      <c r="E2" s="15" t="s">
        <v>116</v>
      </c>
      <c r="F2" s="15" t="s">
        <v>115</v>
      </c>
      <c r="G2" s="15" t="s">
        <v>114</v>
      </c>
      <c r="H2" s="15" t="s">
        <v>122</v>
      </c>
      <c r="I2" s="15" t="s">
        <v>123</v>
      </c>
      <c r="J2" s="15" t="s">
        <v>124</v>
      </c>
      <c r="K2" s="15" t="s">
        <v>118</v>
      </c>
      <c r="L2" s="15" t="s">
        <v>119</v>
      </c>
      <c r="M2" s="15" t="s">
        <v>125</v>
      </c>
      <c r="N2" s="15" t="s">
        <v>126</v>
      </c>
      <c r="O2" s="15" t="s">
        <v>127</v>
      </c>
      <c r="P2" s="15" t="s">
        <v>128</v>
      </c>
      <c r="Q2" s="15" t="s">
        <v>129</v>
      </c>
      <c r="R2" s="15" t="s">
        <v>130</v>
      </c>
      <c r="S2" s="15" t="s">
        <v>131</v>
      </c>
      <c r="T2" s="15" t="s">
        <v>132</v>
      </c>
      <c r="U2" s="15" t="s">
        <v>133</v>
      </c>
      <c r="V2" s="15" t="s">
        <v>134</v>
      </c>
      <c r="W2" s="15" t="s">
        <v>135</v>
      </c>
      <c r="X2" s="15" t="s">
        <v>136</v>
      </c>
      <c r="Y2" s="15" t="s">
        <v>137</v>
      </c>
      <c r="Z2" s="15" t="s">
        <v>138</v>
      </c>
      <c r="AA2" s="15" t="s">
        <v>139</v>
      </c>
      <c r="AB2" s="15" t="s">
        <v>140</v>
      </c>
      <c r="AC2" s="15" t="s">
        <v>141</v>
      </c>
      <c r="AD2" s="15" t="s">
        <v>142</v>
      </c>
      <c r="AE2" s="15" t="s">
        <v>143</v>
      </c>
      <c r="AF2" s="15" t="s">
        <v>144</v>
      </c>
      <c r="AG2" s="15" t="s">
        <v>145</v>
      </c>
      <c r="AH2" s="15" t="s">
        <v>146</v>
      </c>
      <c r="AI2" s="15" t="s">
        <v>147</v>
      </c>
      <c r="AJ2" s="15" t="s">
        <v>148</v>
      </c>
      <c r="AK2" s="15" t="s">
        <v>149</v>
      </c>
      <c r="AL2" s="15" t="s">
        <v>150</v>
      </c>
      <c r="AM2" s="15" t="s">
        <v>151</v>
      </c>
      <c r="AN2" s="15" t="s">
        <v>152</v>
      </c>
      <c r="AO2" s="15" t="s">
        <v>153</v>
      </c>
    </row>
    <row r="3" spans="1:41" x14ac:dyDescent="0.25">
      <c r="A3" t="s">
        <v>46</v>
      </c>
      <c r="B3" s="8">
        <v>1</v>
      </c>
      <c r="C3" s="9" t="s">
        <v>56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57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45</v>
      </c>
      <c r="B5" s="8">
        <v>3</v>
      </c>
      <c r="C5" s="9" t="s">
        <v>58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48</v>
      </c>
      <c r="B6" s="11">
        <v>4</v>
      </c>
      <c r="C6" s="12" t="s">
        <v>59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60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55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52</v>
      </c>
      <c r="B9" s="8">
        <v>7</v>
      </c>
      <c r="C9" s="9" t="s">
        <v>61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62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63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64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33</v>
      </c>
      <c r="B13" s="8">
        <v>11</v>
      </c>
      <c r="C13" s="9" t="s">
        <v>65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66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32</v>
      </c>
      <c r="B15" s="8">
        <v>13</v>
      </c>
      <c r="C15" s="9" t="s">
        <v>67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38</v>
      </c>
      <c r="B16" s="11">
        <v>14</v>
      </c>
      <c r="C16" s="12" t="s">
        <v>68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69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70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71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72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35</v>
      </c>
      <c r="B21" s="8">
        <v>19</v>
      </c>
      <c r="C21" s="9" t="s">
        <v>73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74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75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373</v>
      </c>
      <c r="B24" s="11">
        <v>22</v>
      </c>
      <c r="C24" s="12" t="s">
        <v>76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47</v>
      </c>
      <c r="B25" s="8">
        <v>23</v>
      </c>
      <c r="C25" s="9" t="s">
        <v>77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78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79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80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303</v>
      </c>
      <c r="B30" s="11">
        <v>28</v>
      </c>
      <c r="C30" s="12" t="s">
        <v>82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42</v>
      </c>
      <c r="B31" s="8">
        <v>29</v>
      </c>
      <c r="C31" s="9" t="s">
        <v>83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84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51</v>
      </c>
      <c r="B33" s="8">
        <v>31</v>
      </c>
      <c r="C33" s="9" t="s">
        <v>85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86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30</v>
      </c>
      <c r="B35" s="8">
        <v>33</v>
      </c>
      <c r="C35" s="9" t="s">
        <v>87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88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89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31</v>
      </c>
      <c r="B38" s="11">
        <v>36</v>
      </c>
      <c r="C38" s="12" t="s">
        <v>90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91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305</v>
      </c>
      <c r="B40" s="11">
        <v>38</v>
      </c>
      <c r="C40" s="12" t="s">
        <v>92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34</v>
      </c>
      <c r="B41" s="8">
        <v>39</v>
      </c>
      <c r="C41" s="9" t="s">
        <v>93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94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95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96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39</v>
      </c>
      <c r="B45" s="8">
        <v>43</v>
      </c>
      <c r="C45" s="9" t="s">
        <v>97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98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40</v>
      </c>
      <c r="B47" s="8">
        <v>45</v>
      </c>
      <c r="C47" s="9" t="s">
        <v>99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41</v>
      </c>
      <c r="B48" s="11">
        <v>46</v>
      </c>
      <c r="C48" s="12" t="s">
        <v>100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101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102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103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49</v>
      </c>
      <c r="B52" s="11">
        <v>50</v>
      </c>
      <c r="C52" s="12" t="s">
        <v>104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105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50</v>
      </c>
      <c r="B54" s="11">
        <v>52</v>
      </c>
      <c r="C54" s="12" t="s">
        <v>106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16</v>
      </c>
      <c r="B55" s="8">
        <v>53</v>
      </c>
      <c r="C55" s="9" t="s">
        <v>107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44</v>
      </c>
      <c r="B56" s="11">
        <v>54</v>
      </c>
      <c r="C56" s="12" t="s">
        <v>108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43</v>
      </c>
      <c r="B57" s="8">
        <v>55</v>
      </c>
      <c r="C57" s="9" t="s">
        <v>109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36</v>
      </c>
      <c r="B58" s="11">
        <v>56</v>
      </c>
      <c r="C58" s="12" t="s">
        <v>110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37</v>
      </c>
      <c r="B59" s="8">
        <v>57</v>
      </c>
      <c r="C59" s="9" t="s">
        <v>111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112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19" workbookViewId="0">
      <selection activeCell="C29" sqref="C29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53</v>
      </c>
      <c r="B2" s="15" t="s">
        <v>117</v>
      </c>
      <c r="C2" s="15" t="s">
        <v>120</v>
      </c>
      <c r="D2" s="15" t="s">
        <v>121</v>
      </c>
      <c r="E2" s="15" t="s">
        <v>271</v>
      </c>
      <c r="F2" s="15" t="s">
        <v>272</v>
      </c>
      <c r="G2" s="15" t="s">
        <v>273</v>
      </c>
      <c r="H2" s="15" t="s">
        <v>274</v>
      </c>
      <c r="I2" s="15" t="s">
        <v>275</v>
      </c>
      <c r="J2" s="15" t="s">
        <v>276</v>
      </c>
      <c r="K2" s="15" t="s">
        <v>123</v>
      </c>
      <c r="L2" s="15" t="s">
        <v>124</v>
      </c>
      <c r="M2" s="15" t="s">
        <v>127</v>
      </c>
      <c r="N2" s="15" t="s">
        <v>277</v>
      </c>
      <c r="O2" s="15" t="s">
        <v>278</v>
      </c>
      <c r="P2" s="15" t="s">
        <v>279</v>
      </c>
      <c r="Q2" s="15" t="s">
        <v>280</v>
      </c>
      <c r="R2" s="15" t="s">
        <v>281</v>
      </c>
      <c r="S2" s="15" t="s">
        <v>282</v>
      </c>
      <c r="T2" s="15" t="s">
        <v>283</v>
      </c>
      <c r="U2" s="15" t="s">
        <v>284</v>
      </c>
      <c r="V2" s="15" t="s">
        <v>285</v>
      </c>
      <c r="W2" s="15" t="s">
        <v>126</v>
      </c>
      <c r="X2" s="15" t="s">
        <v>286</v>
      </c>
      <c r="Y2" s="15" t="s">
        <v>125</v>
      </c>
      <c r="Z2" s="15" t="s">
        <v>118</v>
      </c>
      <c r="AA2" s="15" t="s">
        <v>287</v>
      </c>
      <c r="AB2" s="15" t="s">
        <v>143</v>
      </c>
      <c r="AC2" s="15" t="s">
        <v>144</v>
      </c>
      <c r="AD2" s="15" t="s">
        <v>145</v>
      </c>
      <c r="AE2" s="15" t="s">
        <v>146</v>
      </c>
      <c r="AF2" s="15" t="s">
        <v>147</v>
      </c>
      <c r="AG2" s="15" t="s">
        <v>288</v>
      </c>
      <c r="AH2" s="15" t="s">
        <v>147</v>
      </c>
    </row>
    <row r="3" spans="1:34" x14ac:dyDescent="0.25">
      <c r="B3" s="8">
        <v>1</v>
      </c>
      <c r="C3" s="10" t="s">
        <v>154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155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156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157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158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159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160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161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162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163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164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165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166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167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168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169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170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171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172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173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174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295</v>
      </c>
      <c r="B24" s="11">
        <v>22</v>
      </c>
      <c r="C24" s="13" t="s">
        <v>175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176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177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178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179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587</v>
      </c>
      <c r="B29" s="8">
        <v>27</v>
      </c>
      <c r="C29" s="10" t="s">
        <v>180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33</v>
      </c>
      <c r="B30" s="11">
        <v>28</v>
      </c>
      <c r="C30" s="13" t="s">
        <v>181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586</v>
      </c>
      <c r="B31" s="8">
        <v>29</v>
      </c>
      <c r="C31" s="10" t="s">
        <v>182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66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183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184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185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186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187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188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189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302</v>
      </c>
      <c r="B40" s="11">
        <v>38</v>
      </c>
      <c r="C40" s="13" t="s">
        <v>190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191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192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193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32</v>
      </c>
      <c r="B44" s="11">
        <v>42</v>
      </c>
      <c r="C44" s="13" t="s">
        <v>194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195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196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38</v>
      </c>
      <c r="B47" s="8">
        <v>45</v>
      </c>
      <c r="C47" s="10" t="s">
        <v>197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198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199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200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201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373</v>
      </c>
      <c r="B52" s="11">
        <v>50</v>
      </c>
      <c r="C52" s="13" t="s">
        <v>202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11</v>
      </c>
      <c r="B53" s="8">
        <v>51</v>
      </c>
      <c r="C53" s="10" t="s">
        <v>203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204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35</v>
      </c>
      <c r="B55" s="8">
        <v>53</v>
      </c>
      <c r="C55" s="10" t="s">
        <v>205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206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207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208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49</v>
      </c>
      <c r="B59" s="8">
        <v>57</v>
      </c>
      <c r="C59" s="10" t="s">
        <v>209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210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211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42</v>
      </c>
      <c r="B62" s="11">
        <v>60</v>
      </c>
      <c r="C62" s="13" t="s">
        <v>212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213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214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599</v>
      </c>
      <c r="B65" s="8">
        <v>63</v>
      </c>
      <c r="C65" s="10" t="s">
        <v>215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216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51</v>
      </c>
      <c r="B67" s="8">
        <v>65</v>
      </c>
      <c r="C67" s="10" t="s">
        <v>217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297</v>
      </c>
      <c r="B68" s="11">
        <v>66</v>
      </c>
      <c r="C68" s="13" t="s">
        <v>218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219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220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221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31</v>
      </c>
      <c r="B72" s="11">
        <v>70</v>
      </c>
      <c r="C72" s="13" t="s">
        <v>222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30</v>
      </c>
      <c r="B73" s="8">
        <v>71</v>
      </c>
      <c r="C73" s="10" t="s">
        <v>223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224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225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226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227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630</v>
      </c>
      <c r="B78" s="11">
        <v>76</v>
      </c>
      <c r="C78" s="13" t="s">
        <v>228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305</v>
      </c>
      <c r="B79" s="8">
        <v>77</v>
      </c>
      <c r="C79" s="10" t="s">
        <v>229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34</v>
      </c>
      <c r="B80" s="11">
        <v>78</v>
      </c>
      <c r="C80" s="13" t="s">
        <v>230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231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232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233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234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235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236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237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238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239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47</v>
      </c>
      <c r="B90" s="11">
        <v>88</v>
      </c>
      <c r="C90" s="13" t="s">
        <v>240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241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242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48</v>
      </c>
      <c r="B93" s="8">
        <v>91</v>
      </c>
      <c r="C93" s="10" t="s">
        <v>243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306</v>
      </c>
      <c r="B94" s="11">
        <v>92</v>
      </c>
      <c r="C94" s="13" t="s">
        <v>244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39</v>
      </c>
      <c r="B95" s="8">
        <v>93</v>
      </c>
      <c r="C95" s="10" t="s">
        <v>245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246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247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248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249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250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41</v>
      </c>
      <c r="B101" s="8">
        <v>99</v>
      </c>
      <c r="C101" s="10" t="s">
        <v>251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252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253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254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255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256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257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258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259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260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45</v>
      </c>
      <c r="B111" s="8">
        <v>109</v>
      </c>
      <c r="C111" s="10" t="s">
        <v>261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262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43</v>
      </c>
      <c r="B113" s="8">
        <v>111</v>
      </c>
      <c r="C113" s="10" t="s">
        <v>263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16</v>
      </c>
      <c r="B114" s="11">
        <v>112</v>
      </c>
      <c r="C114" s="13" t="s">
        <v>264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265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266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36</v>
      </c>
      <c r="B117" s="8">
        <v>115</v>
      </c>
      <c r="C117" s="10" t="s">
        <v>267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268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269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270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117</v>
      </c>
      <c r="C2" s="15" t="s">
        <v>120</v>
      </c>
      <c r="D2" s="15" t="s">
        <v>323</v>
      </c>
      <c r="E2" s="15" t="s">
        <v>272</v>
      </c>
      <c r="F2" s="15" t="s">
        <v>273</v>
      </c>
      <c r="G2" s="15" t="s">
        <v>393</v>
      </c>
      <c r="H2" s="15" t="s">
        <v>394</v>
      </c>
      <c r="I2" s="15" t="s">
        <v>395</v>
      </c>
      <c r="J2" s="15" t="s">
        <v>396</v>
      </c>
      <c r="K2" s="15" t="s">
        <v>397</v>
      </c>
      <c r="L2" s="15" t="s">
        <v>398</v>
      </c>
      <c r="M2" s="15" t="s">
        <v>399</v>
      </c>
      <c r="N2" s="15" t="s">
        <v>400</v>
      </c>
      <c r="O2" s="15" t="s">
        <v>401</v>
      </c>
      <c r="P2" s="15" t="s">
        <v>402</v>
      </c>
      <c r="Q2" s="15" t="s">
        <v>403</v>
      </c>
      <c r="R2" s="15" t="s">
        <v>404</v>
      </c>
      <c r="S2" s="15" t="s">
        <v>405</v>
      </c>
      <c r="T2" s="15" t="s">
        <v>406</v>
      </c>
      <c r="U2" s="15" t="s">
        <v>118</v>
      </c>
      <c r="V2" s="15" t="s">
        <v>407</v>
      </c>
      <c r="W2" s="15" t="s">
        <v>143</v>
      </c>
      <c r="X2" s="15" t="s">
        <v>144</v>
      </c>
      <c r="Y2" s="15" t="s">
        <v>145</v>
      </c>
      <c r="Z2" s="15" t="s">
        <v>146</v>
      </c>
      <c r="AA2" s="15" t="s">
        <v>147</v>
      </c>
      <c r="AB2" s="15" t="s">
        <v>288</v>
      </c>
    </row>
    <row r="3" spans="2:31" x14ac:dyDescent="0.25">
      <c r="B3" s="8">
        <v>1</v>
      </c>
      <c r="C3" s="23" t="s">
        <v>408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409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410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411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412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413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414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415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416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417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418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419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420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421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422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423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424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425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426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427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428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429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430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431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432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433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434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435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436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437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438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439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440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441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442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443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444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445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446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447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448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449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450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451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452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453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454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455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456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457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458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459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460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461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462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463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464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465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466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53</v>
      </c>
      <c r="B2" s="15" t="s">
        <v>117</v>
      </c>
      <c r="C2" s="15" t="s">
        <v>521</v>
      </c>
      <c r="D2" s="15" t="s">
        <v>322</v>
      </c>
      <c r="E2" s="15" t="s">
        <v>496</v>
      </c>
      <c r="F2" s="15" t="s">
        <v>497</v>
      </c>
      <c r="G2" s="15" t="s">
        <v>498</v>
      </c>
      <c r="H2" s="15" t="s">
        <v>499</v>
      </c>
      <c r="I2" s="15" t="s">
        <v>500</v>
      </c>
      <c r="J2" s="15" t="s">
        <v>501</v>
      </c>
      <c r="K2" s="15" t="s">
        <v>502</v>
      </c>
      <c r="L2" s="15" t="s">
        <v>503</v>
      </c>
      <c r="M2" s="15" t="s">
        <v>504</v>
      </c>
      <c r="N2" s="15" t="s">
        <v>505</v>
      </c>
    </row>
    <row r="3" spans="1:14" x14ac:dyDescent="0.25">
      <c r="B3" s="8">
        <v>1</v>
      </c>
      <c r="C3" s="10" t="s">
        <v>506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507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508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509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166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522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523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524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525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510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511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526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527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528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184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529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530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531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532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512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533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513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534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514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535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217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536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537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538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539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540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541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542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543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515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544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545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546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516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517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547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548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518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549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550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551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519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520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552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553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554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555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556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557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53</v>
      </c>
      <c r="B2" s="15" t="s">
        <v>117</v>
      </c>
      <c r="C2" s="15" t="s">
        <v>120</v>
      </c>
      <c r="D2" s="15" t="s">
        <v>322</v>
      </c>
      <c r="E2" s="15" t="s">
        <v>323</v>
      </c>
      <c r="F2" s="15" t="s">
        <v>324</v>
      </c>
      <c r="G2" s="15" t="s">
        <v>325</v>
      </c>
      <c r="H2" s="15" t="s">
        <v>326</v>
      </c>
      <c r="I2" s="15" t="s">
        <v>327</v>
      </c>
      <c r="J2" s="15" t="s">
        <v>328</v>
      </c>
      <c r="K2" s="15" t="s">
        <v>329</v>
      </c>
      <c r="L2" s="15" t="s">
        <v>125</v>
      </c>
      <c r="M2" s="15" t="s">
        <v>126</v>
      </c>
      <c r="N2" s="15" t="s">
        <v>124</v>
      </c>
      <c r="O2" s="15" t="s">
        <v>143</v>
      </c>
      <c r="P2" s="15" t="s">
        <v>330</v>
      </c>
      <c r="Q2" s="15" t="s">
        <v>331</v>
      </c>
      <c r="R2" s="15" t="s">
        <v>146</v>
      </c>
      <c r="S2" s="15" t="s">
        <v>147</v>
      </c>
      <c r="T2" s="15" t="s">
        <v>332</v>
      </c>
      <c r="U2" s="15" t="s">
        <v>333</v>
      </c>
    </row>
    <row r="3" spans="1:21" x14ac:dyDescent="0.25">
      <c r="A3" t="s">
        <v>303</v>
      </c>
      <c r="B3" s="8">
        <v>1</v>
      </c>
      <c r="C3" s="10" t="s">
        <v>334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335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336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337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338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52</v>
      </c>
      <c r="B8" s="11">
        <v>6</v>
      </c>
      <c r="C8" s="13" t="s">
        <v>339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340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341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342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33</v>
      </c>
      <c r="B12" s="11">
        <v>10</v>
      </c>
      <c r="C12" s="13" t="s">
        <v>343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344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345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346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347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348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32</v>
      </c>
      <c r="B18" s="11">
        <v>16</v>
      </c>
      <c r="C18" s="13" t="s">
        <v>349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350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351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352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353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354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355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356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35</v>
      </c>
      <c r="B26" s="11">
        <v>24</v>
      </c>
      <c r="C26" s="13" t="s">
        <v>357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373</v>
      </c>
      <c r="B27" s="8">
        <v>25</v>
      </c>
      <c r="C27" s="10" t="s">
        <v>358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359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360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51</v>
      </c>
      <c r="B30" s="11">
        <v>28</v>
      </c>
      <c r="C30" s="13" t="s">
        <v>361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31</v>
      </c>
      <c r="B31" s="8">
        <v>29</v>
      </c>
      <c r="C31" s="10" t="s">
        <v>362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305</v>
      </c>
      <c r="B32" s="11">
        <v>30</v>
      </c>
      <c r="C32" s="13" t="s">
        <v>363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34</v>
      </c>
      <c r="B33" s="8">
        <v>31</v>
      </c>
      <c r="C33" s="10" t="s">
        <v>364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365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39</v>
      </c>
      <c r="B35" s="8">
        <v>33</v>
      </c>
      <c r="C35" s="10" t="s">
        <v>366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367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16</v>
      </c>
      <c r="B37" s="8">
        <v>35</v>
      </c>
      <c r="C37" s="10" t="s">
        <v>368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44</v>
      </c>
      <c r="B38" s="11">
        <v>36</v>
      </c>
      <c r="C38" s="13" t="s">
        <v>369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370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43</v>
      </c>
      <c r="B40" s="11">
        <v>38</v>
      </c>
      <c r="C40" s="13" t="s">
        <v>371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36</v>
      </c>
      <c r="B41" s="8">
        <v>39</v>
      </c>
      <c r="C41" s="10" t="s">
        <v>372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default</vt:lpstr>
      <vt:lpstr>feed pars</vt:lpstr>
      <vt:lpstr>feed pars csv</vt:lpstr>
      <vt:lpstr>max SNG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2023-12-05T14:30:48Z</dcterms:modified>
</cp:coreProperties>
</file>