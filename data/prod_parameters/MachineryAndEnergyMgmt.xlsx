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  <sheet name="energy stables" sheetId="3" r:id="rId2"/>
    <sheet name="references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7" i="1" l="1"/>
  <c r="D32" i="3"/>
  <c r="M159" i="1" s="1"/>
  <c r="I16" i="3"/>
  <c r="H16" i="3"/>
  <c r="F16" i="3"/>
  <c r="E16" i="3"/>
  <c r="I14" i="3"/>
  <c r="H14" i="3"/>
  <c r="F14" i="3"/>
  <c r="E14" i="3"/>
  <c r="E27" i="3" s="1"/>
  <c r="M155" i="1" s="1"/>
  <c r="H18" i="3" l="1"/>
  <c r="I21" i="3"/>
  <c r="E18" i="3"/>
  <c r="E30" i="3" s="1"/>
  <c r="E21" i="3"/>
  <c r="G21" i="3"/>
  <c r="G23" i="3" s="1"/>
  <c r="D21" i="3"/>
  <c r="D23" i="3" s="1"/>
  <c r="I19" i="3" l="1"/>
  <c r="I15" i="3"/>
  <c r="I22" i="3" s="1"/>
  <c r="I23" i="3" s="1"/>
  <c r="I17" i="3"/>
  <c r="E17" i="3"/>
  <c r="E19" i="3"/>
  <c r="E15" i="3"/>
  <c r="F21" i="3"/>
  <c r="H21" i="3"/>
  <c r="M29" i="1"/>
  <c r="M32" i="1" s="1"/>
  <c r="M28" i="1"/>
  <c r="M31" i="1" s="1"/>
  <c r="M27" i="1"/>
  <c r="F17" i="3" l="1"/>
  <c r="F19" i="3"/>
  <c r="F15" i="3"/>
  <c r="E22" i="3"/>
  <c r="E23" i="3" s="1"/>
  <c r="H19" i="3"/>
  <c r="H17" i="3"/>
  <c r="H15" i="3"/>
  <c r="H22" i="3" s="1"/>
  <c r="H23" i="3" s="1"/>
  <c r="M4" i="1"/>
  <c r="M5" i="1" s="1"/>
  <c r="D34" i="3" l="1"/>
  <c r="M160" i="1" s="1"/>
  <c r="F22" i="3"/>
  <c r="F23" i="3" s="1"/>
  <c r="D29" i="3"/>
  <c r="M156" i="1" s="1"/>
</calcChain>
</file>

<file path=xl/sharedStrings.xml><?xml version="1.0" encoding="utf-8"?>
<sst xmlns="http://schemas.openxmlformats.org/spreadsheetml/2006/main" count="564" uniqueCount="245">
  <si>
    <t>f_crop</t>
  </si>
  <si>
    <t>parameter</t>
  </si>
  <si>
    <t>value</t>
  </si>
  <si>
    <t>unit</t>
  </si>
  <si>
    <t>description</t>
  </si>
  <si>
    <t>source</t>
  </si>
  <si>
    <t>Tractor parameters</t>
  </si>
  <si>
    <t>Variables</t>
  </si>
  <si>
    <t>Constants</t>
  </si>
  <si>
    <t>tractor_weight</t>
  </si>
  <si>
    <t>m</t>
  </si>
  <si>
    <t>kg</t>
  </si>
  <si>
    <t>S</t>
  </si>
  <si>
    <t>km/h</t>
  </si>
  <si>
    <t>a</t>
  </si>
  <si>
    <t>m/s^2</t>
  </si>
  <si>
    <t>α</t>
  </si>
  <si>
    <t>rad</t>
  </si>
  <si>
    <t>P</t>
  </si>
  <si>
    <t>kW</t>
  </si>
  <si>
    <t>D</t>
  </si>
  <si>
    <t>km</t>
  </si>
  <si>
    <t>field_speed</t>
  </si>
  <si>
    <t>mean_acceleration</t>
  </si>
  <si>
    <t>mean_slope</t>
  </si>
  <si>
    <t>rated_power</t>
  </si>
  <si>
    <t>diesel</t>
  </si>
  <si>
    <t>mean_distance_field_to_farm</t>
  </si>
  <si>
    <t>A</t>
  </si>
  <si>
    <t>m^2</t>
  </si>
  <si>
    <r>
      <t>C</t>
    </r>
    <r>
      <rPr>
        <vertAlign val="subscript"/>
        <sz val="11"/>
        <color theme="1"/>
        <rFont val="Calibri"/>
        <family val="2"/>
        <scheme val="minor"/>
      </rPr>
      <t>D</t>
    </r>
  </si>
  <si>
    <r>
      <rPr>
        <sz val="11"/>
        <color theme="1"/>
        <rFont val="Calibri"/>
        <family val="2"/>
      </rPr>
      <t>ρ</t>
    </r>
    <r>
      <rPr>
        <vertAlign val="subscript"/>
        <sz val="11"/>
        <color theme="1"/>
        <rFont val="Calibri"/>
        <family val="2"/>
      </rPr>
      <t>air</t>
    </r>
  </si>
  <si>
    <t>kg/m3</t>
  </si>
  <si>
    <r>
      <t>C</t>
    </r>
    <r>
      <rPr>
        <vertAlign val="subscript"/>
        <sz val="11"/>
        <color theme="1"/>
        <rFont val="Calibri"/>
        <family val="2"/>
      </rPr>
      <t>rr</t>
    </r>
  </si>
  <si>
    <r>
      <t>C</t>
    </r>
    <r>
      <rPr>
        <vertAlign val="subscript"/>
        <sz val="11"/>
        <color theme="1"/>
        <rFont val="Calibri"/>
        <family val="2"/>
      </rPr>
      <t>rv</t>
    </r>
  </si>
  <si>
    <t>s</t>
  </si>
  <si>
    <r>
      <t>η</t>
    </r>
    <r>
      <rPr>
        <vertAlign val="subscript"/>
        <sz val="11"/>
        <color theme="1"/>
        <rFont val="Calibri"/>
        <family val="2"/>
      </rPr>
      <t>Fält</t>
    </r>
  </si>
  <si>
    <r>
      <t>B</t>
    </r>
    <r>
      <rPr>
        <vertAlign val="subscript"/>
        <sz val="11"/>
        <color theme="1"/>
        <rFont val="Calibri"/>
        <family val="2"/>
        <scheme val="minor"/>
      </rPr>
      <t>n</t>
    </r>
  </si>
  <si>
    <t>density_air</t>
  </si>
  <si>
    <t>friction_coefficient_field</t>
  </si>
  <si>
    <t>friction_coefficient_road</t>
  </si>
  <si>
    <t>slippage</t>
  </si>
  <si>
    <t>field_efficiency</t>
  </si>
  <si>
    <t>tractor_ground_resistance</t>
  </si>
  <si>
    <t>f_soil_class</t>
  </si>
  <si>
    <t>tractor_surface_coefficient</t>
  </si>
  <si>
    <t>Application parameters</t>
  </si>
  <si>
    <t>Konstgödsel</t>
  </si>
  <si>
    <t>Flytgödsel</t>
  </si>
  <si>
    <t>field_operations</t>
  </si>
  <si>
    <t>drivetrain_efficiency</t>
  </si>
  <si>
    <r>
      <t>pump-to-wheel, η</t>
    </r>
    <r>
      <rPr>
        <vertAlign val="subscript"/>
        <sz val="11"/>
        <color theme="1"/>
        <rFont val="Calibri"/>
        <family val="2"/>
      </rPr>
      <t>Driv</t>
    </r>
  </si>
  <si>
    <t>f_operation</t>
  </si>
  <si>
    <t>fallback</t>
  </si>
  <si>
    <t>E_per_area</t>
  </si>
  <si>
    <t>E_per_mass</t>
  </si>
  <si>
    <t>kWh/ha</t>
  </si>
  <si>
    <t>kWh/ton</t>
  </si>
  <si>
    <t>E_per_mass_distance</t>
  </si>
  <si>
    <t>kWh/ton*km</t>
  </si>
  <si>
    <t>harrowing</t>
  </si>
  <si>
    <t>rolling</t>
  </si>
  <si>
    <t>cultivation</t>
  </si>
  <si>
    <t>ploughing</t>
  </si>
  <si>
    <t>trimming</t>
  </si>
  <si>
    <t>ridging</t>
  </si>
  <si>
    <t>topping</t>
  </si>
  <si>
    <t>minreal fert</t>
  </si>
  <si>
    <t>liquid manure</t>
  </si>
  <si>
    <t>spraying</t>
  </si>
  <si>
    <t>seeding</t>
  </si>
  <si>
    <t>harvest</t>
  </si>
  <si>
    <t>coarse</t>
  </si>
  <si>
    <t>medium</t>
  </si>
  <si>
    <t>fine</t>
  </si>
  <si>
    <t>working_depth</t>
  </si>
  <si>
    <t>application_par_A</t>
  </si>
  <si>
    <t>application_par_B</t>
  </si>
  <si>
    <t>application_par_C</t>
  </si>
  <si>
    <t>application_soil_cor</t>
  </si>
  <si>
    <t>correction factor for different soils</t>
  </si>
  <si>
    <t>Field operations per crop</t>
  </si>
  <si>
    <t>Moldboard plough</t>
  </si>
  <si>
    <t>Field cultivator</t>
  </si>
  <si>
    <t>Disc harrow</t>
  </si>
  <si>
    <t>?</t>
  </si>
  <si>
    <t>cm</t>
  </si>
  <si>
    <t>-</t>
  </si>
  <si>
    <t>Rullvält</t>
  </si>
  <si>
    <t>Lindgren, 2002</t>
  </si>
  <si>
    <t>Putsare</t>
  </si>
  <si>
    <t>Baky, 2010</t>
  </si>
  <si>
    <t>P_per_width</t>
  </si>
  <si>
    <t>kW/m</t>
  </si>
  <si>
    <t>Windrower</t>
  </si>
  <si>
    <t>Beet topper</t>
  </si>
  <si>
    <t>ASAE, 2000</t>
  </si>
  <si>
    <t>semi-solid manure</t>
  </si>
  <si>
    <t>Kletgödselspridning</t>
  </si>
  <si>
    <t>Ogräsbekämpning, kemisk, Sprejspridning</t>
  </si>
  <si>
    <t>seeding, combi</t>
  </si>
  <si>
    <t>seeding, beets</t>
  </si>
  <si>
    <t>seeding, spec</t>
  </si>
  <si>
    <t>Direktsådd</t>
  </si>
  <si>
    <t>Kombisåmaskin</t>
  </si>
  <si>
    <t>Potatissättare</t>
  </si>
  <si>
    <t>Majs &amp; betor</t>
  </si>
  <si>
    <t>Grisso, 2010</t>
  </si>
  <si>
    <t xml:space="preserve">Baky, 2010 </t>
  </si>
  <si>
    <t>Skördetröska (+hack)</t>
  </si>
  <si>
    <t>Sugar beet</t>
  </si>
  <si>
    <t>Betupptagare (självg.)</t>
  </si>
  <si>
    <t>Maskinkalkylgruppen, 2020</t>
  </si>
  <si>
    <t>Potatoes, table</t>
  </si>
  <si>
    <t>Potatoes, starch</t>
  </si>
  <si>
    <t>Matpotatis (självg.)</t>
  </si>
  <si>
    <t>Stärkelsepotatist (självg.)</t>
  </si>
  <si>
    <t>Majströska</t>
  </si>
  <si>
    <t>Maize (corn)</t>
  </si>
  <si>
    <t>Engström &amp; Lagnelöv, 2017</t>
  </si>
  <si>
    <t>mowing</t>
  </si>
  <si>
    <t>bales</t>
  </si>
  <si>
    <t>bunker silo</t>
  </si>
  <si>
    <t>tower silo</t>
  </si>
  <si>
    <t>ensiling</t>
  </si>
  <si>
    <t>work_rate</t>
  </si>
  <si>
    <t>ha/h</t>
  </si>
  <si>
    <t>tractor_front_area</t>
  </si>
  <si>
    <t>%</t>
  </si>
  <si>
    <t>f_forage_system</t>
  </si>
  <si>
    <t>forage_system_share</t>
  </si>
  <si>
    <t>transport, grain</t>
  </si>
  <si>
    <t>transport, straw</t>
  </si>
  <si>
    <t>transport, general</t>
  </si>
  <si>
    <t>E_per_mass_straw</t>
  </si>
  <si>
    <t>Transport kärna</t>
  </si>
  <si>
    <t>Transport halm</t>
  </si>
  <si>
    <t>Transport vagn allmän</t>
  </si>
  <si>
    <t>Jordbruksverket (2022) Jordbruksstatistisk sammanställning 2022,  JO1901, https://jordbruksverket.se/om-jordbruksverket/jordbruksverkets-officiella-statistik/jordbruksverkets-statistikrapporter/statistik/2022-07-05-jordbruksstatistisk---sammanstallning-2022</t>
  </si>
  <si>
    <t>Baky, A., Sundberg, M., &amp; Brown, N. (2010). Kartläggning av jordbrukets energianvändning [Survey of energy use in Swedish agriculture]. Retrieved from JTI, Uppsala: https://www.diva-portal.org/smash/get/diva2:959931/FULLTEXT01.pdf</t>
  </si>
  <si>
    <t>Engström, J., &amp; Lagnelöv, O. (2017). Battery Electric Autonomous Agricultural Machine - Simulation of all operations on a Swedish farm. http://www.diva-portal.org/smash/record.jsf?pid=diva2%3A1144170&amp;dswid=-6740</t>
  </si>
  <si>
    <t>Grisso, R., Perumpral, J. V., Vaughan, D., Roberson, G. T., &amp; Pitman, R. (2010). Predicting Tractor Diesel Fuel Consumption. In (Vol. Pub. 442-073). College of Agriculture and Life Sciences: Virginia Polytech Institute and State University.https://vtechworks.lib.vt.edu/bitstream/handle/10919/47472/442-073_pdf.pdf?sequence=1&amp;isAllowed=y</t>
  </si>
  <si>
    <t xml:space="preserve">Kitani, A., Jungbluth, T., Peart, R. M., Ramdani, A., Badger, P. C., &amp; Clark, N. R. (1999). CIGR Handbook of Agricultural Engineering (A. Kitani Ed.  Vol. 5 - Energy and Biomass Engineering): American Society of Agricultural Engineers. </t>
  </si>
  <si>
    <t>Lindgren, M., Pettersson, O., Hansson, P.-A., &amp; Norén, O. (2002). Jordbruks- och anläggningsmaskiners motorbelastning och avgasemissioner [Engine load pattern and engine exhaust gas emissions from off-road vehicles]. Retrieved from http://www.diva-portal.org/smash/record.jsf?pid=diva2%3A959556</t>
  </si>
  <si>
    <t>Maskinkalkylgruppen. (2020). Maskinkostnader 2020 [Machine costs 2020]. Retrieved from Maskinkalkylgruppen: http://maskinkostnader.se/</t>
  </si>
  <si>
    <t>Nilsson, B. (1976). Planering av jordbrukets maskinsystem. Problem, modeller och tillämpningar. [The planning of farm machinery systems - Problems, models and applications]. In (Vol. Report no. 38). Uppsala, Sweden: Swedish University of Agricultural Sciences</t>
  </si>
  <si>
    <t xml:space="preserve">Reif, K., &amp; Dietsche, K.-H. (2014). Bosch Automotive Handbook (K. Reif Ed. 9th ed.). Robert Bosch GmbH, Germany: John Wiley &amp; Sons Ltd. </t>
  </si>
  <si>
    <t>SAE. (2000). Agricultural Machinery Management Data. In. ASABE, St. Joseph, MI, USA: American Society of Agricultural Engineers</t>
  </si>
  <si>
    <t>f_energy_source</t>
  </si>
  <si>
    <t>hydrogen</t>
  </si>
  <si>
    <t>electricity</t>
  </si>
  <si>
    <t>f_activity</t>
  </si>
  <si>
    <t>field machinery</t>
  </si>
  <si>
    <t>fuel oil</t>
  </si>
  <si>
    <t>natural gas</t>
  </si>
  <si>
    <t>woody biofuels</t>
  </si>
  <si>
    <t>geothermal</t>
  </si>
  <si>
    <t>district heating</t>
  </si>
  <si>
    <t>greenhouses</t>
  </si>
  <si>
    <t>energy_source_share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</si>
  <si>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</si>
  <si>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</si>
  <si>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</si>
  <si>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</si>
  <si>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</si>
  <si>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</si>
  <si>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</si>
  <si>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greenhouse_energy_use</t>
  </si>
  <si>
    <t>kWh/m2</t>
  </si>
  <si>
    <t>tomat</t>
  </si>
  <si>
    <t>gurka</t>
  </si>
  <si>
    <t>övrigt</t>
  </si>
  <si>
    <t>Energianvändning i växthus 2020. Tomat, gurka och prydnadsväxter.</t>
  </si>
  <si>
    <t>https://jordbruksverket.se/om-jordbruksverket/jordbruksverkets-officiella-statistik/jordbruksverkets-statistikrapporter/statistik/2022-04-25-energianvandning-i-vaxthus-2020.-tomat-gurka-och-prydnadsvaxter.</t>
  </si>
  <si>
    <t>snitt 2017 och 2020</t>
  </si>
  <si>
    <t>naturgas+övriga fossila</t>
  </si>
  <si>
    <t>Bark, flis och spån+Pellets och briketter+Övriga 
biobränslen</t>
  </si>
  <si>
    <t>https://www.energimyndigheten.se/statistik/den-officiella-statistiken/statistikprodukter/energianvandningen-inom-jordbruket/</t>
  </si>
  <si>
    <t>snitt 2018 och 2021</t>
  </si>
  <si>
    <t>biodiesel</t>
  </si>
  <si>
    <t>MachineryAndEnergyMgmt-field_operations.csv</t>
  </si>
  <si>
    <t>f_compound</t>
  </si>
  <si>
    <t>combustion_EF</t>
  </si>
  <si>
    <t>CO2</t>
  </si>
  <si>
    <t>N2O</t>
  </si>
  <si>
    <t>IPCC Guidelines 2006. Chapter 3, Table 3.2.1</t>
  </si>
  <si>
    <t>Gas/ Diesel Oil</t>
  </si>
  <si>
    <t>IPCC Guidelines 2006. Chapter 3, Table 3.2.2</t>
  </si>
  <si>
    <t>assume same as diesel</t>
  </si>
  <si>
    <t>no emissions?</t>
  </si>
  <si>
    <t>CH4fos</t>
  </si>
  <si>
    <t>CH4bio</t>
  </si>
  <si>
    <t>kg/TJ</t>
  </si>
  <si>
    <t>Wood / Wood Waste</t>
  </si>
  <si>
    <t>Natural Gas</t>
  </si>
  <si>
    <t>Crude Oil</t>
  </si>
  <si>
    <t>IPCC Guidelines 2006. Chapter 2, Table 2.5</t>
  </si>
  <si>
    <t>Fallback</t>
  </si>
  <si>
    <t>Energy use in greenhouses</t>
  </si>
  <si>
    <r>
      <t>Fuel combustion emission factors</t>
    </r>
    <r>
      <rPr>
        <sz val="11"/>
        <color rgb="FFFF0000"/>
        <rFont val="Calibri"/>
        <family val="2"/>
        <scheme val="minor"/>
      </rPr>
      <t xml:space="preserve"> (add non-GHG compounds?)</t>
    </r>
  </si>
  <si>
    <t>f_species</t>
  </si>
  <si>
    <t>cattle</t>
  </si>
  <si>
    <t>Energy use in stables</t>
  </si>
  <si>
    <t>stable machinery</t>
  </si>
  <si>
    <t>stable heating</t>
  </si>
  <si>
    <t>stable milking</t>
  </si>
  <si>
    <t>kWh/kg milk</t>
  </si>
  <si>
    <t>stable misc</t>
  </si>
  <si>
    <t>kWh/head</t>
  </si>
  <si>
    <t>f_breed</t>
  </si>
  <si>
    <t>f_animal</t>
  </si>
  <si>
    <t>dairy</t>
  </si>
  <si>
    <t>cows</t>
  </si>
  <si>
    <t>Milk production</t>
  </si>
  <si>
    <t>Gård A</t>
  </si>
  <si>
    <t>Gård B</t>
  </si>
  <si>
    <t>dairy cows</t>
  </si>
  <si>
    <t>recruitment</t>
  </si>
  <si>
    <t>milk prod.</t>
  </si>
  <si>
    <t>heads</t>
  </si>
  <si>
    <t>kg/cow</t>
  </si>
  <si>
    <t>feeding</t>
  </si>
  <si>
    <t>ventilation</t>
  </si>
  <si>
    <t>manure mgmt</t>
  </si>
  <si>
    <t>lighting</t>
  </si>
  <si>
    <t>milking</t>
  </si>
  <si>
    <t>other</t>
  </si>
  <si>
    <t>total</t>
  </si>
  <si>
    <t>of which electricity</t>
  </si>
  <si>
    <t>share for recruitment</t>
  </si>
  <si>
    <t>kWh/cow/year</t>
  </si>
  <si>
    <t>recr.</t>
  </si>
  <si>
    <t>per head</t>
  </si>
  <si>
    <t>per kg milk</t>
  </si>
  <si>
    <t>&lt;--- Assumes double feed consuption for dairy cows compared to recruitment</t>
  </si>
  <si>
    <t>stable_energy_use_per_head</t>
  </si>
  <si>
    <t>f_animal_prod</t>
  </si>
  <si>
    <t>stable_energy_use_per_prod</t>
  </si>
  <si>
    <t>kWh/kg</t>
  </si>
  <si>
    <t>milk</t>
  </si>
  <si>
    <t>&lt;--- Milking only dairy cows</t>
  </si>
  <si>
    <r>
      <rPr>
        <b/>
        <sz val="11"/>
        <color theme="1"/>
        <rFont val="Calibri"/>
        <family val="2"/>
        <scheme val="minor"/>
      </rPr>
      <t>Hörndahl, Torsten &amp; Neuman, Lars</t>
    </r>
    <r>
      <rPr>
        <sz val="11"/>
        <color theme="1"/>
        <rFont val="Calibri"/>
        <family val="2"/>
        <scheme val="minor"/>
      </rPr>
      <t xml:space="preserve">. (2012). </t>
    </r>
    <r>
      <rPr>
        <i/>
        <sz val="11"/>
        <color theme="1"/>
        <rFont val="Calibri"/>
        <family val="2"/>
        <scheme val="minor"/>
      </rPr>
      <t>Energiförbrukning I jordbrukets driftsbyggnader - En kartläggning av 16 gårdar 2005-2006 kompletterat med mätningar på två gårdar 2010-2012</t>
    </r>
    <r>
      <rPr>
        <sz val="11"/>
        <color theme="1"/>
        <rFont val="Calibri"/>
        <family val="2"/>
        <scheme val="minor"/>
      </rPr>
      <t>. Sveriges lantbruksuniversitet Fakulteten för landskapsplanering, trädgårds- och jordbruksvetenskap. Rapport 2012:19</t>
    </r>
  </si>
  <si>
    <t>Hörndahl, Torsten &amp; Neuman, Lars. (2012). Energiförbrukning I jordbrukets driftsbyggnader - En kartläggning av 16 gårdar 2005-2006 kompletterat med mätningar på två gårdar 2010-2012. Sveriges lantbruksuniversitet Fakulteten för landskapsplanering, trädgårds- och jordbruksvetenskap. Rapport 2012:19</t>
  </si>
  <si>
    <t>Hörndahl &amp; Neuman (2012)</t>
  </si>
  <si>
    <t>manure, lighting, ventilation, etc.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</si>
</sst>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6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  <font>
      <vertAlign val="subscript"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52">
    <xf numFmtId="0" fontId="0" fillId="0" borderId="0" xfId="0"/>
    <xf numFmtId="0" fontId="2" fillId="3" borderId="0" xfId="0" applyFont="1" applyFill="1"/>
    <xf numFmtId="0" fontId="1" fillId="2" borderId="0" xfId="0" applyFont="1" applyFill="1"/>
    <xf numFmtId="0" fontId="0" fillId="2" borderId="0" xfId="0" applyFill="1"/>
    <xf numFmtId="0" fontId="0" fillId="0" borderId="0" xfId="0" applyBorder="1"/>
    <xf numFmtId="0" fontId="3" fillId="0" borderId="0" xfId="0" applyFont="1" applyBorder="1"/>
    <xf numFmtId="0" fontId="0" fillId="0" borderId="0" xfId="0" applyFill="1" applyBorder="1"/>
    <xf numFmtId="0" fontId="3" fillId="0" borderId="0" xfId="0" applyFont="1" applyFill="1" applyBorder="1"/>
    <xf numFmtId="0" fontId="0" fillId="3" borderId="0" xfId="0" applyFill="1"/>
    <xf numFmtId="0" fontId="6" fillId="0" borderId="0" xfId="0" applyFont="1"/>
    <xf numFmtId="0" fontId="7" fillId="0" borderId="0" xfId="0" applyFont="1"/>
    <xf numFmtId="164" fontId="7" fillId="0" borderId="0" xfId="0" applyNumberFormat="1" applyFont="1"/>
    <xf numFmtId="2" fontId="7" fillId="0" borderId="0" xfId="0" applyNumberFormat="1" applyFont="1"/>
    <xf numFmtId="2" fontId="0" fillId="0" borderId="0" xfId="0" applyNumberFormat="1"/>
    <xf numFmtId="0" fontId="0" fillId="0" borderId="1" xfId="0" applyBorder="1"/>
    <xf numFmtId="0" fontId="8" fillId="0" borderId="0" xfId="0" applyFont="1"/>
    <xf numFmtId="0" fontId="0" fillId="0" borderId="2" xfId="0" applyBorder="1"/>
    <xf numFmtId="0" fontId="0" fillId="0" borderId="3" xfId="0" applyBorder="1"/>
    <xf numFmtId="1" fontId="7" fillId="0" borderId="0" xfId="0" applyNumberFormat="1" applyFont="1"/>
    <xf numFmtId="0" fontId="0" fillId="0" borderId="0" xfId="0" applyAlignment="1"/>
    <xf numFmtId="0" fontId="6" fillId="0" borderId="0" xfId="0" applyFont="1" applyFill="1" applyBorder="1"/>
    <xf numFmtId="0" fontId="9" fillId="0" borderId="0" xfId="0" applyFont="1" applyFill="1" applyBorder="1"/>
    <xf numFmtId="164" fontId="10" fillId="0" borderId="0" xfId="0" applyNumberFormat="1" applyFont="1"/>
    <xf numFmtId="1" fontId="6" fillId="0" borderId="0" xfId="0" applyNumberFormat="1" applyFont="1"/>
    <xf numFmtId="1" fontId="0" fillId="0" borderId="0" xfId="0" applyNumberFormat="1"/>
    <xf numFmtId="166" fontId="0" fillId="0" borderId="0" xfId="0" applyNumberFormat="1"/>
    <xf numFmtId="0" fontId="14" fillId="0" borderId="0" xfId="0" applyFont="1"/>
    <xf numFmtId="0" fontId="0" fillId="0" borderId="4" xfId="0" applyBorder="1"/>
    <xf numFmtId="0" fontId="0" fillId="0" borderId="5" xfId="0" applyBorder="1"/>
    <xf numFmtId="0" fontId="1" fillId="0" borderId="5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" fontId="14" fillId="0" borderId="0" xfId="0" applyNumberFormat="1" applyFont="1" applyBorder="1"/>
    <xf numFmtId="1" fontId="14" fillId="0" borderId="8" xfId="0" applyNumberFormat="1" applyFont="1" applyBorder="1"/>
    <xf numFmtId="1" fontId="0" fillId="0" borderId="0" xfId="0" applyNumberFormat="1" applyBorder="1"/>
    <xf numFmtId="0" fontId="1" fillId="0" borderId="7" xfId="0" applyFont="1" applyBorder="1"/>
    <xf numFmtId="0" fontId="1" fillId="0" borderId="0" xfId="0" applyFont="1" applyBorder="1"/>
    <xf numFmtId="1" fontId="1" fillId="0" borderId="0" xfId="0" applyNumberFormat="1" applyFont="1" applyBorder="1"/>
    <xf numFmtId="1" fontId="1" fillId="0" borderId="8" xfId="0" applyNumberFormat="1" applyFont="1" applyBorder="1"/>
    <xf numFmtId="9" fontId="15" fillId="0" borderId="0" xfId="1" applyFont="1" applyBorder="1"/>
    <xf numFmtId="9" fontId="15" fillId="0" borderId="8" xfId="1" applyFont="1" applyBorder="1"/>
    <xf numFmtId="0" fontId="0" fillId="0" borderId="9" xfId="0" applyBorder="1"/>
    <xf numFmtId="0" fontId="0" fillId="0" borderId="10" xfId="0" applyBorder="1"/>
    <xf numFmtId="166" fontId="0" fillId="0" borderId="8" xfId="0" applyNumberFormat="1" applyBorder="1"/>
    <xf numFmtId="0" fontId="13" fillId="0" borderId="8" xfId="0" applyFont="1" applyBorder="1"/>
    <xf numFmtId="0" fontId="13" fillId="0" borderId="10" xfId="0" applyFont="1" applyBorder="1"/>
    <xf numFmtId="0" fontId="1" fillId="0" borderId="4" xfId="0" applyFont="1" applyBorder="1"/>
    <xf numFmtId="9" fontId="15" fillId="0" borderId="7" xfId="1" applyFont="1" applyBorder="1"/>
    <xf numFmtId="0" fontId="2" fillId="0" borderId="0" xfId="0" applyFont="1"/>
    <xf numFmtId="0" fontId="0" fillId="0" borderId="11" xfId="0" applyFill="1" applyBorder="1"/>
    <xf numFmtId="0" fontId="0" fillId="0" borderId="0" xfId="0" applyFont="1" applyAlignment="1">
      <alignment horizontal="left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61"/>
  <sheetViews>
    <sheetView tabSelected="1" workbookViewId="0">
      <pane ySplit="1" topLeftCell="A132" activePane="bottomLeft" state="frozen"/>
      <selection pane="bottomLeft" activeCell="P163" sqref="P163"/>
    </sheetView>
  </sheetViews>
  <sheetFormatPr defaultRowHeight="15" x14ac:dyDescent="0.25"/>
  <cols>
    <col min="7" max="11" width="12.28515625" customWidth="1"/>
    <col min="12" max="12" width="31" bestFit="1" customWidth="1"/>
    <col min="13" max="13" width="9.28515625" customWidth="1"/>
    <col min="14" max="14" width="12.140625" customWidth="1"/>
    <col min="15" max="15" width="31.7109375" customWidth="1"/>
    <col min="16" max="16" width="22.7109375" customWidth="1"/>
  </cols>
  <sheetData>
    <row r="1" spans="1:16" x14ac:dyDescent="0.25">
      <c r="A1" t="s">
        <v>151</v>
      </c>
      <c r="B1" s="14" t="s">
        <v>0</v>
      </c>
      <c r="C1" s="14" t="s">
        <v>200</v>
      </c>
      <c r="D1" s="14" t="s">
        <v>209</v>
      </c>
      <c r="E1" s="14" t="s">
        <v>210</v>
      </c>
      <c r="F1" s="14" t="s">
        <v>236</v>
      </c>
      <c r="G1" s="14" t="s">
        <v>148</v>
      </c>
      <c r="H1" s="14" t="s">
        <v>52</v>
      </c>
      <c r="I1" s="14" t="s">
        <v>44</v>
      </c>
      <c r="J1" s="14" t="s">
        <v>129</v>
      </c>
      <c r="K1" s="14" t="s">
        <v>181</v>
      </c>
      <c r="L1" s="14" t="s">
        <v>1</v>
      </c>
      <c r="M1" s="14" t="s">
        <v>2</v>
      </c>
      <c r="N1" s="14" t="s">
        <v>3</v>
      </c>
      <c r="O1" s="14" t="s">
        <v>4</v>
      </c>
      <c r="P1" s="14" t="s">
        <v>5</v>
      </c>
    </row>
    <row r="2" spans="1:16" x14ac:dyDescent="0.25">
      <c r="L2" s="20" t="s">
        <v>159</v>
      </c>
      <c r="M2" s="9">
        <v>0</v>
      </c>
      <c r="N2" s="9" t="s">
        <v>128</v>
      </c>
      <c r="O2" s="9" t="s">
        <v>53</v>
      </c>
    </row>
    <row r="4" spans="1:16" x14ac:dyDescent="0.25">
      <c r="A4" t="s">
        <v>152</v>
      </c>
      <c r="G4" s="4" t="s">
        <v>26</v>
      </c>
      <c r="L4" s="6" t="s">
        <v>159</v>
      </c>
      <c r="M4" s="18">
        <f>(241822577+237201100)/(241822577+237201100+5856000+8368914)*100</f>
        <v>97.116076100458642</v>
      </c>
      <c r="N4" t="s">
        <v>128</v>
      </c>
      <c r="P4" t="s">
        <v>177</v>
      </c>
    </row>
    <row r="5" spans="1:16" x14ac:dyDescent="0.25">
      <c r="A5" t="s">
        <v>152</v>
      </c>
      <c r="G5" s="4" t="s">
        <v>179</v>
      </c>
      <c r="L5" s="6" t="s">
        <v>159</v>
      </c>
      <c r="M5" s="18">
        <f>100-M4</f>
        <v>2.8839238995413581</v>
      </c>
      <c r="N5" t="s">
        <v>128</v>
      </c>
      <c r="P5" t="s">
        <v>178</v>
      </c>
    </row>
    <row r="6" spans="1:16" x14ac:dyDescent="0.25">
      <c r="A6" t="s">
        <v>152</v>
      </c>
      <c r="G6" s="4" t="s">
        <v>149</v>
      </c>
      <c r="L6" s="6" t="s">
        <v>159</v>
      </c>
      <c r="M6" s="10">
        <v>0</v>
      </c>
      <c r="N6" t="s">
        <v>128</v>
      </c>
    </row>
    <row r="7" spans="1:16" x14ac:dyDescent="0.25">
      <c r="A7" t="s">
        <v>152</v>
      </c>
      <c r="G7" s="6" t="s">
        <v>150</v>
      </c>
      <c r="L7" s="6" t="s">
        <v>159</v>
      </c>
      <c r="M7" s="10">
        <v>0</v>
      </c>
      <c r="N7" t="s">
        <v>128</v>
      </c>
    </row>
    <row r="8" spans="1:16" x14ac:dyDescent="0.25">
      <c r="G8" s="6"/>
      <c r="L8" s="6"/>
      <c r="M8" s="10"/>
    </row>
    <row r="9" spans="1:16" x14ac:dyDescent="0.25">
      <c r="A9" t="s">
        <v>203</v>
      </c>
      <c r="G9" s="4" t="s">
        <v>26</v>
      </c>
      <c r="L9" s="6" t="s">
        <v>159</v>
      </c>
      <c r="M9" s="10">
        <v>100</v>
      </c>
      <c r="N9" t="s">
        <v>128</v>
      </c>
    </row>
    <row r="10" spans="1:16" x14ac:dyDescent="0.25">
      <c r="A10" t="s">
        <v>204</v>
      </c>
      <c r="G10" s="4"/>
      <c r="L10" s="6"/>
      <c r="M10" s="10"/>
    </row>
    <row r="11" spans="1:16" x14ac:dyDescent="0.25">
      <c r="A11" t="s">
        <v>207</v>
      </c>
      <c r="G11" s="6" t="s">
        <v>150</v>
      </c>
      <c r="L11" s="6" t="s">
        <v>159</v>
      </c>
      <c r="M11" s="10">
        <v>100</v>
      </c>
      <c r="N11" t="s">
        <v>128</v>
      </c>
    </row>
    <row r="12" spans="1:16" x14ac:dyDescent="0.25">
      <c r="A12" t="s">
        <v>205</v>
      </c>
      <c r="G12" s="6" t="s">
        <v>150</v>
      </c>
      <c r="L12" s="6" t="s">
        <v>159</v>
      </c>
      <c r="M12" s="10">
        <v>100</v>
      </c>
      <c r="N12" t="s">
        <v>128</v>
      </c>
    </row>
    <row r="13" spans="1:16" x14ac:dyDescent="0.25">
      <c r="G13" s="6"/>
      <c r="L13" s="6"/>
      <c r="M13" s="15"/>
    </row>
    <row r="14" spans="1:16" x14ac:dyDescent="0.25">
      <c r="A14" t="s">
        <v>158</v>
      </c>
      <c r="G14" s="6" t="s">
        <v>153</v>
      </c>
      <c r="L14" s="6" t="s">
        <v>159</v>
      </c>
      <c r="M14" s="11">
        <v>6.4777062142923141</v>
      </c>
      <c r="N14" t="s">
        <v>128</v>
      </c>
      <c r="P14" t="s">
        <v>172</v>
      </c>
    </row>
    <row r="15" spans="1:16" x14ac:dyDescent="0.25">
      <c r="A15" t="s">
        <v>158</v>
      </c>
      <c r="G15" s="6" t="s">
        <v>154</v>
      </c>
      <c r="L15" s="6" t="s">
        <v>159</v>
      </c>
      <c r="M15" s="11">
        <v>8.7567853491111922</v>
      </c>
      <c r="N15" t="s">
        <v>128</v>
      </c>
      <c r="O15" t="s">
        <v>175</v>
      </c>
      <c r="P15" t="s">
        <v>173</v>
      </c>
    </row>
    <row r="16" spans="1:16" x14ac:dyDescent="0.25">
      <c r="A16" t="s">
        <v>158</v>
      </c>
      <c r="G16" s="6" t="s">
        <v>155</v>
      </c>
      <c r="L16" s="6" t="s">
        <v>159</v>
      </c>
      <c r="M16" s="18">
        <v>59.671114354829328</v>
      </c>
      <c r="N16" t="s">
        <v>128</v>
      </c>
      <c r="O16" s="19" t="s">
        <v>176</v>
      </c>
      <c r="P16" t="s">
        <v>174</v>
      </c>
    </row>
    <row r="17" spans="1:16" x14ac:dyDescent="0.25">
      <c r="A17" t="s">
        <v>158</v>
      </c>
      <c r="G17" s="6" t="s">
        <v>150</v>
      </c>
      <c r="L17" s="6" t="s">
        <v>159</v>
      </c>
      <c r="M17" s="18">
        <v>16.802918820320372</v>
      </c>
      <c r="N17" t="s">
        <v>128</v>
      </c>
    </row>
    <row r="18" spans="1:16" x14ac:dyDescent="0.25">
      <c r="A18" t="s">
        <v>158</v>
      </c>
      <c r="G18" s="6" t="s">
        <v>157</v>
      </c>
      <c r="L18" s="6" t="s">
        <v>159</v>
      </c>
      <c r="M18" s="11">
        <v>7.4851294970113242</v>
      </c>
      <c r="N18" t="s">
        <v>128</v>
      </c>
    </row>
    <row r="19" spans="1:16" x14ac:dyDescent="0.25">
      <c r="A19" t="s">
        <v>158</v>
      </c>
      <c r="G19" s="6" t="s">
        <v>156</v>
      </c>
      <c r="L19" s="6" t="s">
        <v>159</v>
      </c>
      <c r="M19" s="11">
        <v>0.80634576443547301</v>
      </c>
      <c r="N19" t="s">
        <v>128</v>
      </c>
    </row>
    <row r="21" spans="1:16" x14ac:dyDescent="0.25">
      <c r="J21" t="s">
        <v>121</v>
      </c>
      <c r="L21" t="s">
        <v>130</v>
      </c>
      <c r="M21" s="15">
        <v>80</v>
      </c>
      <c r="N21" t="s">
        <v>128</v>
      </c>
    </row>
    <row r="22" spans="1:16" x14ac:dyDescent="0.25">
      <c r="J22" t="s">
        <v>122</v>
      </c>
      <c r="L22" t="s">
        <v>130</v>
      </c>
      <c r="M22" s="15">
        <v>10</v>
      </c>
      <c r="N22" t="s">
        <v>128</v>
      </c>
    </row>
    <row r="23" spans="1:16" x14ac:dyDescent="0.25">
      <c r="J23" t="s">
        <v>123</v>
      </c>
      <c r="L23" t="s">
        <v>130</v>
      </c>
      <c r="M23" s="15">
        <v>10</v>
      </c>
      <c r="N23" t="s">
        <v>128</v>
      </c>
    </row>
    <row r="24" spans="1:16" x14ac:dyDescent="0.25">
      <c r="A24" s="1" t="s">
        <v>199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G25" s="4"/>
      <c r="L25" s="9" t="s">
        <v>182</v>
      </c>
      <c r="M25" s="23">
        <v>0</v>
      </c>
      <c r="N25" s="9"/>
      <c r="O25" s="9" t="s">
        <v>197</v>
      </c>
    </row>
    <row r="26" spans="1:16" x14ac:dyDescent="0.25">
      <c r="G26" s="4"/>
      <c r="M26" s="18"/>
    </row>
    <row r="27" spans="1:16" x14ac:dyDescent="0.25">
      <c r="G27" s="4" t="s">
        <v>26</v>
      </c>
      <c r="K27" t="s">
        <v>183</v>
      </c>
      <c r="L27" t="s">
        <v>182</v>
      </c>
      <c r="M27" s="18">
        <f>74100</f>
        <v>74100</v>
      </c>
      <c r="N27" t="s">
        <v>192</v>
      </c>
      <c r="O27" t="s">
        <v>186</v>
      </c>
      <c r="P27" t="s">
        <v>185</v>
      </c>
    </row>
    <row r="28" spans="1:16" x14ac:dyDescent="0.25">
      <c r="G28" s="4" t="s">
        <v>26</v>
      </c>
      <c r="K28" t="s">
        <v>190</v>
      </c>
      <c r="L28" t="s">
        <v>182</v>
      </c>
      <c r="M28" s="11">
        <f>3.9</f>
        <v>3.9</v>
      </c>
      <c r="N28" t="s">
        <v>192</v>
      </c>
      <c r="P28" t="s">
        <v>187</v>
      </c>
    </row>
    <row r="29" spans="1:16" x14ac:dyDescent="0.25">
      <c r="G29" s="4" t="s">
        <v>26</v>
      </c>
      <c r="K29" t="s">
        <v>184</v>
      </c>
      <c r="L29" t="s">
        <v>182</v>
      </c>
      <c r="M29" s="11">
        <f>3.9</f>
        <v>3.9</v>
      </c>
      <c r="N29" t="s">
        <v>192</v>
      </c>
      <c r="P29" t="s">
        <v>187</v>
      </c>
    </row>
    <row r="30" spans="1:16" x14ac:dyDescent="0.25">
      <c r="G30" s="4" t="s">
        <v>179</v>
      </c>
      <c r="K30" t="s">
        <v>183</v>
      </c>
      <c r="L30" t="s">
        <v>182</v>
      </c>
      <c r="M30" s="18">
        <v>0</v>
      </c>
      <c r="N30" t="s">
        <v>192</v>
      </c>
    </row>
    <row r="31" spans="1:16" x14ac:dyDescent="0.25">
      <c r="G31" s="4" t="s">
        <v>179</v>
      </c>
      <c r="K31" t="s">
        <v>191</v>
      </c>
      <c r="L31" t="s">
        <v>182</v>
      </c>
      <c r="M31" s="22">
        <f t="shared" ref="M31:M32" si="0">M28</f>
        <v>3.9</v>
      </c>
      <c r="N31" t="s">
        <v>192</v>
      </c>
      <c r="O31" t="s">
        <v>188</v>
      </c>
    </row>
    <row r="32" spans="1:16" x14ac:dyDescent="0.25">
      <c r="G32" s="4" t="s">
        <v>179</v>
      </c>
      <c r="K32" t="s">
        <v>184</v>
      </c>
      <c r="L32" t="s">
        <v>182</v>
      </c>
      <c r="M32" s="22">
        <f t="shared" si="0"/>
        <v>3.9</v>
      </c>
      <c r="N32" t="s">
        <v>192</v>
      </c>
      <c r="O32" t="s">
        <v>188</v>
      </c>
    </row>
    <row r="33" spans="1:16" x14ac:dyDescent="0.25">
      <c r="G33" s="6" t="s">
        <v>153</v>
      </c>
      <c r="K33" t="s">
        <v>183</v>
      </c>
      <c r="L33" t="s">
        <v>182</v>
      </c>
      <c r="M33" s="18">
        <v>73300</v>
      </c>
      <c r="N33" t="s">
        <v>192</v>
      </c>
      <c r="O33" t="s">
        <v>195</v>
      </c>
      <c r="P33" t="s">
        <v>196</v>
      </c>
    </row>
    <row r="34" spans="1:16" x14ac:dyDescent="0.25">
      <c r="G34" s="6" t="s">
        <v>153</v>
      </c>
      <c r="K34" t="s">
        <v>190</v>
      </c>
      <c r="L34" t="s">
        <v>182</v>
      </c>
      <c r="M34">
        <v>10</v>
      </c>
      <c r="N34" t="s">
        <v>192</v>
      </c>
      <c r="P34" t="s">
        <v>196</v>
      </c>
    </row>
    <row r="35" spans="1:16" x14ac:dyDescent="0.25">
      <c r="G35" s="6" t="s">
        <v>153</v>
      </c>
      <c r="K35" t="s">
        <v>184</v>
      </c>
      <c r="L35" t="s">
        <v>182</v>
      </c>
      <c r="M35">
        <v>0.6</v>
      </c>
      <c r="N35" t="s">
        <v>192</v>
      </c>
      <c r="P35" t="s">
        <v>196</v>
      </c>
    </row>
    <row r="36" spans="1:16" x14ac:dyDescent="0.25">
      <c r="G36" s="6" t="s">
        <v>154</v>
      </c>
      <c r="K36" t="s">
        <v>183</v>
      </c>
      <c r="L36" t="s">
        <v>182</v>
      </c>
      <c r="M36" s="18">
        <v>56100</v>
      </c>
      <c r="N36" t="s">
        <v>192</v>
      </c>
      <c r="O36" t="s">
        <v>194</v>
      </c>
      <c r="P36" t="s">
        <v>196</v>
      </c>
    </row>
    <row r="37" spans="1:16" x14ac:dyDescent="0.25">
      <c r="G37" s="6" t="s">
        <v>154</v>
      </c>
      <c r="K37" t="s">
        <v>190</v>
      </c>
      <c r="L37" t="s">
        <v>182</v>
      </c>
      <c r="M37">
        <v>5</v>
      </c>
      <c r="N37" t="s">
        <v>192</v>
      </c>
      <c r="P37" t="s">
        <v>196</v>
      </c>
    </row>
    <row r="38" spans="1:16" x14ac:dyDescent="0.25">
      <c r="G38" s="6" t="s">
        <v>154</v>
      </c>
      <c r="K38" t="s">
        <v>184</v>
      </c>
      <c r="L38" t="s">
        <v>182</v>
      </c>
      <c r="M38">
        <v>0.1</v>
      </c>
      <c r="N38" t="s">
        <v>192</v>
      </c>
      <c r="P38" t="s">
        <v>196</v>
      </c>
    </row>
    <row r="39" spans="1:16" x14ac:dyDescent="0.25">
      <c r="G39" s="6" t="s">
        <v>155</v>
      </c>
      <c r="K39" t="s">
        <v>183</v>
      </c>
      <c r="L39" t="s">
        <v>182</v>
      </c>
      <c r="M39" s="18">
        <v>0</v>
      </c>
      <c r="N39" t="s">
        <v>192</v>
      </c>
      <c r="O39" t="s">
        <v>193</v>
      </c>
      <c r="P39" t="s">
        <v>196</v>
      </c>
    </row>
    <row r="40" spans="1:16" x14ac:dyDescent="0.25">
      <c r="G40" s="6" t="s">
        <v>155</v>
      </c>
      <c r="K40" t="s">
        <v>191</v>
      </c>
      <c r="L40" t="s">
        <v>182</v>
      </c>
      <c r="M40" s="18">
        <v>300</v>
      </c>
      <c r="N40" t="s">
        <v>192</v>
      </c>
      <c r="P40" t="s">
        <v>196</v>
      </c>
    </row>
    <row r="41" spans="1:16" x14ac:dyDescent="0.25">
      <c r="G41" s="6" t="s">
        <v>155</v>
      </c>
      <c r="K41" t="s">
        <v>184</v>
      </c>
      <c r="L41" t="s">
        <v>182</v>
      </c>
      <c r="M41" s="18">
        <v>4</v>
      </c>
      <c r="N41" t="s">
        <v>192</v>
      </c>
      <c r="P41" t="s">
        <v>196</v>
      </c>
    </row>
    <row r="42" spans="1:16" x14ac:dyDescent="0.25">
      <c r="G42" s="6" t="s">
        <v>157</v>
      </c>
      <c r="L42" t="s">
        <v>182</v>
      </c>
      <c r="M42" s="18">
        <v>0</v>
      </c>
      <c r="N42" t="s">
        <v>192</v>
      </c>
      <c r="O42" s="15"/>
    </row>
    <row r="43" spans="1:16" x14ac:dyDescent="0.25">
      <c r="G43" s="6" t="s">
        <v>156</v>
      </c>
      <c r="L43" t="s">
        <v>182</v>
      </c>
      <c r="M43" s="18">
        <v>0</v>
      </c>
      <c r="N43" t="s">
        <v>192</v>
      </c>
      <c r="O43" s="15"/>
    </row>
    <row r="44" spans="1:16" x14ac:dyDescent="0.25">
      <c r="G44" s="4" t="s">
        <v>149</v>
      </c>
      <c r="L44" t="s">
        <v>182</v>
      </c>
      <c r="M44" s="18">
        <v>0</v>
      </c>
      <c r="N44" t="s">
        <v>192</v>
      </c>
      <c r="O44" s="15" t="s">
        <v>189</v>
      </c>
    </row>
    <row r="45" spans="1:16" x14ac:dyDescent="0.25">
      <c r="G45" s="6" t="s">
        <v>150</v>
      </c>
      <c r="L45" t="s">
        <v>182</v>
      </c>
      <c r="M45" s="18">
        <v>0</v>
      </c>
      <c r="N45" t="s">
        <v>192</v>
      </c>
      <c r="O45" s="15"/>
    </row>
    <row r="46" spans="1:16" x14ac:dyDescent="0.25">
      <c r="G46" s="6"/>
      <c r="M46" s="18"/>
      <c r="O46" s="15"/>
    </row>
    <row r="47" spans="1:16" x14ac:dyDescent="0.25">
      <c r="A47" s="1" t="s">
        <v>6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25">
      <c r="A48" s="2" t="s">
        <v>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3"/>
      <c r="M48" s="3"/>
      <c r="N48" s="3"/>
      <c r="O48" s="3"/>
      <c r="P48" s="3"/>
    </row>
    <row r="49" spans="1:20" x14ac:dyDescent="0.25">
      <c r="B49" s="4"/>
      <c r="C49" s="4"/>
      <c r="D49" s="4"/>
      <c r="E49" s="4"/>
      <c r="F49" s="4"/>
      <c r="G49" s="4"/>
      <c r="H49" s="4"/>
      <c r="I49" s="4"/>
      <c r="J49" s="4"/>
      <c r="K49" s="4"/>
      <c r="L49" s="4" t="s">
        <v>9</v>
      </c>
      <c r="M49">
        <v>10800</v>
      </c>
      <c r="N49" t="s">
        <v>11</v>
      </c>
      <c r="O49" s="4" t="s">
        <v>10</v>
      </c>
    </row>
    <row r="50" spans="1:20" x14ac:dyDescent="0.25">
      <c r="B50" s="4"/>
      <c r="C50" s="4"/>
      <c r="D50" s="4"/>
      <c r="E50" s="4"/>
      <c r="F50" s="4"/>
      <c r="G50" s="4"/>
      <c r="H50" s="4"/>
      <c r="I50" s="4"/>
      <c r="J50" s="4"/>
      <c r="K50" s="4"/>
      <c r="L50" s="4" t="s">
        <v>22</v>
      </c>
      <c r="M50">
        <v>5</v>
      </c>
      <c r="N50" t="s">
        <v>13</v>
      </c>
      <c r="O50" s="4" t="s">
        <v>12</v>
      </c>
    </row>
    <row r="51" spans="1:20" x14ac:dyDescent="0.25">
      <c r="B51" s="4"/>
      <c r="C51" s="4"/>
      <c r="D51" s="4"/>
      <c r="E51" s="4"/>
      <c r="F51" s="4"/>
      <c r="G51" s="4"/>
      <c r="H51" s="4"/>
      <c r="I51" s="4"/>
      <c r="J51" s="4"/>
      <c r="K51" s="4"/>
      <c r="L51" s="6" t="s">
        <v>125</v>
      </c>
      <c r="M51">
        <v>2</v>
      </c>
      <c r="N51" t="s">
        <v>126</v>
      </c>
      <c r="O51" s="7"/>
    </row>
    <row r="52" spans="1:20" x14ac:dyDescent="0.25">
      <c r="B52" s="4"/>
      <c r="C52" s="4"/>
      <c r="D52" s="4"/>
      <c r="E52" s="4"/>
      <c r="F52" s="4"/>
      <c r="G52" s="4"/>
      <c r="H52" s="4"/>
      <c r="I52" s="4"/>
      <c r="J52" s="4"/>
      <c r="K52" s="4"/>
      <c r="L52" s="4" t="s">
        <v>23</v>
      </c>
      <c r="M52">
        <v>0.2</v>
      </c>
      <c r="N52" t="s">
        <v>15</v>
      </c>
      <c r="O52" s="4" t="s">
        <v>14</v>
      </c>
    </row>
    <row r="53" spans="1:20" x14ac:dyDescent="0.25">
      <c r="B53" s="4"/>
      <c r="C53" s="4"/>
      <c r="D53" s="4"/>
      <c r="E53" s="4"/>
      <c r="F53" s="4"/>
      <c r="G53" s="4"/>
      <c r="H53" s="4"/>
      <c r="I53" s="4"/>
      <c r="J53" s="4"/>
      <c r="K53" s="4"/>
      <c r="L53" s="4" t="s">
        <v>24</v>
      </c>
      <c r="M53">
        <v>3.5000000000000003E-2</v>
      </c>
      <c r="N53" t="s">
        <v>17</v>
      </c>
      <c r="O53" s="5" t="s">
        <v>16</v>
      </c>
    </row>
    <row r="54" spans="1:20" x14ac:dyDescent="0.25">
      <c r="B54" s="4"/>
      <c r="C54" s="4"/>
      <c r="D54" s="4"/>
      <c r="E54" s="4"/>
      <c r="F54" s="4"/>
      <c r="G54" s="4"/>
      <c r="H54" s="4"/>
      <c r="I54" s="4"/>
      <c r="J54" s="4"/>
      <c r="K54" s="4"/>
      <c r="L54" s="6" t="s">
        <v>25</v>
      </c>
      <c r="M54">
        <v>250</v>
      </c>
      <c r="N54" t="s">
        <v>19</v>
      </c>
      <c r="O54" s="5" t="s">
        <v>18</v>
      </c>
    </row>
    <row r="55" spans="1:20" x14ac:dyDescent="0.25">
      <c r="B55" s="4"/>
      <c r="C55" s="4"/>
      <c r="D55" s="4"/>
      <c r="E55" s="4"/>
      <c r="F55" s="4"/>
      <c r="G55" s="4"/>
      <c r="H55" s="4"/>
      <c r="I55" s="4"/>
      <c r="J55" s="4"/>
      <c r="K55" s="4"/>
      <c r="L55" s="20" t="s">
        <v>50</v>
      </c>
      <c r="M55" s="9">
        <v>1</v>
      </c>
      <c r="N55" s="9"/>
      <c r="O55" s="21" t="s">
        <v>53</v>
      </c>
    </row>
    <row r="56" spans="1:20" ht="18" x14ac:dyDescent="0.35">
      <c r="B56" s="4"/>
      <c r="C56" s="4"/>
      <c r="D56" s="4"/>
      <c r="E56" s="4"/>
      <c r="F56" s="4"/>
      <c r="G56" s="4" t="s">
        <v>26</v>
      </c>
      <c r="H56" s="4"/>
      <c r="I56" s="4"/>
      <c r="J56" s="4"/>
      <c r="K56" s="4"/>
      <c r="L56" s="6" t="s">
        <v>50</v>
      </c>
      <c r="M56">
        <v>0.26</v>
      </c>
      <c r="O56" s="5" t="s">
        <v>51</v>
      </c>
    </row>
    <row r="57" spans="1:20" ht="18" x14ac:dyDescent="0.35">
      <c r="B57" s="4"/>
      <c r="C57" s="4"/>
      <c r="D57" s="4"/>
      <c r="E57" s="4"/>
      <c r="F57" s="4"/>
      <c r="G57" s="4" t="s">
        <v>179</v>
      </c>
      <c r="H57" s="4"/>
      <c r="I57" s="4"/>
      <c r="J57" s="4"/>
      <c r="K57" s="4"/>
      <c r="L57" s="6" t="s">
        <v>50</v>
      </c>
      <c r="M57">
        <v>0.26</v>
      </c>
      <c r="O57" s="5" t="s">
        <v>51</v>
      </c>
    </row>
    <row r="58" spans="1:20" ht="18" x14ac:dyDescent="0.35">
      <c r="B58" s="4"/>
      <c r="C58" s="4"/>
      <c r="D58" s="4"/>
      <c r="E58" s="4"/>
      <c r="F58" s="4"/>
      <c r="G58" s="4" t="s">
        <v>149</v>
      </c>
      <c r="H58" s="4"/>
      <c r="I58" s="4"/>
      <c r="J58" s="4"/>
      <c r="K58" s="4"/>
      <c r="L58" s="6" t="s">
        <v>50</v>
      </c>
      <c r="M58">
        <v>0.45</v>
      </c>
      <c r="O58" s="5" t="s">
        <v>51</v>
      </c>
    </row>
    <row r="59" spans="1:20" ht="18" x14ac:dyDescent="0.35">
      <c r="B59" s="4"/>
      <c r="C59" s="4"/>
      <c r="D59" s="4"/>
      <c r="E59" s="4"/>
      <c r="F59" s="4"/>
      <c r="G59" s="6" t="s">
        <v>150</v>
      </c>
      <c r="H59" s="6"/>
      <c r="I59" s="6"/>
      <c r="J59" s="6"/>
      <c r="K59" s="6"/>
      <c r="L59" s="6" t="s">
        <v>50</v>
      </c>
      <c r="M59">
        <v>0.76</v>
      </c>
      <c r="O59" s="5" t="s">
        <v>51</v>
      </c>
    </row>
    <row r="60" spans="1:20" x14ac:dyDescent="0.25">
      <c r="B60" s="4"/>
      <c r="C60" s="4"/>
      <c r="D60" s="4"/>
      <c r="E60" s="4"/>
      <c r="F60" s="4"/>
      <c r="G60" s="4"/>
      <c r="H60" s="4"/>
      <c r="I60" s="4"/>
      <c r="J60" s="4"/>
      <c r="K60" s="4"/>
      <c r="L60" s="6" t="s">
        <v>27</v>
      </c>
      <c r="M60">
        <v>4</v>
      </c>
      <c r="N60" t="s">
        <v>21</v>
      </c>
      <c r="O60" s="7" t="s">
        <v>20</v>
      </c>
    </row>
    <row r="62" spans="1:20" x14ac:dyDescent="0.25">
      <c r="A62" s="2" t="s">
        <v>8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20" x14ac:dyDescent="0.25">
      <c r="L63" t="s">
        <v>127</v>
      </c>
      <c r="M63">
        <v>4</v>
      </c>
      <c r="N63" t="s">
        <v>29</v>
      </c>
      <c r="O63" t="s">
        <v>28</v>
      </c>
      <c r="T63" s="6"/>
    </row>
    <row r="64" spans="1:20" ht="18" x14ac:dyDescent="0.35">
      <c r="L64" t="s">
        <v>45</v>
      </c>
      <c r="M64">
        <v>0.9</v>
      </c>
      <c r="O64" t="s">
        <v>30</v>
      </c>
      <c r="T64" s="6"/>
    </row>
    <row r="65" spans="1:20" ht="18" x14ac:dyDescent="0.35">
      <c r="L65" t="s">
        <v>38</v>
      </c>
      <c r="M65">
        <v>1.2250000000000001</v>
      </c>
      <c r="N65" t="s">
        <v>32</v>
      </c>
      <c r="O65" t="s">
        <v>31</v>
      </c>
      <c r="T65" s="6"/>
    </row>
    <row r="66" spans="1:20" ht="18" x14ac:dyDescent="0.35">
      <c r="L66" t="s">
        <v>39</v>
      </c>
      <c r="M66">
        <v>0.1</v>
      </c>
      <c r="O66" t="s">
        <v>33</v>
      </c>
      <c r="T66" s="6"/>
    </row>
    <row r="67" spans="1:20" ht="18" x14ac:dyDescent="0.35">
      <c r="L67" t="s">
        <v>40</v>
      </c>
      <c r="M67">
        <v>0.01</v>
      </c>
      <c r="O67" t="s">
        <v>34</v>
      </c>
    </row>
    <row r="68" spans="1:20" x14ac:dyDescent="0.25">
      <c r="L68" t="s">
        <v>41</v>
      </c>
      <c r="M68">
        <v>0.2</v>
      </c>
      <c r="O68" t="s">
        <v>35</v>
      </c>
    </row>
    <row r="69" spans="1:20" ht="18" x14ac:dyDescent="0.35">
      <c r="L69" t="s">
        <v>42</v>
      </c>
      <c r="M69">
        <v>0.8</v>
      </c>
      <c r="O69" t="s">
        <v>36</v>
      </c>
    </row>
    <row r="70" spans="1:20" ht="18" x14ac:dyDescent="0.35">
      <c r="L70" t="s">
        <v>43</v>
      </c>
      <c r="M70">
        <v>55</v>
      </c>
      <c r="O70" t="s">
        <v>37</v>
      </c>
      <c r="S70" s="4"/>
    </row>
    <row r="72" spans="1:20" x14ac:dyDescent="0.25">
      <c r="A72" s="1" t="s">
        <v>46</v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</row>
    <row r="73" spans="1:20" x14ac:dyDescent="0.25">
      <c r="L73" s="9" t="s">
        <v>76</v>
      </c>
      <c r="M73" s="9">
        <v>0</v>
      </c>
      <c r="N73" s="9" t="s">
        <v>85</v>
      </c>
      <c r="O73" s="9"/>
    </row>
    <row r="74" spans="1:20" x14ac:dyDescent="0.25">
      <c r="L74" s="9" t="s">
        <v>77</v>
      </c>
      <c r="M74" s="9">
        <v>0</v>
      </c>
      <c r="N74" s="9" t="s">
        <v>85</v>
      </c>
      <c r="O74" s="9"/>
    </row>
    <row r="75" spans="1:20" x14ac:dyDescent="0.25">
      <c r="L75" s="9" t="s">
        <v>78</v>
      </c>
      <c r="M75" s="9">
        <v>0</v>
      </c>
      <c r="N75" s="9" t="s">
        <v>85</v>
      </c>
      <c r="O75" s="9"/>
    </row>
    <row r="76" spans="1:20" x14ac:dyDescent="0.25">
      <c r="L76" s="9" t="s">
        <v>75</v>
      </c>
      <c r="M76" s="9">
        <v>0</v>
      </c>
      <c r="N76" s="9" t="s">
        <v>86</v>
      </c>
      <c r="O76" s="9"/>
    </row>
    <row r="77" spans="1:20" x14ac:dyDescent="0.25">
      <c r="L77" s="9" t="s">
        <v>92</v>
      </c>
      <c r="M77" s="9">
        <v>0</v>
      </c>
      <c r="N77" s="9" t="s">
        <v>93</v>
      </c>
      <c r="O77" s="9"/>
    </row>
    <row r="78" spans="1:20" x14ac:dyDescent="0.25">
      <c r="L78" s="9" t="s">
        <v>79</v>
      </c>
      <c r="M78" s="9">
        <v>1</v>
      </c>
      <c r="N78" s="9" t="s">
        <v>87</v>
      </c>
      <c r="O78" s="9" t="s">
        <v>80</v>
      </c>
    </row>
    <row r="79" spans="1:20" x14ac:dyDescent="0.25">
      <c r="L79" s="9" t="s">
        <v>54</v>
      </c>
      <c r="M79" s="9">
        <v>0</v>
      </c>
      <c r="N79" s="9" t="s">
        <v>56</v>
      </c>
      <c r="O79" s="9"/>
    </row>
    <row r="80" spans="1:20" x14ac:dyDescent="0.25">
      <c r="L80" s="9" t="s">
        <v>55</v>
      </c>
      <c r="M80" s="9">
        <v>0</v>
      </c>
      <c r="N80" s="9" t="s">
        <v>57</v>
      </c>
      <c r="O80" s="9"/>
    </row>
    <row r="81" spans="8:16" x14ac:dyDescent="0.25">
      <c r="L81" s="9" t="s">
        <v>134</v>
      </c>
      <c r="M81" s="9">
        <v>0</v>
      </c>
      <c r="N81" s="9" t="s">
        <v>57</v>
      </c>
      <c r="O81" s="9"/>
    </row>
    <row r="82" spans="8:16" x14ac:dyDescent="0.25">
      <c r="L82" s="9" t="s">
        <v>58</v>
      </c>
      <c r="M82" s="9">
        <v>0</v>
      </c>
      <c r="N82" s="9" t="s">
        <v>59</v>
      </c>
      <c r="O82" s="9"/>
    </row>
    <row r="83" spans="8:16" x14ac:dyDescent="0.25">
      <c r="L83" s="9"/>
      <c r="M83" s="9"/>
      <c r="N83" s="9"/>
      <c r="O83" s="9"/>
    </row>
    <row r="84" spans="8:16" x14ac:dyDescent="0.25">
      <c r="H84" t="s">
        <v>60</v>
      </c>
      <c r="L84" s="10" t="s">
        <v>76</v>
      </c>
      <c r="M84" s="10">
        <v>364</v>
      </c>
      <c r="N84" s="10"/>
      <c r="O84" s="10" t="s">
        <v>84</v>
      </c>
      <c r="P84" s="10"/>
    </row>
    <row r="85" spans="8:16" x14ac:dyDescent="0.25">
      <c r="H85" t="s">
        <v>60</v>
      </c>
      <c r="L85" s="10" t="s">
        <v>77</v>
      </c>
      <c r="M85" s="10">
        <v>18.8</v>
      </c>
      <c r="N85" s="10"/>
      <c r="O85" s="10"/>
      <c r="P85" s="10"/>
    </row>
    <row r="86" spans="8:16" x14ac:dyDescent="0.25">
      <c r="H86" t="s">
        <v>60</v>
      </c>
      <c r="L86" s="10" t="s">
        <v>78</v>
      </c>
      <c r="M86" s="10">
        <v>0</v>
      </c>
      <c r="N86" s="10"/>
      <c r="O86" s="10"/>
      <c r="P86" s="10"/>
    </row>
    <row r="87" spans="8:16" x14ac:dyDescent="0.25">
      <c r="H87" t="s">
        <v>60</v>
      </c>
      <c r="L87" s="10" t="s">
        <v>75</v>
      </c>
      <c r="M87" s="10">
        <v>10</v>
      </c>
      <c r="N87" s="10"/>
      <c r="O87" s="10"/>
      <c r="P87" s="10"/>
    </row>
    <row r="88" spans="8:16" x14ac:dyDescent="0.25">
      <c r="H88" t="s">
        <v>60</v>
      </c>
      <c r="I88" t="s">
        <v>74</v>
      </c>
      <c r="L88" s="10" t="s">
        <v>79</v>
      </c>
      <c r="M88" s="12">
        <v>1</v>
      </c>
      <c r="N88" s="10"/>
      <c r="O88" s="10"/>
      <c r="P88" s="10"/>
    </row>
    <row r="89" spans="8:16" x14ac:dyDescent="0.25">
      <c r="H89" t="s">
        <v>60</v>
      </c>
      <c r="I89" t="s">
        <v>73</v>
      </c>
      <c r="L89" s="10" t="s">
        <v>79</v>
      </c>
      <c r="M89" s="10">
        <v>0.88</v>
      </c>
      <c r="N89" s="10"/>
      <c r="O89" s="10"/>
      <c r="P89" s="10"/>
    </row>
    <row r="90" spans="8:16" x14ac:dyDescent="0.25">
      <c r="H90" t="s">
        <v>60</v>
      </c>
      <c r="I90" t="s">
        <v>72</v>
      </c>
      <c r="L90" s="10" t="s">
        <v>79</v>
      </c>
      <c r="M90" s="10">
        <v>0.78</v>
      </c>
      <c r="N90" s="10"/>
      <c r="O90" s="10"/>
      <c r="P90" s="10"/>
    </row>
    <row r="91" spans="8:16" x14ac:dyDescent="0.25">
      <c r="L91" s="10"/>
      <c r="M91" s="10"/>
      <c r="N91" s="10"/>
      <c r="O91" s="10"/>
      <c r="P91" s="10"/>
    </row>
    <row r="92" spans="8:16" x14ac:dyDescent="0.25">
      <c r="H92" t="s">
        <v>63</v>
      </c>
      <c r="L92" s="10" t="s">
        <v>76</v>
      </c>
      <c r="M92" s="10">
        <v>652</v>
      </c>
      <c r="N92" s="10"/>
      <c r="O92" s="10" t="s">
        <v>82</v>
      </c>
      <c r="P92" s="10"/>
    </row>
    <row r="93" spans="8:16" x14ac:dyDescent="0.25">
      <c r="H93" t="s">
        <v>63</v>
      </c>
      <c r="L93" s="10" t="s">
        <v>77</v>
      </c>
      <c r="M93" s="10">
        <v>0</v>
      </c>
      <c r="N93" s="10"/>
      <c r="O93" s="10"/>
      <c r="P93" s="10"/>
    </row>
    <row r="94" spans="8:16" x14ac:dyDescent="0.25">
      <c r="H94" t="s">
        <v>63</v>
      </c>
      <c r="L94" s="10" t="s">
        <v>78</v>
      </c>
      <c r="M94" s="10">
        <v>5.0999999999999996</v>
      </c>
      <c r="N94" s="10"/>
      <c r="O94" s="10"/>
      <c r="P94" s="10"/>
    </row>
    <row r="95" spans="8:16" x14ac:dyDescent="0.25">
      <c r="H95" t="s">
        <v>63</v>
      </c>
      <c r="L95" s="10" t="s">
        <v>75</v>
      </c>
      <c r="M95" s="10">
        <v>20</v>
      </c>
      <c r="N95" s="10"/>
      <c r="O95" s="10"/>
      <c r="P95" s="10"/>
    </row>
    <row r="96" spans="8:16" x14ac:dyDescent="0.25">
      <c r="H96" t="s">
        <v>63</v>
      </c>
      <c r="I96" t="s">
        <v>74</v>
      </c>
      <c r="L96" s="10" t="s">
        <v>79</v>
      </c>
      <c r="M96" s="12">
        <v>1</v>
      </c>
      <c r="N96" s="10"/>
      <c r="O96" s="10"/>
      <c r="P96" s="10"/>
    </row>
    <row r="97" spans="8:16" x14ac:dyDescent="0.25">
      <c r="H97" t="s">
        <v>63</v>
      </c>
      <c r="I97" t="s">
        <v>73</v>
      </c>
      <c r="L97" s="10" t="s">
        <v>79</v>
      </c>
      <c r="M97" s="12">
        <v>0.7</v>
      </c>
      <c r="N97" s="10"/>
      <c r="O97" s="10"/>
      <c r="P97" s="10"/>
    </row>
    <row r="98" spans="8:16" x14ac:dyDescent="0.25">
      <c r="H98" t="s">
        <v>63</v>
      </c>
      <c r="I98" t="s">
        <v>72</v>
      </c>
      <c r="L98" s="10" t="s">
        <v>79</v>
      </c>
      <c r="M98" s="10">
        <v>0.45</v>
      </c>
      <c r="N98" s="10"/>
      <c r="O98" s="10"/>
      <c r="P98" s="10"/>
    </row>
    <row r="99" spans="8:16" x14ac:dyDescent="0.25">
      <c r="L99" s="10"/>
      <c r="M99" s="10"/>
      <c r="N99" s="10"/>
      <c r="O99" s="10"/>
      <c r="P99" s="10"/>
    </row>
    <row r="100" spans="8:16" x14ac:dyDescent="0.25">
      <c r="H100" t="s">
        <v>62</v>
      </c>
      <c r="L100" s="10" t="s">
        <v>76</v>
      </c>
      <c r="M100" s="10">
        <v>46</v>
      </c>
      <c r="N100" s="10"/>
      <c r="O100" s="10" t="s">
        <v>83</v>
      </c>
      <c r="P100" s="10"/>
    </row>
    <row r="101" spans="8:16" x14ac:dyDescent="0.25">
      <c r="H101" t="s">
        <v>62</v>
      </c>
      <c r="L101" s="10" t="s">
        <v>77</v>
      </c>
      <c r="M101" s="10">
        <v>2.8</v>
      </c>
      <c r="N101" s="10"/>
      <c r="O101" s="10"/>
      <c r="P101" s="10"/>
    </row>
    <row r="102" spans="8:16" x14ac:dyDescent="0.25">
      <c r="H102" t="s">
        <v>62</v>
      </c>
      <c r="L102" s="10" t="s">
        <v>78</v>
      </c>
      <c r="M102" s="10">
        <v>0</v>
      </c>
      <c r="N102" s="10"/>
      <c r="O102" s="10"/>
      <c r="P102" s="10"/>
    </row>
    <row r="103" spans="8:16" x14ac:dyDescent="0.25">
      <c r="H103" t="s">
        <v>62</v>
      </c>
      <c r="L103" s="10" t="s">
        <v>75</v>
      </c>
      <c r="M103" s="10">
        <v>5</v>
      </c>
      <c r="N103" s="10"/>
      <c r="O103" s="10"/>
      <c r="P103" s="10"/>
    </row>
    <row r="104" spans="8:16" x14ac:dyDescent="0.25">
      <c r="H104" t="s">
        <v>62</v>
      </c>
      <c r="I104" t="s">
        <v>74</v>
      </c>
      <c r="L104" s="10" t="s">
        <v>79</v>
      </c>
      <c r="M104" s="12">
        <v>1</v>
      </c>
      <c r="N104" s="10"/>
      <c r="O104" s="10"/>
      <c r="P104" s="10"/>
    </row>
    <row r="105" spans="8:16" x14ac:dyDescent="0.25">
      <c r="H105" t="s">
        <v>62</v>
      </c>
      <c r="I105" t="s">
        <v>73</v>
      </c>
      <c r="L105" s="10" t="s">
        <v>79</v>
      </c>
      <c r="M105" s="10">
        <v>0.85</v>
      </c>
      <c r="N105" s="10"/>
      <c r="O105" s="10"/>
      <c r="P105" s="10"/>
    </row>
    <row r="106" spans="8:16" x14ac:dyDescent="0.25">
      <c r="H106" t="s">
        <v>62</v>
      </c>
      <c r="I106" t="s">
        <v>72</v>
      </c>
      <c r="L106" s="10" t="s">
        <v>79</v>
      </c>
      <c r="M106" s="10">
        <v>0.65</v>
      </c>
      <c r="N106" s="10"/>
      <c r="O106" s="10"/>
      <c r="P106" s="10"/>
    </row>
    <row r="107" spans="8:16" x14ac:dyDescent="0.25">
      <c r="L107" s="10"/>
      <c r="M107" s="10"/>
      <c r="N107" s="10"/>
      <c r="O107" s="10"/>
      <c r="P107" s="10"/>
    </row>
    <row r="108" spans="8:16" x14ac:dyDescent="0.25">
      <c r="H108" t="s">
        <v>65</v>
      </c>
      <c r="L108" s="10" t="s">
        <v>92</v>
      </c>
      <c r="M108" s="12">
        <v>5.0999999999999996</v>
      </c>
      <c r="N108" s="10"/>
      <c r="O108" s="6" t="s">
        <v>94</v>
      </c>
      <c r="P108" s="4" t="s">
        <v>96</v>
      </c>
    </row>
    <row r="109" spans="8:16" x14ac:dyDescent="0.25">
      <c r="H109" t="s">
        <v>66</v>
      </c>
      <c r="L109" s="10" t="s">
        <v>92</v>
      </c>
      <c r="M109" s="12">
        <v>7.1</v>
      </c>
      <c r="N109" s="10"/>
      <c r="O109" s="6" t="s">
        <v>95</v>
      </c>
      <c r="P109" s="4" t="s">
        <v>96</v>
      </c>
    </row>
    <row r="110" spans="8:16" x14ac:dyDescent="0.25">
      <c r="L110" s="10"/>
      <c r="M110" s="10"/>
      <c r="N110" s="10"/>
      <c r="O110" s="10"/>
      <c r="P110" s="10"/>
    </row>
    <row r="111" spans="8:16" x14ac:dyDescent="0.25">
      <c r="H111" t="s">
        <v>61</v>
      </c>
      <c r="L111" s="10" t="s">
        <v>54</v>
      </c>
      <c r="M111" s="12">
        <v>3.7353333333333332</v>
      </c>
      <c r="N111" s="10"/>
      <c r="O111" s="10" t="s">
        <v>88</v>
      </c>
      <c r="P111" s="6" t="s">
        <v>89</v>
      </c>
    </row>
    <row r="112" spans="8:16" x14ac:dyDescent="0.25">
      <c r="H112" t="s">
        <v>64</v>
      </c>
      <c r="L112" s="10" t="s">
        <v>54</v>
      </c>
      <c r="M112" s="11">
        <v>17.096931944444446</v>
      </c>
      <c r="N112" s="10"/>
      <c r="O112" s="6" t="s">
        <v>90</v>
      </c>
      <c r="P112" s="4" t="s">
        <v>91</v>
      </c>
    </row>
    <row r="113" spans="2:16" x14ac:dyDescent="0.25">
      <c r="H113" t="s">
        <v>67</v>
      </c>
      <c r="L113" s="10" t="s">
        <v>54</v>
      </c>
      <c r="M113" s="12">
        <v>1.2451111111111113</v>
      </c>
      <c r="N113" s="10"/>
      <c r="O113" s="6" t="s">
        <v>47</v>
      </c>
      <c r="P113" s="10" t="s">
        <v>89</v>
      </c>
    </row>
    <row r="114" spans="2:16" x14ac:dyDescent="0.25">
      <c r="H114" t="s">
        <v>68</v>
      </c>
      <c r="L114" s="10" t="s">
        <v>54</v>
      </c>
      <c r="M114" s="12">
        <v>3.1127777777777781</v>
      </c>
      <c r="N114" s="10"/>
      <c r="O114" s="6" t="s">
        <v>48</v>
      </c>
      <c r="P114" s="10" t="s">
        <v>89</v>
      </c>
    </row>
    <row r="115" spans="2:16" x14ac:dyDescent="0.25">
      <c r="H115" t="s">
        <v>97</v>
      </c>
      <c r="L115" s="10" t="s">
        <v>54</v>
      </c>
      <c r="M115" s="12">
        <v>4.6691666666666665</v>
      </c>
      <c r="N115" s="10"/>
      <c r="O115" s="4" t="s">
        <v>98</v>
      </c>
      <c r="P115" s="10" t="s">
        <v>89</v>
      </c>
    </row>
    <row r="116" spans="2:16" x14ac:dyDescent="0.25">
      <c r="H116" t="s">
        <v>69</v>
      </c>
      <c r="L116" s="10" t="s">
        <v>54</v>
      </c>
      <c r="M116" s="12">
        <v>3.1127777777777781</v>
      </c>
      <c r="N116" s="10"/>
      <c r="O116" s="4" t="s">
        <v>99</v>
      </c>
      <c r="P116" s="6" t="s">
        <v>89</v>
      </c>
    </row>
    <row r="117" spans="2:16" x14ac:dyDescent="0.25">
      <c r="H117" t="s">
        <v>70</v>
      </c>
      <c r="L117" s="10" t="s">
        <v>54</v>
      </c>
      <c r="M117" s="11">
        <v>11.828555555555555</v>
      </c>
      <c r="N117" s="10"/>
      <c r="O117" s="4" t="s">
        <v>103</v>
      </c>
      <c r="P117" s="10" t="s">
        <v>89</v>
      </c>
    </row>
    <row r="118" spans="2:16" x14ac:dyDescent="0.25">
      <c r="H118" t="s">
        <v>100</v>
      </c>
      <c r="L118" s="10" t="s">
        <v>54</v>
      </c>
      <c r="M118" s="11">
        <v>26.302972222222223</v>
      </c>
      <c r="N118" s="10"/>
      <c r="O118" s="6" t="s">
        <v>104</v>
      </c>
      <c r="P118" s="10" t="s">
        <v>91</v>
      </c>
    </row>
    <row r="119" spans="2:16" x14ac:dyDescent="0.25">
      <c r="H119" t="s">
        <v>101</v>
      </c>
      <c r="L119" s="10" t="s">
        <v>54</v>
      </c>
      <c r="M119" s="11">
        <v>11.3</v>
      </c>
      <c r="N119" s="10"/>
      <c r="O119" s="6" t="s">
        <v>106</v>
      </c>
      <c r="P119" s="10" t="s">
        <v>107</v>
      </c>
    </row>
    <row r="120" spans="2:16" x14ac:dyDescent="0.25">
      <c r="H120" t="s">
        <v>102</v>
      </c>
      <c r="L120" s="10" t="s">
        <v>54</v>
      </c>
      <c r="M120" s="11">
        <v>23.278130416666666</v>
      </c>
      <c r="N120" s="10"/>
      <c r="O120" s="6" t="s">
        <v>105</v>
      </c>
      <c r="P120" s="10" t="s">
        <v>107</v>
      </c>
    </row>
    <row r="121" spans="2:16" x14ac:dyDescent="0.25">
      <c r="H121" t="s">
        <v>71</v>
      </c>
      <c r="L121" s="10" t="s">
        <v>54</v>
      </c>
      <c r="M121" s="10">
        <v>13.15</v>
      </c>
      <c r="N121" s="10"/>
      <c r="O121" s="10" t="s">
        <v>109</v>
      </c>
      <c r="P121" s="10" t="s">
        <v>108</v>
      </c>
    </row>
    <row r="122" spans="2:16" x14ac:dyDescent="0.25">
      <c r="H122" t="s">
        <v>71</v>
      </c>
      <c r="L122" s="10" t="s">
        <v>55</v>
      </c>
      <c r="M122" s="10">
        <v>5.26</v>
      </c>
      <c r="N122" s="10"/>
      <c r="O122" s="10" t="s">
        <v>109</v>
      </c>
      <c r="P122" s="10" t="s">
        <v>108</v>
      </c>
    </row>
    <row r="123" spans="2:16" x14ac:dyDescent="0.25">
      <c r="B123" t="s">
        <v>110</v>
      </c>
      <c r="H123" t="s">
        <v>71</v>
      </c>
      <c r="L123" s="10" t="s">
        <v>55</v>
      </c>
      <c r="M123" s="12">
        <v>1.7546281240590185</v>
      </c>
      <c r="N123" s="10"/>
      <c r="O123" s="10" t="s">
        <v>111</v>
      </c>
      <c r="P123" s="4" t="s">
        <v>112</v>
      </c>
    </row>
    <row r="124" spans="2:16" x14ac:dyDescent="0.25">
      <c r="B124" t="s">
        <v>113</v>
      </c>
      <c r="H124" t="s">
        <v>71</v>
      </c>
      <c r="L124" s="10" t="s">
        <v>55</v>
      </c>
      <c r="M124" s="12">
        <v>5.1828516694033944</v>
      </c>
      <c r="N124" s="10"/>
      <c r="O124" s="6" t="s">
        <v>115</v>
      </c>
      <c r="P124" s="4" t="s">
        <v>112</v>
      </c>
    </row>
    <row r="125" spans="2:16" x14ac:dyDescent="0.25">
      <c r="B125" t="s">
        <v>114</v>
      </c>
      <c r="H125" t="s">
        <v>71</v>
      </c>
      <c r="L125" s="10" t="s">
        <v>55</v>
      </c>
      <c r="M125" s="13">
        <v>4.0531064740502947</v>
      </c>
      <c r="O125" s="6" t="s">
        <v>116</v>
      </c>
      <c r="P125" s="4" t="s">
        <v>112</v>
      </c>
    </row>
    <row r="126" spans="2:16" x14ac:dyDescent="0.25">
      <c r="B126" t="s">
        <v>118</v>
      </c>
      <c r="H126" t="s">
        <v>71</v>
      </c>
      <c r="L126" s="10" t="s">
        <v>55</v>
      </c>
      <c r="M126" s="13">
        <v>4.3591310772039646</v>
      </c>
      <c r="O126" s="6" t="s">
        <v>117</v>
      </c>
      <c r="P126" s="6" t="s">
        <v>107</v>
      </c>
    </row>
    <row r="127" spans="2:16" x14ac:dyDescent="0.25">
      <c r="L127" s="10"/>
      <c r="M127" s="13"/>
      <c r="O127" s="6"/>
      <c r="P127" s="6"/>
    </row>
    <row r="128" spans="2:16" x14ac:dyDescent="0.25">
      <c r="H128" t="s">
        <v>120</v>
      </c>
      <c r="L128" s="10" t="s">
        <v>54</v>
      </c>
      <c r="M128" s="13">
        <v>14.6</v>
      </c>
      <c r="O128" s="6"/>
      <c r="P128" s="4" t="s">
        <v>119</v>
      </c>
    </row>
    <row r="129" spans="1:16" x14ac:dyDescent="0.25">
      <c r="H129" t="s">
        <v>124</v>
      </c>
      <c r="J129" t="s">
        <v>121</v>
      </c>
      <c r="L129" s="10" t="s">
        <v>54</v>
      </c>
      <c r="M129" s="13">
        <v>37.744765138888887</v>
      </c>
      <c r="O129" s="6"/>
      <c r="P129" s="6" t="s">
        <v>91</v>
      </c>
    </row>
    <row r="130" spans="1:16" x14ac:dyDescent="0.25">
      <c r="H130" t="s">
        <v>124</v>
      </c>
      <c r="J130" t="s">
        <v>122</v>
      </c>
      <c r="L130" s="10" t="s">
        <v>54</v>
      </c>
      <c r="M130" s="13">
        <v>50.107162083333336</v>
      </c>
      <c r="O130" s="6"/>
      <c r="P130" s="6" t="s">
        <v>91</v>
      </c>
    </row>
    <row r="131" spans="1:16" x14ac:dyDescent="0.25">
      <c r="H131" t="s">
        <v>124</v>
      </c>
      <c r="J131" t="s">
        <v>123</v>
      </c>
      <c r="L131" s="10" t="s">
        <v>54</v>
      </c>
      <c r="M131" s="13">
        <v>36.955675972222224</v>
      </c>
      <c r="O131" s="6"/>
      <c r="P131" s="6" t="s">
        <v>91</v>
      </c>
    </row>
    <row r="132" spans="1:16" x14ac:dyDescent="0.25">
      <c r="L132" s="10"/>
      <c r="M132" s="13"/>
      <c r="O132" s="6"/>
      <c r="P132" s="6"/>
    </row>
    <row r="133" spans="1:16" x14ac:dyDescent="0.25">
      <c r="H133" t="s">
        <v>131</v>
      </c>
      <c r="L133" s="10" t="s">
        <v>55</v>
      </c>
      <c r="M133" s="13">
        <v>1.6176327916666666</v>
      </c>
      <c r="O133" s="6" t="s">
        <v>135</v>
      </c>
      <c r="P133" s="4" t="s">
        <v>91</v>
      </c>
    </row>
    <row r="134" spans="1:16" x14ac:dyDescent="0.25">
      <c r="H134" t="s">
        <v>132</v>
      </c>
      <c r="L134" s="10" t="s">
        <v>134</v>
      </c>
      <c r="M134" s="13">
        <v>3.0774477499999997</v>
      </c>
      <c r="O134" s="6" t="s">
        <v>136</v>
      </c>
      <c r="P134" s="4" t="s">
        <v>91</v>
      </c>
    </row>
    <row r="135" spans="1:16" x14ac:dyDescent="0.25">
      <c r="H135" t="s">
        <v>133</v>
      </c>
      <c r="L135" s="10" t="s">
        <v>58</v>
      </c>
      <c r="M135" s="13">
        <v>0.25</v>
      </c>
      <c r="O135" s="6" t="s">
        <v>137</v>
      </c>
      <c r="P135" s="4" t="s">
        <v>112</v>
      </c>
    </row>
    <row r="137" spans="1:16" x14ac:dyDescent="0.25">
      <c r="A137" s="1" t="s">
        <v>81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8"/>
      <c r="M137" s="8"/>
      <c r="N137" s="8"/>
      <c r="O137" s="8"/>
      <c r="P137" s="8"/>
    </row>
    <row r="138" spans="1:16" x14ac:dyDescent="0.25">
      <c r="L138" s="9" t="s">
        <v>49</v>
      </c>
      <c r="M138" s="9">
        <v>0</v>
      </c>
      <c r="O138" s="9" t="s">
        <v>53</v>
      </c>
    </row>
    <row r="139" spans="1:16" x14ac:dyDescent="0.25">
      <c r="L139" t="s">
        <v>49</v>
      </c>
      <c r="M139" t="s">
        <v>180</v>
      </c>
    </row>
    <row r="141" spans="1:16" x14ac:dyDescent="0.25">
      <c r="A141" s="1" t="s">
        <v>198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8"/>
      <c r="M141" s="8"/>
      <c r="N141" s="8"/>
      <c r="O141" s="8"/>
      <c r="P141" s="8"/>
    </row>
    <row r="142" spans="1:16" x14ac:dyDescent="0.25">
      <c r="L142" s="9" t="s">
        <v>167</v>
      </c>
      <c r="M142" s="9">
        <v>0</v>
      </c>
      <c r="N142" s="9" t="s">
        <v>168</v>
      </c>
      <c r="O142" s="9" t="s">
        <v>53</v>
      </c>
    </row>
    <row r="143" spans="1:16" x14ac:dyDescent="0.25">
      <c r="B143" t="s">
        <v>160</v>
      </c>
      <c r="L143" t="s">
        <v>167</v>
      </c>
      <c r="M143">
        <v>302</v>
      </c>
      <c r="N143" t="s">
        <v>168</v>
      </c>
      <c r="O143" t="s">
        <v>169</v>
      </c>
      <c r="P143" t="s">
        <v>172</v>
      </c>
    </row>
    <row r="144" spans="1:16" x14ac:dyDescent="0.25">
      <c r="B144" t="s">
        <v>161</v>
      </c>
      <c r="L144" t="s">
        <v>167</v>
      </c>
      <c r="M144">
        <v>197</v>
      </c>
      <c r="N144" t="s">
        <v>168</v>
      </c>
      <c r="O144" t="s">
        <v>170</v>
      </c>
      <c r="P144" t="s">
        <v>173</v>
      </c>
    </row>
    <row r="145" spans="1:16" x14ac:dyDescent="0.25">
      <c r="B145" t="s">
        <v>162</v>
      </c>
      <c r="L145" t="s">
        <v>167</v>
      </c>
      <c r="M145">
        <v>216</v>
      </c>
      <c r="N145" t="s">
        <v>168</v>
      </c>
      <c r="O145" t="s">
        <v>171</v>
      </c>
      <c r="P145" t="s">
        <v>174</v>
      </c>
    </row>
    <row r="146" spans="1:16" x14ac:dyDescent="0.25">
      <c r="B146" t="s">
        <v>163</v>
      </c>
      <c r="L146" t="s">
        <v>167</v>
      </c>
      <c r="M146">
        <v>216</v>
      </c>
      <c r="N146" t="s">
        <v>168</v>
      </c>
      <c r="O146" t="s">
        <v>171</v>
      </c>
    </row>
    <row r="147" spans="1:16" x14ac:dyDescent="0.25">
      <c r="B147" t="s">
        <v>164</v>
      </c>
      <c r="L147" t="s">
        <v>167</v>
      </c>
      <c r="M147">
        <v>216</v>
      </c>
      <c r="N147" t="s">
        <v>168</v>
      </c>
      <c r="O147" t="s">
        <v>171</v>
      </c>
    </row>
    <row r="148" spans="1:16" x14ac:dyDescent="0.25">
      <c r="B148" t="s">
        <v>165</v>
      </c>
      <c r="L148" t="s">
        <v>167</v>
      </c>
      <c r="M148">
        <v>216</v>
      </c>
      <c r="N148" t="s">
        <v>168</v>
      </c>
      <c r="O148" t="s">
        <v>171</v>
      </c>
    </row>
    <row r="149" spans="1:16" x14ac:dyDescent="0.25">
      <c r="B149" t="s">
        <v>166</v>
      </c>
      <c r="L149" t="s">
        <v>167</v>
      </c>
      <c r="M149">
        <v>216</v>
      </c>
      <c r="N149" t="s">
        <v>168</v>
      </c>
      <c r="O149" t="s">
        <v>171</v>
      </c>
    </row>
    <row r="151" spans="1:16" x14ac:dyDescent="0.25">
      <c r="A151" s="1" t="s">
        <v>202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8"/>
      <c r="M151" s="8"/>
      <c r="N151" s="8"/>
      <c r="O151" s="8"/>
      <c r="P151" s="8"/>
    </row>
    <row r="152" spans="1:16" x14ac:dyDescent="0.25">
      <c r="L152" s="9" t="s">
        <v>235</v>
      </c>
      <c r="M152" s="9">
        <v>0</v>
      </c>
      <c r="N152" s="9" t="s">
        <v>208</v>
      </c>
      <c r="O152" s="9" t="s">
        <v>53</v>
      </c>
    </row>
    <row r="153" spans="1:16" x14ac:dyDescent="0.25">
      <c r="L153" s="9" t="s">
        <v>237</v>
      </c>
      <c r="M153" s="9">
        <v>0</v>
      </c>
      <c r="N153" s="9" t="s">
        <v>238</v>
      </c>
      <c r="O153" s="9" t="s">
        <v>53</v>
      </c>
    </row>
    <row r="155" spans="1:16" x14ac:dyDescent="0.25">
      <c r="A155" t="s">
        <v>203</v>
      </c>
      <c r="C155" t="s">
        <v>201</v>
      </c>
      <c r="D155" t="s">
        <v>211</v>
      </c>
      <c r="E155" t="s">
        <v>212</v>
      </c>
      <c r="F155" t="s">
        <v>239</v>
      </c>
      <c r="L155" t="s">
        <v>237</v>
      </c>
      <c r="M155" s="25">
        <f>'energy stables'!E27</f>
        <v>3.5302245250431775E-2</v>
      </c>
      <c r="N155" t="s">
        <v>206</v>
      </c>
      <c r="O155" t="s">
        <v>221</v>
      </c>
      <c r="P155" t="s">
        <v>243</v>
      </c>
    </row>
    <row r="156" spans="1:16" x14ac:dyDescent="0.25">
      <c r="A156" t="s">
        <v>207</v>
      </c>
      <c r="C156" t="s">
        <v>201</v>
      </c>
      <c r="D156" t="s">
        <v>211</v>
      </c>
      <c r="E156" t="s">
        <v>212</v>
      </c>
      <c r="L156" t="s">
        <v>235</v>
      </c>
      <c r="M156" s="24">
        <f>'energy stables'!D29</f>
        <v>308.33833333333342</v>
      </c>
      <c r="N156" t="s">
        <v>208</v>
      </c>
      <c r="O156" t="s">
        <v>244</v>
      </c>
      <c r="P156" t="s">
        <v>243</v>
      </c>
    </row>
    <row r="157" spans="1:16" x14ac:dyDescent="0.25">
      <c r="A157" t="s">
        <v>205</v>
      </c>
      <c r="C157" t="s">
        <v>201</v>
      </c>
      <c r="D157" t="s">
        <v>211</v>
      </c>
      <c r="E157" t="s">
        <v>212</v>
      </c>
      <c r="F157" t="s">
        <v>239</v>
      </c>
      <c r="L157" t="s">
        <v>237</v>
      </c>
      <c r="M157" s="25">
        <f>'energy stables'!E30</f>
        <v>4.1036269430051814E-2</v>
      </c>
      <c r="N157" t="s">
        <v>206</v>
      </c>
      <c r="P157" t="s">
        <v>243</v>
      </c>
    </row>
    <row r="159" spans="1:16" x14ac:dyDescent="0.25">
      <c r="A159" t="s">
        <v>203</v>
      </c>
      <c r="C159" t="s">
        <v>201</v>
      </c>
      <c r="L159" t="s">
        <v>235</v>
      </c>
      <c r="M159" s="24">
        <f>'energy stables'!D32</f>
        <v>170.33333333333331</v>
      </c>
      <c r="N159" t="s">
        <v>208</v>
      </c>
      <c r="O159" t="s">
        <v>221</v>
      </c>
      <c r="P159" t="s">
        <v>243</v>
      </c>
    </row>
    <row r="160" spans="1:16" x14ac:dyDescent="0.25">
      <c r="A160" t="s">
        <v>207</v>
      </c>
      <c r="C160" t="s">
        <v>201</v>
      </c>
      <c r="L160" t="s">
        <v>235</v>
      </c>
      <c r="M160" s="24">
        <f>'energy stables'!D34</f>
        <v>332.32333333333338</v>
      </c>
      <c r="N160" t="s">
        <v>208</v>
      </c>
      <c r="O160" t="s">
        <v>244</v>
      </c>
      <c r="P160" t="s">
        <v>243</v>
      </c>
    </row>
    <row r="161" spans="13:13" x14ac:dyDescent="0.25">
      <c r="M161" s="24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workbookViewId="0">
      <selection activeCell="J2" sqref="J2"/>
    </sheetView>
  </sheetViews>
  <sheetFormatPr defaultRowHeight="15" x14ac:dyDescent="0.25"/>
  <cols>
    <col min="2" max="2" width="17.28515625" customWidth="1"/>
    <col min="3" max="3" width="12.28515625" customWidth="1"/>
  </cols>
  <sheetData>
    <row r="2" spans="2:10" x14ac:dyDescent="0.25">
      <c r="B2" s="51" t="s">
        <v>241</v>
      </c>
      <c r="C2" s="51"/>
      <c r="D2" s="51"/>
      <c r="E2" s="51"/>
      <c r="F2" s="51"/>
      <c r="G2" s="51"/>
      <c r="H2" s="51"/>
      <c r="I2" s="51"/>
    </row>
    <row r="3" spans="2:10" x14ac:dyDescent="0.25">
      <c r="B3" s="51"/>
      <c r="C3" s="51"/>
      <c r="D3" s="51"/>
      <c r="E3" s="51"/>
      <c r="F3" s="51"/>
      <c r="G3" s="51"/>
      <c r="H3" s="51"/>
      <c r="I3" s="51"/>
    </row>
    <row r="4" spans="2:10" x14ac:dyDescent="0.25">
      <c r="B4" s="51"/>
      <c r="C4" s="51"/>
      <c r="D4" s="51"/>
      <c r="E4" s="51"/>
      <c r="F4" s="51"/>
      <c r="G4" s="51"/>
      <c r="H4" s="51"/>
      <c r="I4" s="51"/>
    </row>
    <row r="5" spans="2:10" x14ac:dyDescent="0.25">
      <c r="B5" s="51"/>
      <c r="C5" s="51"/>
      <c r="D5" s="51"/>
      <c r="E5" s="51"/>
      <c r="F5" s="51"/>
      <c r="G5" s="51"/>
      <c r="H5" s="51"/>
      <c r="I5" s="51"/>
    </row>
    <row r="7" spans="2:10" x14ac:dyDescent="0.25">
      <c r="B7" s="49" t="s">
        <v>213</v>
      </c>
    </row>
    <row r="9" spans="2:10" x14ac:dyDescent="0.25">
      <c r="B9" s="27"/>
      <c r="C9" s="30"/>
      <c r="D9" s="47" t="s">
        <v>214</v>
      </c>
      <c r="E9" s="28" t="s">
        <v>212</v>
      </c>
      <c r="F9" s="30" t="s">
        <v>231</v>
      </c>
      <c r="G9" s="29" t="s">
        <v>215</v>
      </c>
      <c r="H9" s="28" t="s">
        <v>212</v>
      </c>
      <c r="I9" s="30" t="s">
        <v>231</v>
      </c>
    </row>
    <row r="10" spans="2:10" x14ac:dyDescent="0.25">
      <c r="B10" s="31" t="s">
        <v>216</v>
      </c>
      <c r="C10" s="45" t="s">
        <v>219</v>
      </c>
      <c r="D10" s="31">
        <v>150</v>
      </c>
      <c r="E10" s="4"/>
      <c r="F10" s="32"/>
      <c r="G10" s="4">
        <v>220</v>
      </c>
      <c r="H10" s="4"/>
      <c r="I10" s="32"/>
    </row>
    <row r="11" spans="2:10" x14ac:dyDescent="0.25">
      <c r="B11" s="31" t="s">
        <v>217</v>
      </c>
      <c r="C11" s="45" t="s">
        <v>219</v>
      </c>
      <c r="D11" s="31">
        <v>150</v>
      </c>
      <c r="E11" s="4"/>
      <c r="F11" s="32"/>
      <c r="G11" s="4">
        <v>220</v>
      </c>
      <c r="H11" s="4"/>
      <c r="I11" s="32"/>
    </row>
    <row r="12" spans="2:10" x14ac:dyDescent="0.25">
      <c r="B12" s="31" t="s">
        <v>218</v>
      </c>
      <c r="C12" s="45" t="s">
        <v>220</v>
      </c>
      <c r="D12" s="31">
        <v>10500</v>
      </c>
      <c r="E12" s="4"/>
      <c r="F12" s="32"/>
      <c r="G12" s="4">
        <v>8800</v>
      </c>
      <c r="H12" s="4"/>
      <c r="I12" s="32"/>
    </row>
    <row r="13" spans="2:10" x14ac:dyDescent="0.25">
      <c r="B13" s="31"/>
      <c r="C13" s="45"/>
      <c r="D13" s="31"/>
      <c r="E13" s="4"/>
      <c r="F13" s="32"/>
      <c r="G13" s="4"/>
      <c r="H13" s="4"/>
      <c r="I13" s="32"/>
    </row>
    <row r="14" spans="2:10" x14ac:dyDescent="0.25">
      <c r="B14" s="31" t="s">
        <v>221</v>
      </c>
      <c r="C14" s="45" t="s">
        <v>230</v>
      </c>
      <c r="D14" s="31">
        <v>652</v>
      </c>
      <c r="E14" s="33">
        <f>D14*(2/3)</f>
        <v>434.66666666666663</v>
      </c>
      <c r="F14" s="34">
        <f>D14*(1/3)</f>
        <v>217.33333333333331</v>
      </c>
      <c r="G14" s="4">
        <v>370</v>
      </c>
      <c r="H14" s="33">
        <f>G14*(2/3)</f>
        <v>246.66666666666666</v>
      </c>
      <c r="I14" s="34">
        <f>G14*(1/3)</f>
        <v>123.33333333333333</v>
      </c>
      <c r="J14" s="26" t="s">
        <v>234</v>
      </c>
    </row>
    <row r="15" spans="2:10" x14ac:dyDescent="0.25">
      <c r="B15" s="31" t="s">
        <v>222</v>
      </c>
      <c r="C15" s="45" t="s">
        <v>230</v>
      </c>
      <c r="D15" s="31">
        <v>3</v>
      </c>
      <c r="E15" s="33">
        <f>(E$21-E$14-E$16-E$18) * (D15/SUM(D$15,D$17,D$19))</f>
        <v>2.1908735632183913</v>
      </c>
      <c r="F15" s="34">
        <f>(F$21-F$14-F$16-F$18) * (D15/SUM(D$15,D$17,D$19))</f>
        <v>0.80912643678160945</v>
      </c>
      <c r="G15" s="4">
        <v>74</v>
      </c>
      <c r="H15" s="33">
        <f>(H$21-H$14-H$16-H$18) * (G15/SUM(G$15,G$17,G$19))</f>
        <v>42.039127163280675</v>
      </c>
      <c r="I15" s="34">
        <f>(I$21-I$14-I$16-I$18) * (G15/SUM(G$15,G$17,G$19))</f>
        <v>31.960872836719343</v>
      </c>
      <c r="J15" s="26"/>
    </row>
    <row r="16" spans="2:10" x14ac:dyDescent="0.25">
      <c r="B16" s="31" t="s">
        <v>223</v>
      </c>
      <c r="C16" s="45" t="s">
        <v>230</v>
      </c>
      <c r="D16" s="31">
        <v>40</v>
      </c>
      <c r="E16" s="33">
        <f>D16*(2/3)</f>
        <v>26.666666666666664</v>
      </c>
      <c r="F16" s="34">
        <f>D16*(1/3)</f>
        <v>13.333333333333332</v>
      </c>
      <c r="G16" s="4">
        <v>31</v>
      </c>
      <c r="H16" s="33">
        <f>G16*(2/3)</f>
        <v>20.666666666666664</v>
      </c>
      <c r="I16" s="34">
        <f>G16*(1/3)</f>
        <v>10.333333333333332</v>
      </c>
      <c r="J16" s="26" t="s">
        <v>234</v>
      </c>
    </row>
    <row r="17" spans="2:10" x14ac:dyDescent="0.25">
      <c r="B17" s="31" t="s">
        <v>224</v>
      </c>
      <c r="C17" s="45" t="s">
        <v>230</v>
      </c>
      <c r="D17" s="31">
        <v>216</v>
      </c>
      <c r="E17" s="33">
        <f>(E$21-E$14-E$16-E$18) * (D17/SUM(D$15,D$17,D$19))</f>
        <v>157.74289655172416</v>
      </c>
      <c r="F17" s="34">
        <f>(F$21-F$14-F$16-F$18) * (D17/SUM(D$15,D$17,D$19))</f>
        <v>58.257103448275878</v>
      </c>
      <c r="G17" s="4">
        <v>224</v>
      </c>
      <c r="H17" s="33">
        <f>(H$21-H$14-H$16-H$18) * (G17/SUM(G$15,G$17,G$19))</f>
        <v>127.25357411587665</v>
      </c>
      <c r="I17" s="34">
        <f>(I$21-I$14-I$16-I$18) * (G17/SUM(G$15,G$17,G$19))</f>
        <v>96.746425884123411</v>
      </c>
      <c r="J17" s="26"/>
    </row>
    <row r="18" spans="2:10" x14ac:dyDescent="0.25">
      <c r="B18" s="31" t="s">
        <v>225</v>
      </c>
      <c r="C18" s="45" t="s">
        <v>230</v>
      </c>
      <c r="D18" s="31">
        <v>386</v>
      </c>
      <c r="E18" s="33">
        <f>D18</f>
        <v>386</v>
      </c>
      <c r="F18" s="34">
        <v>0</v>
      </c>
      <c r="G18" s="4">
        <v>406</v>
      </c>
      <c r="H18" s="33">
        <f>G18</f>
        <v>406</v>
      </c>
      <c r="I18" s="34">
        <v>0</v>
      </c>
      <c r="J18" s="26" t="s">
        <v>240</v>
      </c>
    </row>
    <row r="19" spans="2:10" x14ac:dyDescent="0.25">
      <c r="B19" s="31" t="s">
        <v>226</v>
      </c>
      <c r="C19" s="45" t="s">
        <v>230</v>
      </c>
      <c r="D19" s="31">
        <v>216</v>
      </c>
      <c r="E19" s="33">
        <f>(E$21-E$14-E$16-E$18) * (D19/SUM(D$15,D$17,D$19))</f>
        <v>157.74289655172416</v>
      </c>
      <c r="F19" s="34">
        <f>(F$21-F$14-F$16-F$18) * (D19/SUM(D$15,D$17,D$19))</f>
        <v>58.257103448275878</v>
      </c>
      <c r="G19" s="4">
        <v>145</v>
      </c>
      <c r="H19" s="33">
        <f>(H$21-H$14-H$16-H$18) * (G19/SUM(G$15,G$17,G$19))</f>
        <v>82.373965387509429</v>
      </c>
      <c r="I19" s="34">
        <f>(I$21-I$14-I$16-I$18) * (G19/SUM(G$15,G$17,G$19))</f>
        <v>62.626034612490599</v>
      </c>
    </row>
    <row r="20" spans="2:10" x14ac:dyDescent="0.25">
      <c r="B20" s="31"/>
      <c r="C20" s="45"/>
      <c r="D20" s="31"/>
      <c r="E20" s="35"/>
      <c r="F20" s="32"/>
      <c r="G20" s="4"/>
      <c r="H20" s="35"/>
      <c r="I20" s="32"/>
    </row>
    <row r="21" spans="2:10" x14ac:dyDescent="0.25">
      <c r="B21" s="36" t="s">
        <v>227</v>
      </c>
      <c r="C21" s="45" t="s">
        <v>230</v>
      </c>
      <c r="D21" s="36">
        <f>SUM(D14:D19)</f>
        <v>1513</v>
      </c>
      <c r="E21" s="38">
        <f t="shared" ref="E21" si="0">D21*(1-D$24/100)</f>
        <v>1165.01</v>
      </c>
      <c r="F21" s="39">
        <f>D21*(D$24/100)</f>
        <v>347.99</v>
      </c>
      <c r="G21" s="37">
        <f>SUM(G14:G19)</f>
        <v>1250</v>
      </c>
      <c r="H21" s="38">
        <f t="shared" ref="H21" si="1">G21*(1-G$24/100)</f>
        <v>925</v>
      </c>
      <c r="I21" s="39">
        <f>G21*(G$24/100)</f>
        <v>325</v>
      </c>
    </row>
    <row r="22" spans="2:10" x14ac:dyDescent="0.25">
      <c r="B22" s="31" t="s">
        <v>228</v>
      </c>
      <c r="C22" s="45" t="s">
        <v>230</v>
      </c>
      <c r="D22" s="31">
        <v>868</v>
      </c>
      <c r="E22" s="33">
        <f>SUM(E15:E19)</f>
        <v>730.34333333333336</v>
      </c>
      <c r="F22" s="34">
        <f>SUM(F15:F19)</f>
        <v>130.65666666666669</v>
      </c>
      <c r="G22" s="4">
        <v>994</v>
      </c>
      <c r="H22" s="33">
        <f>SUM(H15:H19)</f>
        <v>678.33333333333337</v>
      </c>
      <c r="I22" s="34">
        <f>SUM(I15:I19)</f>
        <v>201.66666666666669</v>
      </c>
    </row>
    <row r="23" spans="2:10" x14ac:dyDescent="0.25">
      <c r="B23" s="31"/>
      <c r="C23" s="45"/>
      <c r="D23" s="48">
        <f t="shared" ref="D23:I23" si="2">D22/D21</f>
        <v>0.57369464639788503</v>
      </c>
      <c r="E23" s="40">
        <f t="shared" si="2"/>
        <v>0.62689876767867514</v>
      </c>
      <c r="F23" s="41">
        <f t="shared" si="2"/>
        <v>0.37546098067952149</v>
      </c>
      <c r="G23" s="40">
        <f t="shared" si="2"/>
        <v>0.79520000000000002</v>
      </c>
      <c r="H23" s="40">
        <f t="shared" si="2"/>
        <v>0.73333333333333339</v>
      </c>
      <c r="I23" s="41">
        <f t="shared" si="2"/>
        <v>0.62051282051282053</v>
      </c>
    </row>
    <row r="24" spans="2:10" x14ac:dyDescent="0.25">
      <c r="B24" s="42" t="s">
        <v>229</v>
      </c>
      <c r="C24" s="46" t="s">
        <v>128</v>
      </c>
      <c r="D24" s="42">
        <v>23</v>
      </c>
      <c r="E24" s="14"/>
      <c r="F24" s="43"/>
      <c r="G24" s="14">
        <v>26</v>
      </c>
      <c r="H24" s="14"/>
      <c r="I24" s="43"/>
    </row>
    <row r="26" spans="2:10" x14ac:dyDescent="0.25">
      <c r="B26" s="27"/>
      <c r="C26" s="30"/>
      <c r="D26" s="28" t="s">
        <v>232</v>
      </c>
      <c r="E26" s="30" t="s">
        <v>233</v>
      </c>
    </row>
    <row r="27" spans="2:10" x14ac:dyDescent="0.25">
      <c r="B27" s="31" t="s">
        <v>203</v>
      </c>
      <c r="C27" s="32" t="s">
        <v>212</v>
      </c>
      <c r="D27" s="4">
        <v>0</v>
      </c>
      <c r="E27" s="44">
        <f>(E14+H14)/(D12+G12)</f>
        <v>3.5302245250431775E-2</v>
      </c>
    </row>
    <row r="28" spans="2:10" x14ac:dyDescent="0.25">
      <c r="B28" s="31" t="s">
        <v>204</v>
      </c>
      <c r="C28" s="32" t="s">
        <v>212</v>
      </c>
      <c r="D28" s="4">
        <v>0</v>
      </c>
      <c r="E28" s="32">
        <v>0</v>
      </c>
    </row>
    <row r="29" spans="2:10" x14ac:dyDescent="0.25">
      <c r="B29" s="31" t="s">
        <v>207</v>
      </c>
      <c r="C29" s="32" t="s">
        <v>212</v>
      </c>
      <c r="D29" s="35">
        <f>SUM(E15:E17,E19,H15:H17,H19)/2</f>
        <v>308.33833333333342</v>
      </c>
      <c r="E29" s="32">
        <v>0</v>
      </c>
    </row>
    <row r="30" spans="2:10" x14ac:dyDescent="0.25">
      <c r="B30" s="31" t="s">
        <v>205</v>
      </c>
      <c r="C30" s="32" t="s">
        <v>212</v>
      </c>
      <c r="D30" s="4">
        <v>0</v>
      </c>
      <c r="E30" s="44">
        <f>(E18+H18)/(D12+G12)</f>
        <v>4.1036269430051814E-2</v>
      </c>
    </row>
    <row r="31" spans="2:10" x14ac:dyDescent="0.25">
      <c r="B31" s="31"/>
      <c r="C31" s="32"/>
      <c r="D31" s="4"/>
      <c r="E31" s="32"/>
    </row>
    <row r="32" spans="2:10" x14ac:dyDescent="0.25">
      <c r="B32" s="31" t="s">
        <v>203</v>
      </c>
      <c r="C32" s="32" t="s">
        <v>231</v>
      </c>
      <c r="D32" s="35">
        <f>SUM(F14,I14)/2</f>
        <v>170.33333333333331</v>
      </c>
      <c r="E32" s="32">
        <v>0</v>
      </c>
    </row>
    <row r="33" spans="2:5" x14ac:dyDescent="0.25">
      <c r="B33" s="31" t="s">
        <v>204</v>
      </c>
      <c r="C33" s="32" t="s">
        <v>231</v>
      </c>
      <c r="D33" s="4">
        <v>0</v>
      </c>
      <c r="E33" s="32">
        <v>0</v>
      </c>
    </row>
    <row r="34" spans="2:5" x14ac:dyDescent="0.25">
      <c r="B34" s="31" t="s">
        <v>207</v>
      </c>
      <c r="C34" s="32" t="s">
        <v>231</v>
      </c>
      <c r="D34" s="35">
        <f>SUM(F15:F17,F19,I15:I17,I19)</f>
        <v>332.32333333333338</v>
      </c>
      <c r="E34" s="32">
        <v>0</v>
      </c>
    </row>
    <row r="35" spans="2:5" x14ac:dyDescent="0.25">
      <c r="B35" s="42" t="s">
        <v>205</v>
      </c>
      <c r="C35" s="43" t="s">
        <v>231</v>
      </c>
      <c r="D35" s="14">
        <v>0</v>
      </c>
      <c r="E35" s="43">
        <v>0</v>
      </c>
    </row>
  </sheetData>
  <mergeCells count="1">
    <mergeCell ref="B2:I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"/>
  <sheetViews>
    <sheetView workbookViewId="0">
      <selection activeCell="B11" sqref="B11"/>
    </sheetView>
  </sheetViews>
  <sheetFormatPr defaultRowHeight="15" x14ac:dyDescent="0.25"/>
  <sheetData>
    <row r="1" spans="1:1" x14ac:dyDescent="0.25">
      <c r="A1" s="16" t="s">
        <v>138</v>
      </c>
    </row>
    <row r="2" spans="1:1" x14ac:dyDescent="0.25">
      <c r="A2" s="17" t="s">
        <v>139</v>
      </c>
    </row>
    <row r="3" spans="1:1" x14ac:dyDescent="0.25">
      <c r="A3" s="17" t="s">
        <v>140</v>
      </c>
    </row>
    <row r="4" spans="1:1" x14ac:dyDescent="0.25">
      <c r="A4" s="17" t="s">
        <v>141</v>
      </c>
    </row>
    <row r="5" spans="1:1" x14ac:dyDescent="0.25">
      <c r="A5" s="17" t="s">
        <v>142</v>
      </c>
    </row>
    <row r="6" spans="1:1" x14ac:dyDescent="0.25">
      <c r="A6" s="17" t="s">
        <v>143</v>
      </c>
    </row>
    <row r="7" spans="1:1" x14ac:dyDescent="0.25">
      <c r="A7" s="17" t="s">
        <v>144</v>
      </c>
    </row>
    <row r="8" spans="1:1" x14ac:dyDescent="0.25">
      <c r="A8" s="17" t="s">
        <v>145</v>
      </c>
    </row>
    <row r="9" spans="1:1" x14ac:dyDescent="0.25">
      <c r="A9" s="17" t="s">
        <v>146</v>
      </c>
    </row>
    <row r="10" spans="1:1" x14ac:dyDescent="0.25">
      <c r="A10" s="17" t="s">
        <v>147</v>
      </c>
    </row>
    <row r="11" spans="1:1" x14ac:dyDescent="0.25">
      <c r="A11" s="50" t="s">
        <v>242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default</vt:lpstr>
      <vt:lpstr>energy stables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2023-10-06T12:14:24Z</dcterms:modified>
</cp:coreProperties>
</file>