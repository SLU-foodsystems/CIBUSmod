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66" i="1" l="1"/>
  <c r="M365" i="1"/>
  <c r="M190" i="1"/>
  <c r="M191" i="1"/>
  <c r="M189" i="1"/>
  <c r="M555" i="1" l="1"/>
  <c r="M554" i="1"/>
  <c r="M525" i="1"/>
  <c r="M523" i="1"/>
  <c r="M522" i="1"/>
  <c r="M520" i="1"/>
  <c r="M211" i="1" l="1"/>
  <c r="M407" i="1" l="1"/>
  <c r="M396" i="1"/>
  <c r="M474" i="1" l="1"/>
  <c r="M473" i="1"/>
  <c r="M472" i="1"/>
  <c r="M126" i="1"/>
  <c r="M125" i="1"/>
  <c r="M135" i="1" l="1"/>
  <c r="M133" i="1"/>
  <c r="M282" i="1" l="1"/>
  <c r="M68" i="1"/>
  <c r="M504" i="1"/>
  <c r="M503" i="1"/>
  <c r="M502" i="1"/>
  <c r="M505" i="1" l="1"/>
  <c r="M532" i="1"/>
  <c r="M529" i="1"/>
  <c r="M526" i="1"/>
  <c r="M506" i="1"/>
  <c r="M533" i="1"/>
  <c r="M530" i="1"/>
  <c r="M527" i="1"/>
  <c r="M507" i="1"/>
  <c r="M534" i="1"/>
  <c r="M531" i="1"/>
  <c r="M528" i="1"/>
  <c r="M552" i="1"/>
  <c r="M551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M451" i="1"/>
  <c r="M449" i="1"/>
  <c r="M45" i="1" l="1"/>
  <c r="M48" i="1"/>
  <c r="M352" i="1"/>
  <c r="M38" i="1"/>
  <c r="M303" i="1" l="1"/>
  <c r="M231" i="1"/>
  <c r="M85" i="1" l="1"/>
  <c r="M420" i="1" l="1"/>
  <c r="M235" i="1" l="1"/>
  <c r="M233" i="1"/>
  <c r="M228" i="1"/>
  <c r="M224" i="1"/>
  <c r="M88" i="1" l="1"/>
  <c r="M87" i="1"/>
  <c r="M511" i="1" l="1"/>
  <c r="M512" i="1" s="1"/>
  <c r="M469" i="1" l="1"/>
  <c r="M468" i="1"/>
  <c r="M467" i="1"/>
  <c r="M184" i="1" l="1"/>
  <c r="M51" i="1"/>
  <c r="M52" i="1"/>
  <c r="M458" i="1" l="1"/>
  <c r="M457" i="1"/>
  <c r="M445" i="1"/>
  <c r="M50" i="1"/>
  <c r="M456" i="1" l="1"/>
  <c r="M455" i="1"/>
  <c r="M454" i="1"/>
  <c r="M453" i="1"/>
  <c r="M452" i="1" l="1"/>
  <c r="M448" i="1"/>
  <c r="M447" i="1"/>
  <c r="M446" i="1" s="1"/>
  <c r="M444" i="1"/>
  <c r="M450" i="1" l="1"/>
  <c r="M464" i="1"/>
  <c r="M463" i="1"/>
  <c r="M462" i="1"/>
  <c r="M3" i="1" l="1"/>
</calcChain>
</file>

<file path=xl/sharedStrings.xml><?xml version="1.0" encoding="utf-8"?>
<sst xmlns="http://schemas.openxmlformats.org/spreadsheetml/2006/main" count="2385" uniqueCount="467">
  <si>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</si>
  <si>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</si>
  <si>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</si>
  <si>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</si>
  <si>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</si>
  <si>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</si>
  <si>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</si>
  <si>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</si>
  <si>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</si>
  <si>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</si>
  <si>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</si>
  <si>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</si>
  <si>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</si>
  <si>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</si>
  <si>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</si>
  <si>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</si>
  <si>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</si>
  <si>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</si>
  <si>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</si>
  <si>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</si>
  <si>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</si>
  <si>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</si>
  <si>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</si>
  <si>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</si>
  <si>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</si>
  <si>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</si>
  <si>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</si>
  <si>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</si>
  <si>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</si>
  <si>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</si>
  <si>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</si>
  <si>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</si>
  <si>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</si>
  <si>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</si>
  <si>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</si>
  <si>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</si>
  <si>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</si>
  <si>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</si>
  <si>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</si>
  <si>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</si>
  <si>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</si>
  <si>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</si>
  <si>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</si>
  <si>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</si>
  <si>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</si>
  <si>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</si>
  <si>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</si>
  <si>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</si>
  <si>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</si>
  <si>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</si>
  <si>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</si>
  <si>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</si>
  <si>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</si>
  <si>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</si>
  <si>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</si>
  <si>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</si>
  <si>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</si>
  <si>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</si>
  <si>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</si>
  <si>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</si>
  <si>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</si>
  <si>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</si>
  <si>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</si>
  <si>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</si>
  <si>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</si>
  <si>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</si>
  <si>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</si>
  <si>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</si>
  <si>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</si>
  <si>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</si>
  <si>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</si>
  <si>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</si>
  <si>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</si>
  <si>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</si>
  <si>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</si>
  <si>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</si>
  <si>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</si>
  <si>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</si>
  <si>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</si>
  <si>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</si>
  <si>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</si>
  <si>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</si>
  <si>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</si>
  <si>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</si>
  <si>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</si>
  <si>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</si>
  <si>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</si>
  <si>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</si>
  <si>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</si>
  <si>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</si>
  <si>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</si>
  <si>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</si>
  <si>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</si>
  <si>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</si>
  <si>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</si>
  <si>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</si>
  <si>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</si>
  <si>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</si>
  <si>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</si>
  <si>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</si>
  <si>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</si>
  <si>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</si>
  <si>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</si>
  <si>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</si>
  <si>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</si>
  <si>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</si>
  <si>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</si>
  <si>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</si>
  <si>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</si>
  <si>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</si>
  <si>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</si>
  <si>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</si>
  <si>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</si>
  <si>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</si>
  <si>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</si>
  <si>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</si>
  <si>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</si>
  <si>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slaughterhouse fat</t>
  </si>
  <si>
    <t>pig skins</t>
  </si>
  <si>
    <t>pig butcher fat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</si>
  <si>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</si>
  <si>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</si>
  <si>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</si>
  <si>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</si>
  <si>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</si>
  <si>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</si>
  <si>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</si>
  <si>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</si>
  <si>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</si>
  <si>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</si>
  <si>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</si>
  <si>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</si>
  <si>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</si>
  <si>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</si>
  <si>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</si>
  <si>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</si>
  <si>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</si>
  <si>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</si>
  <si>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</si>
  <si>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</si>
  <si>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</si>
  <si>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</si>
  <si>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</si>
  <si>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</si>
  <si>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</si>
  <si>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</si>
  <si>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</si>
  <si>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</si>
  <si>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</si>
  <si>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</si>
  <si>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</si>
  <si>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</si>
  <si>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</si>
  <si>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</si>
  <si>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</si>
  <si>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</si>
  <si>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</si>
  <si>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</si>
  <si>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</si>
  <si>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</si>
  <si>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</si>
  <si>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</si>
  <si>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</si>
  <si>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</si>
  <si>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</si>
  <si>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</si>
  <si>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</si>
  <si>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</si>
  <si>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</si>
  <si>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</si>
  <si>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</si>
  <si>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</si>
  <si>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</si>
  <si>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</si>
  <si>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</si>
  <si>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</si>
  <si>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</si>
  <si>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</si>
  <si>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</si>
  <si>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</si>
  <si>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</si>
  <si>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</si>
  <si>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</si>
  <si>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</si>
  <si>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</si>
  <si>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</si>
  <si>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</si>
  <si>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</si>
  <si>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</si>
  <si>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</si>
  <si>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</si>
  <si>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</si>
  <si>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</si>
  <si>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</si>
  <si>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</si>
  <si>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</si>
  <si>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</si>
  <si>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</si>
  <si>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</si>
  <si>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</si>
  <si>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</si>
  <si>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</si>
  <si>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</si>
  <si>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</si>
  <si>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</si>
  <si>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</si>
  <si>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</si>
  <si>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</si>
  <si>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</si>
  <si>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</si>
  <si>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</si>
  <si>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</si>
  <si>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</si>
  <si>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</si>
  <si>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</si>
  <si>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</si>
  <si>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</si>
  <si>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</si>
  <si>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</si>
  <si>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</si>
  <si>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</si>
  <si>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</si>
  <si>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</si>
  <si>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</si>
  <si>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</si>
  <si>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</si>
  <si>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</si>
  <si>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</si>
  <si>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</si>
  <si>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</si>
  <si>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</si>
  <si>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</si>
  <si>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</si>
  <si>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</si>
  <si>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</si>
  <si>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</si>
  <si>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</si>
  <si>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</si>
  <si>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</si>
  <si>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</si>
  <si>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</si>
  <si>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</si>
  <si>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</si>
  <si>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</si>
  <si>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</si>
  <si>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</si>
  <si>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</si>
  <si>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</si>
  <si>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</si>
  <si>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</si>
  <si>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</si>
  <si>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</si>
  <si>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</si>
  <si>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</si>
  <si>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</si>
  <si>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</si>
  <si>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</si>
  <si>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</si>
  <si>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</si>
  <si>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</si>
  <si>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</si>
  <si>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</si>
  <si>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</si>
  <si>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</si>
  <si>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</si>
  <si>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</si>
  <si>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</si>
  <si>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</si>
  <si>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</si>
  <si>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</si>
  <si>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</si>
  <si>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</si>
  <si>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</si>
  <si>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</si>
  <si>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</si>
  <si>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</si>
  <si>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</si>
  <si>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</si>
  <si>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</si>
  <si>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</si>
  <si>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</si>
  <si>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</si>
  <si>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</si>
  <si>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</si>
  <si>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</si>
  <si>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</si>
  <si>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</si>
  <si>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</si>
  <si>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</si>
  <si>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</si>
  <si>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</si>
  <si>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</si>
  <si>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</si>
  <si>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</si>
  <si>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</si>
  <si>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</si>
  <si>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</si>
  <si>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</si>
  <si>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</si>
  <si>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</si>
  <si>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</si>
  <si>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</si>
  <si>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</si>
  <si>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</si>
  <si>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</si>
  <si>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</si>
  <si>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</si>
  <si>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</si>
  <si>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</si>
  <si>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</si>
  <si>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</si>
  <si>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</si>
  <si>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</si>
  <si>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</si>
  <si>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</si>
  <si>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</si>
  <si>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</si>
  <si>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</si>
  <si>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</si>
  <si>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</si>
  <si>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</si>
  <si>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</si>
  <si>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</si>
  <si>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</si>
  <si>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</si>
  <si>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</si>
  <si>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</si>
  <si>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</si>
  <si>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</si>
  <si>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</si>
  <si>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</si>
  <si>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</si>
  <si>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</si>
  <si>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</si>
  <si>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</si>
  <si>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</si>
  <si>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</si>
  <si>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</si>
  <si>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</si>
  <si>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</si>
  <si>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</si>
  <si>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</si>
  <si>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</si>
  <si>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</si>
  <si>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</si>
  <si>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</si>
  <si>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</si>
  <si>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</si>
  <si>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</si>
  <si>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</si>
  <si>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</si>
  <si>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</si>
  <si>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</si>
  <si>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</si>
  <si>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</si>
  <si>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</si>
  <si>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</si>
  <si>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</si>
  <si>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</si>
  <si>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</si>
  <si>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</si>
  <si>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</si>
  <si>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</si>
  <si>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</si>
  <si>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</si>
  <si>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</si>
  <si>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</si>
  <si>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</si>
  <si>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</si>
  <si>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</si>
  <si>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</si>
  <si>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</si>
  <si>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</si>
  <si>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</si>
  <si>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</si>
  <si>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</si>
  <si>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</si>
  <si>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</si>
  <si>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</si>
  <si>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</si>
  <si>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</si>
  <si>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</si>
  <si>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</si>
  <si>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</si>
  <si>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</si>
  <si>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</si>
  <si>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</si>
  <si>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</si>
  <si>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</si>
  <si>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</si>
  <si>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</si>
  <si>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</si>
  <si>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</si>
  <si>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</si>
  <si>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</si>
  <si>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</si>
  <si>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</si>
  <si>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</si>
  <si>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</si>
  <si>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</si>
  <si>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</si>
  <si>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</si>
  <si>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</si>
  <si>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</si>
  <si>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</si>
  <si>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</si>
  <si>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</si>
  <si>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</si>
  <si>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</si>
  <si>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</si>
  <si>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</si>
  <si>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</si>
  <si>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</si>
  <si>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</si>
  <si>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</si>
  <si>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</si>
  <si>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</si>
  <si>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</si>
  <si>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</si>
  <si>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</si>
  <si>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</si>
  <si>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</si>
  <si>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</si>
  <si>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</si>
  <si>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</si>
  <si>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</si>
  <si>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</si>
  <si>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</si>
  <si>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</si>
  <si>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</si>
  <si>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</si>
  <si>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</si>
  <si>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</si>
  <si>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</si>
  <si>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</si>
  <si>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</si>
  <si>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</si>
  <si>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</si>
  <si>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</si>
  <si>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</si>
  <si>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</si>
  <si>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biogas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</si>
  <si>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</si>
  <si>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</si>
  <si>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</si>
  <si>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</si>
  <si>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</si>
  <si>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</si>
  <si>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</si>
  <si>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</si>
  <si>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</si>
  <si>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</si>
  <si>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</si>
  <si>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</si>
  <si>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</si>
  <si>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</si>
  <si>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</si>
  <si>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</si>
  <si>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</si>
  <si>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</si>
  <si>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</si>
  <si>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blood</t>
  </si>
  <si>
    <t>edible offals</t>
  </si>
  <si>
    <t>sheep offals</t>
  </si>
  <si>
    <t>sheep slaughterhouse fat</t>
  </si>
  <si>
    <t>sheep skins</t>
  </si>
  <si>
    <t>sunflower seed meal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</si>
</sst>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2"/>
  <sheetViews>
    <sheetView tabSelected="1" zoomScale="80" zoomScaleNormal="80" zoomScaleSheetLayoutView="80" workbookViewId="0">
      <pane ySplit="1" topLeftCell="A479" activePane="bottomLeft" state="frozen"/>
      <selection pane="bottomLeft" activeCell="J505" sqref="J505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36</v>
      </c>
      <c r="B1" s="1" t="s">
        <v>25</v>
      </c>
      <c r="C1" s="1" t="s">
        <v>446</v>
      </c>
      <c r="D1" s="1" t="s">
        <v>27</v>
      </c>
      <c r="E1" s="1" t="s">
        <v>376</v>
      </c>
      <c r="F1" s="1" t="s">
        <v>56</v>
      </c>
      <c r="G1" s="1" t="s">
        <v>35</v>
      </c>
      <c r="H1" s="1" t="s">
        <v>28</v>
      </c>
      <c r="I1" s="1" t="s">
        <v>47</v>
      </c>
      <c r="J1" s="1" t="s">
        <v>42</v>
      </c>
      <c r="K1" s="1" t="s">
        <v>49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f>(5222847+5156448)/1000000</f>
        <v>10.379295000000001</v>
      </c>
      <c r="N3" t="s">
        <v>6</v>
      </c>
      <c r="O3" t="s">
        <v>8</v>
      </c>
      <c r="P3" t="s">
        <v>7</v>
      </c>
    </row>
    <row r="4" spans="1:16" x14ac:dyDescent="0.25">
      <c r="L4" t="s">
        <v>367</v>
      </c>
      <c r="M4" s="30" t="s">
        <v>371</v>
      </c>
      <c r="N4" t="s">
        <v>368</v>
      </c>
      <c r="O4" t="s">
        <v>369</v>
      </c>
      <c r="P4" t="s">
        <v>370</v>
      </c>
    </row>
    <row r="6" spans="1:16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177</v>
      </c>
      <c r="B8" t="s">
        <v>26</v>
      </c>
      <c r="L8" t="s">
        <v>18</v>
      </c>
      <c r="M8" s="22">
        <f>93.1*0.72</f>
        <v>67.031999999999996</v>
      </c>
      <c r="N8" t="s">
        <v>19</v>
      </c>
      <c r="O8" s="17" t="s">
        <v>319</v>
      </c>
      <c r="P8" t="s">
        <v>318</v>
      </c>
    </row>
    <row r="9" spans="1:16" x14ac:dyDescent="0.25">
      <c r="A9" t="s">
        <v>182</v>
      </c>
      <c r="B9" t="s">
        <v>26</v>
      </c>
      <c r="L9" t="s">
        <v>18</v>
      </c>
      <c r="M9" s="29">
        <f>93.1*0.28</f>
        <v>26.068000000000001</v>
      </c>
      <c r="N9" t="s">
        <v>19</v>
      </c>
    </row>
    <row r="10" spans="1:16" x14ac:dyDescent="0.25">
      <c r="A10" t="s">
        <v>314</v>
      </c>
      <c r="B10" t="s">
        <v>26</v>
      </c>
      <c r="L10" t="s">
        <v>18</v>
      </c>
      <c r="M10" s="22">
        <f>14.1*0.9</f>
        <v>12.69</v>
      </c>
      <c r="N10" t="s">
        <v>19</v>
      </c>
      <c r="O10" s="17" t="s">
        <v>316</v>
      </c>
      <c r="P10" t="s">
        <v>317</v>
      </c>
    </row>
    <row r="11" spans="1:16" x14ac:dyDescent="0.25">
      <c r="A11" t="s">
        <v>315</v>
      </c>
      <c r="B11" t="s">
        <v>26</v>
      </c>
      <c r="L11" t="s">
        <v>18</v>
      </c>
      <c r="M11" s="22">
        <f>14.1*0.1</f>
        <v>1.4100000000000001</v>
      </c>
      <c r="N11" t="s">
        <v>19</v>
      </c>
      <c r="O11" s="6"/>
    </row>
    <row r="12" spans="1:16" x14ac:dyDescent="0.25">
      <c r="A12" t="s">
        <v>178</v>
      </c>
      <c r="B12" t="s">
        <v>26</v>
      </c>
      <c r="L12" t="s">
        <v>18</v>
      </c>
      <c r="M12" s="22">
        <f>3.5*0.72</f>
        <v>2.52</v>
      </c>
      <c r="N12" t="s">
        <v>19</v>
      </c>
      <c r="O12" s="6" t="s">
        <v>320</v>
      </c>
    </row>
    <row r="13" spans="1:16" x14ac:dyDescent="0.25">
      <c r="A13" t="s">
        <v>183</v>
      </c>
      <c r="B13" t="s">
        <v>26</v>
      </c>
      <c r="L13" t="s">
        <v>18</v>
      </c>
      <c r="M13" s="22">
        <f>3.5*0.28</f>
        <v>0.98000000000000009</v>
      </c>
      <c r="N13" t="s">
        <v>19</v>
      </c>
      <c r="O13" s="6"/>
    </row>
    <row r="14" spans="1:16" x14ac:dyDescent="0.25">
      <c r="A14" t="s">
        <v>88</v>
      </c>
      <c r="B14" t="s">
        <v>26</v>
      </c>
      <c r="L14" t="s">
        <v>18</v>
      </c>
      <c r="M14">
        <v>3.8</v>
      </c>
      <c r="N14" t="s">
        <v>19</v>
      </c>
    </row>
    <row r="15" spans="1:16" x14ac:dyDescent="0.25">
      <c r="A15" t="s">
        <v>179</v>
      </c>
      <c r="B15" t="s">
        <v>26</v>
      </c>
      <c r="L15" t="s">
        <v>18</v>
      </c>
      <c r="M15" s="22">
        <f>12.8*0.72</f>
        <v>9.2159999999999993</v>
      </c>
      <c r="N15" t="s">
        <v>19</v>
      </c>
      <c r="O15" s="6" t="s">
        <v>320</v>
      </c>
    </row>
    <row r="16" spans="1:16" x14ac:dyDescent="0.25">
      <c r="A16" t="s">
        <v>184</v>
      </c>
      <c r="B16" t="s">
        <v>26</v>
      </c>
      <c r="L16" t="s">
        <v>18</v>
      </c>
      <c r="M16" s="22">
        <f>12.8*0.28</f>
        <v>3.5840000000000005</v>
      </c>
      <c r="N16" t="s">
        <v>19</v>
      </c>
      <c r="O16" s="6"/>
    </row>
    <row r="17" spans="1:16" x14ac:dyDescent="0.25">
      <c r="A17" t="s">
        <v>180</v>
      </c>
      <c r="B17" t="s">
        <v>26</v>
      </c>
      <c r="L17" t="s">
        <v>18</v>
      </c>
      <c r="M17" s="22">
        <f>5.2*0.72</f>
        <v>3.7439999999999998</v>
      </c>
      <c r="N17" t="s">
        <v>19</v>
      </c>
      <c r="O17" s="6" t="s">
        <v>320</v>
      </c>
    </row>
    <row r="18" spans="1:16" x14ac:dyDescent="0.25">
      <c r="A18" t="s">
        <v>185</v>
      </c>
      <c r="B18" t="s">
        <v>26</v>
      </c>
      <c r="L18" t="s">
        <v>18</v>
      </c>
      <c r="M18" s="22">
        <f>5.2*0.28</f>
        <v>1.4560000000000002</v>
      </c>
      <c r="N18" t="s">
        <v>19</v>
      </c>
      <c r="O18" s="6"/>
    </row>
    <row r="19" spans="1:16" x14ac:dyDescent="0.25">
      <c r="A19" s="6" t="s">
        <v>181</v>
      </c>
      <c r="B19" t="s">
        <v>26</v>
      </c>
      <c r="L19" t="s">
        <v>18</v>
      </c>
      <c r="M19" s="13">
        <f>0.5*0.72</f>
        <v>0.36</v>
      </c>
      <c r="N19" t="s">
        <v>19</v>
      </c>
      <c r="O19" s="6" t="s">
        <v>321</v>
      </c>
    </row>
    <row r="20" spans="1:16" x14ac:dyDescent="0.25">
      <c r="A20" s="6" t="s">
        <v>186</v>
      </c>
      <c r="B20" t="s">
        <v>26</v>
      </c>
      <c r="L20" t="s">
        <v>18</v>
      </c>
      <c r="M20" s="13">
        <f>0.5*0.28</f>
        <v>0.14000000000000001</v>
      </c>
      <c r="N20" t="s">
        <v>19</v>
      </c>
      <c r="O20" s="6"/>
    </row>
    <row r="21" spans="1:16" s="7" customFormat="1" x14ac:dyDescent="0.25">
      <c r="A21" s="17" t="s">
        <v>411</v>
      </c>
      <c r="B21" s="17" t="s">
        <v>26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18</v>
      </c>
      <c r="M21" s="29">
        <v>0.1</v>
      </c>
      <c r="N21" s="17" t="s">
        <v>19</v>
      </c>
      <c r="O21" s="17"/>
    </row>
    <row r="22" spans="1:16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99</v>
      </c>
      <c r="B23" t="s">
        <v>103</v>
      </c>
      <c r="L23" t="s">
        <v>18</v>
      </c>
      <c r="M23">
        <v>108.1</v>
      </c>
      <c r="N23" t="s">
        <v>19</v>
      </c>
    </row>
    <row r="24" spans="1:16" x14ac:dyDescent="0.25">
      <c r="A24" s="17" t="s">
        <v>100</v>
      </c>
      <c r="B24" t="s">
        <v>103</v>
      </c>
      <c r="L24" t="s">
        <v>18</v>
      </c>
      <c r="M24">
        <v>24.1</v>
      </c>
      <c r="N24" t="s">
        <v>19</v>
      </c>
    </row>
    <row r="25" spans="1:16" x14ac:dyDescent="0.25">
      <c r="A25" s="17" t="s">
        <v>207</v>
      </c>
      <c r="B25" t="s">
        <v>103</v>
      </c>
      <c r="L25" t="s">
        <v>18</v>
      </c>
      <c r="M25">
        <v>0.9</v>
      </c>
      <c r="N25" t="s">
        <v>19</v>
      </c>
      <c r="O25" t="s">
        <v>102</v>
      </c>
    </row>
    <row r="26" spans="1:16" x14ac:dyDescent="0.25">
      <c r="A26" s="17" t="s">
        <v>101</v>
      </c>
      <c r="B26" t="s">
        <v>103</v>
      </c>
      <c r="L26" t="s">
        <v>18</v>
      </c>
      <c r="M26">
        <v>0.3</v>
      </c>
      <c r="N26" t="s">
        <v>19</v>
      </c>
    </row>
    <row r="27" spans="1:16" x14ac:dyDescent="0.25">
      <c r="A27" s="4" t="s">
        <v>249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133</v>
      </c>
      <c r="B28" t="s">
        <v>108</v>
      </c>
      <c r="L28" t="s">
        <v>18</v>
      </c>
      <c r="M28">
        <v>25</v>
      </c>
      <c r="N28" t="s">
        <v>19</v>
      </c>
    </row>
    <row r="29" spans="1:16" x14ac:dyDescent="0.25">
      <c r="A29" s="17" t="s">
        <v>375</v>
      </c>
      <c r="B29" s="17" t="s">
        <v>108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18</v>
      </c>
      <c r="M29" s="17">
        <v>3.6</v>
      </c>
      <c r="N29" s="17" t="s">
        <v>19</v>
      </c>
    </row>
    <row r="30" spans="1:16" x14ac:dyDescent="0.25">
      <c r="A30" s="17" t="s">
        <v>139</v>
      </c>
      <c r="B30" t="s">
        <v>108</v>
      </c>
      <c r="L30" t="s">
        <v>18</v>
      </c>
      <c r="M30">
        <v>19.3</v>
      </c>
      <c r="N30" t="s">
        <v>19</v>
      </c>
    </row>
    <row r="31" spans="1:16" x14ac:dyDescent="0.25">
      <c r="A31" s="17" t="s">
        <v>135</v>
      </c>
      <c r="B31" t="s">
        <v>108</v>
      </c>
      <c r="L31" t="s">
        <v>18</v>
      </c>
      <c r="M31">
        <v>14.6</v>
      </c>
      <c r="N31" t="s">
        <v>19</v>
      </c>
    </row>
    <row r="32" spans="1:16" x14ac:dyDescent="0.25">
      <c r="A32" s="17" t="s">
        <v>136</v>
      </c>
      <c r="B32" t="s">
        <v>108</v>
      </c>
      <c r="L32" t="s">
        <v>18</v>
      </c>
      <c r="M32">
        <v>11.3</v>
      </c>
      <c r="N32" t="s">
        <v>19</v>
      </c>
    </row>
    <row r="33" spans="1:16" x14ac:dyDescent="0.25">
      <c r="A33" s="17" t="s">
        <v>137</v>
      </c>
      <c r="B33" t="s">
        <v>108</v>
      </c>
      <c r="L33" t="s">
        <v>18</v>
      </c>
      <c r="M33">
        <v>3.8</v>
      </c>
      <c r="N33" t="s">
        <v>19</v>
      </c>
    </row>
    <row r="34" spans="1:16" x14ac:dyDescent="0.25">
      <c r="A34" s="17" t="s">
        <v>138</v>
      </c>
      <c r="B34" t="s">
        <v>108</v>
      </c>
      <c r="L34" t="s">
        <v>18</v>
      </c>
      <c r="M34">
        <v>3.5</v>
      </c>
      <c r="N34" t="s">
        <v>19</v>
      </c>
    </row>
    <row r="35" spans="1:16" x14ac:dyDescent="0.25">
      <c r="A35" s="17" t="s">
        <v>107</v>
      </c>
      <c r="B35" t="s">
        <v>108</v>
      </c>
      <c r="L35" t="s">
        <v>18</v>
      </c>
      <c r="M35">
        <v>37</v>
      </c>
      <c r="N35" t="s">
        <v>19</v>
      </c>
    </row>
    <row r="36" spans="1:16" x14ac:dyDescent="0.25">
      <c r="A36" s="17" t="s">
        <v>110</v>
      </c>
      <c r="B36" t="s">
        <v>108</v>
      </c>
      <c r="L36" t="s">
        <v>18</v>
      </c>
      <c r="M36">
        <v>14.3</v>
      </c>
      <c r="N36" t="s">
        <v>19</v>
      </c>
    </row>
    <row r="37" spans="1:16" x14ac:dyDescent="0.25">
      <c r="A37" s="17" t="s">
        <v>247</v>
      </c>
      <c r="B37" t="s">
        <v>108</v>
      </c>
      <c r="L37" t="s">
        <v>18</v>
      </c>
      <c r="M37">
        <v>2.8</v>
      </c>
      <c r="N37" t="s">
        <v>19</v>
      </c>
    </row>
    <row r="38" spans="1:16" x14ac:dyDescent="0.25">
      <c r="A38" s="17" t="s">
        <v>146</v>
      </c>
      <c r="B38" t="s">
        <v>108</v>
      </c>
      <c r="L38" t="s">
        <v>18</v>
      </c>
      <c r="M38" s="17">
        <f>0.3+0+0.1+0.6+6.6+0.4+3.4</f>
        <v>11.4</v>
      </c>
      <c r="N38" t="s">
        <v>19</v>
      </c>
      <c r="O38" t="s">
        <v>248</v>
      </c>
    </row>
    <row r="39" spans="1:16" x14ac:dyDescent="0.25">
      <c r="A39" s="17"/>
      <c r="M39" s="6"/>
    </row>
    <row r="40" spans="1:16" x14ac:dyDescent="0.25">
      <c r="A40" s="4" t="s">
        <v>251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239</v>
      </c>
      <c r="B41" t="s">
        <v>242</v>
      </c>
      <c r="L41" t="s">
        <v>18</v>
      </c>
      <c r="M41" s="17">
        <v>12.9</v>
      </c>
      <c r="N41" t="s">
        <v>19</v>
      </c>
    </row>
    <row r="42" spans="1:16" x14ac:dyDescent="0.25">
      <c r="A42" s="17" t="s">
        <v>240</v>
      </c>
      <c r="B42" t="s">
        <v>242</v>
      </c>
      <c r="L42" t="s">
        <v>18</v>
      </c>
      <c r="M42" s="17">
        <v>2.1</v>
      </c>
      <c r="N42" t="s">
        <v>19</v>
      </c>
    </row>
    <row r="43" spans="1:16" x14ac:dyDescent="0.25">
      <c r="A43" s="17" t="s">
        <v>241</v>
      </c>
      <c r="B43" t="s">
        <v>242</v>
      </c>
      <c r="L43" t="s">
        <v>18</v>
      </c>
      <c r="M43" s="17">
        <v>1.8</v>
      </c>
      <c r="N43" t="s">
        <v>19</v>
      </c>
    </row>
    <row r="44" spans="1:16" x14ac:dyDescent="0.25">
      <c r="A44" s="17" t="s">
        <v>243</v>
      </c>
      <c r="B44" t="s">
        <v>242</v>
      </c>
      <c r="L44" t="s">
        <v>18</v>
      </c>
      <c r="M44" s="17">
        <v>5</v>
      </c>
      <c r="N44" t="s">
        <v>19</v>
      </c>
    </row>
    <row r="45" spans="1:16" x14ac:dyDescent="0.25">
      <c r="A45" s="17" t="s">
        <v>252</v>
      </c>
      <c r="B45" t="s">
        <v>242</v>
      </c>
      <c r="L45" t="s">
        <v>18</v>
      </c>
      <c r="M45" s="29">
        <f>0.8+0.3/0.35+0.3</f>
        <v>1.9571428571428573</v>
      </c>
      <c r="N45" t="s">
        <v>19</v>
      </c>
      <c r="O45" t="s">
        <v>256</v>
      </c>
    </row>
    <row r="46" spans="1:16" x14ac:dyDescent="0.25">
      <c r="A46" s="17" t="s">
        <v>253</v>
      </c>
      <c r="B46" t="s">
        <v>242</v>
      </c>
      <c r="L46" t="s">
        <v>18</v>
      </c>
      <c r="M46" s="17">
        <v>4.9000000000000004</v>
      </c>
      <c r="N46" t="s">
        <v>19</v>
      </c>
    </row>
    <row r="47" spans="1:16" x14ac:dyDescent="0.25">
      <c r="A47" s="17" t="s">
        <v>259</v>
      </c>
      <c r="B47" t="s">
        <v>242</v>
      </c>
      <c r="D47" s="9"/>
      <c r="E47" s="9"/>
      <c r="L47" t="s">
        <v>18</v>
      </c>
      <c r="M47" s="6">
        <v>0.2</v>
      </c>
      <c r="N47" t="s">
        <v>19</v>
      </c>
      <c r="O47" s="6" t="s">
        <v>262</v>
      </c>
    </row>
    <row r="48" spans="1:16" x14ac:dyDescent="0.25">
      <c r="A48" s="17" t="s">
        <v>254</v>
      </c>
      <c r="B48" t="s">
        <v>242</v>
      </c>
      <c r="L48" t="s">
        <v>18</v>
      </c>
      <c r="M48" s="29">
        <f>0.5</f>
        <v>0.5</v>
      </c>
      <c r="N48" t="s">
        <v>19</v>
      </c>
      <c r="O48" t="s">
        <v>255</v>
      </c>
    </row>
    <row r="49" spans="1:16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62</v>
      </c>
      <c r="B50" t="s">
        <v>81</v>
      </c>
      <c r="L50" t="s">
        <v>18</v>
      </c>
      <c r="M50" s="6">
        <f>29.5+8.5</f>
        <v>38</v>
      </c>
      <c r="N50" t="s">
        <v>19</v>
      </c>
      <c r="O50" s="6" t="s">
        <v>84</v>
      </c>
    </row>
    <row r="51" spans="1:16" x14ac:dyDescent="0.25">
      <c r="A51" s="6" t="s">
        <v>61</v>
      </c>
      <c r="B51" t="s">
        <v>81</v>
      </c>
      <c r="L51" t="s">
        <v>18</v>
      </c>
      <c r="M51" s="6">
        <f>80.7+14.4+0.3*5</f>
        <v>96.600000000000009</v>
      </c>
      <c r="N51" t="s">
        <v>19</v>
      </c>
      <c r="O51" s="6" t="s">
        <v>84</v>
      </c>
    </row>
    <row r="52" spans="1:16" x14ac:dyDescent="0.25">
      <c r="A52" s="6" t="s">
        <v>63</v>
      </c>
      <c r="B52" t="s">
        <v>81</v>
      </c>
      <c r="L52" t="s">
        <v>18</v>
      </c>
      <c r="M52" s="6">
        <f>45.6+44.1+1.3*5+1.8*10</f>
        <v>114.2</v>
      </c>
      <c r="N52" t="s">
        <v>19</v>
      </c>
      <c r="O52" s="6" t="s">
        <v>84</v>
      </c>
    </row>
    <row r="53" spans="1:16" x14ac:dyDescent="0.25">
      <c r="A53" s="6" t="s">
        <v>64</v>
      </c>
      <c r="B53" t="s">
        <v>81</v>
      </c>
      <c r="L53" t="s">
        <v>18</v>
      </c>
      <c r="M53">
        <v>46.8</v>
      </c>
      <c r="N53" t="s">
        <v>19</v>
      </c>
    </row>
    <row r="54" spans="1:16" x14ac:dyDescent="0.25">
      <c r="A54" s="6" t="s">
        <v>68</v>
      </c>
      <c r="B54" t="s">
        <v>81</v>
      </c>
      <c r="L54" t="s">
        <v>18</v>
      </c>
      <c r="M54">
        <v>8.1</v>
      </c>
      <c r="N54" t="s">
        <v>19</v>
      </c>
    </row>
    <row r="55" spans="1:16" x14ac:dyDescent="0.25">
      <c r="A55" s="6" t="s">
        <v>69</v>
      </c>
      <c r="B55" t="s">
        <v>81</v>
      </c>
      <c r="L55" t="s">
        <v>18</v>
      </c>
      <c r="M55">
        <v>1</v>
      </c>
      <c r="N55" t="s">
        <v>19</v>
      </c>
    </row>
    <row r="56" spans="1:16" x14ac:dyDescent="0.25">
      <c r="A56" s="6" t="s">
        <v>66</v>
      </c>
      <c r="B56" t="s">
        <v>81</v>
      </c>
      <c r="L56" t="s">
        <v>18</v>
      </c>
      <c r="M56">
        <v>6.6</v>
      </c>
      <c r="N56" t="s">
        <v>19</v>
      </c>
    </row>
    <row r="57" spans="1:16" x14ac:dyDescent="0.25">
      <c r="A57" s="6" t="s">
        <v>67</v>
      </c>
      <c r="B57" t="s">
        <v>81</v>
      </c>
      <c r="L57" t="s">
        <v>18</v>
      </c>
      <c r="M57">
        <v>8.3000000000000007</v>
      </c>
      <c r="N57" t="s">
        <v>19</v>
      </c>
    </row>
    <row r="58" spans="1:16" x14ac:dyDescent="0.25">
      <c r="A58" s="6" t="s">
        <v>65</v>
      </c>
      <c r="B58" t="s">
        <v>81</v>
      </c>
      <c r="L58" t="s">
        <v>18</v>
      </c>
      <c r="M58">
        <v>15.3</v>
      </c>
      <c r="N58" t="s">
        <v>19</v>
      </c>
    </row>
    <row r="59" spans="1:16" x14ac:dyDescent="0.25">
      <c r="A59" s="17" t="s">
        <v>377</v>
      </c>
      <c r="B59" s="17" t="s">
        <v>81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18</v>
      </c>
      <c r="M59" s="17">
        <v>0</v>
      </c>
      <c r="N59" s="17" t="s">
        <v>19</v>
      </c>
    </row>
    <row r="60" spans="1:16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54</v>
      </c>
      <c r="B61" t="s">
        <v>55</v>
      </c>
      <c r="L61" t="s">
        <v>18</v>
      </c>
      <c r="M61">
        <v>60.6</v>
      </c>
      <c r="N61" t="s">
        <v>19</v>
      </c>
    </row>
    <row r="62" spans="1:16" x14ac:dyDescent="0.25">
      <c r="A62" t="s">
        <v>95</v>
      </c>
      <c r="B62" t="s">
        <v>55</v>
      </c>
      <c r="L62" t="s">
        <v>18</v>
      </c>
      <c r="M62">
        <v>39.9</v>
      </c>
      <c r="N62" t="s">
        <v>19</v>
      </c>
    </row>
    <row r="63" spans="1:16" x14ac:dyDescent="0.25">
      <c r="A63" t="s">
        <v>343</v>
      </c>
      <c r="B63" t="s">
        <v>55</v>
      </c>
      <c r="L63" t="s">
        <v>18</v>
      </c>
      <c r="M63" s="6">
        <v>2.1</v>
      </c>
      <c r="N63" t="s">
        <v>19</v>
      </c>
      <c r="O63" t="s">
        <v>365</v>
      </c>
    </row>
    <row r="64" spans="1:16" x14ac:dyDescent="0.25">
      <c r="A64" t="s">
        <v>265</v>
      </c>
      <c r="B64" t="s">
        <v>55</v>
      </c>
      <c r="L64" t="s">
        <v>18</v>
      </c>
      <c r="M64">
        <v>49.5</v>
      </c>
      <c r="N64" t="s">
        <v>19</v>
      </c>
    </row>
    <row r="65" spans="1:16" x14ac:dyDescent="0.25">
      <c r="A65" t="s">
        <v>453</v>
      </c>
      <c r="B65" t="s">
        <v>455</v>
      </c>
      <c r="L65" t="s">
        <v>18</v>
      </c>
      <c r="M65">
        <v>1.5</v>
      </c>
      <c r="N65" t="s">
        <v>19</v>
      </c>
      <c r="O65" t="s">
        <v>456</v>
      </c>
    </row>
    <row r="66" spans="1:16" x14ac:dyDescent="0.25">
      <c r="A66" t="s">
        <v>454</v>
      </c>
      <c r="B66" t="s">
        <v>455</v>
      </c>
      <c r="L66" t="s">
        <v>18</v>
      </c>
      <c r="M66">
        <v>0.12</v>
      </c>
      <c r="N66" t="s">
        <v>19</v>
      </c>
    </row>
    <row r="67" spans="1:16" x14ac:dyDescent="0.25">
      <c r="A67" s="4" t="s">
        <v>15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15</v>
      </c>
      <c r="B68" t="s">
        <v>322</v>
      </c>
      <c r="L68" t="s">
        <v>18</v>
      </c>
      <c r="M68" s="6">
        <f>29.3+1.6</f>
        <v>30.900000000000002</v>
      </c>
      <c r="N68" t="s">
        <v>19</v>
      </c>
      <c r="O68" s="6" t="s">
        <v>325</v>
      </c>
    </row>
    <row r="69" spans="1:16" x14ac:dyDescent="0.25">
      <c r="A69" s="17" t="s">
        <v>378</v>
      </c>
      <c r="B69" s="17" t="s">
        <v>322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18</v>
      </c>
      <c r="M69" s="17">
        <v>0</v>
      </c>
      <c r="N69" s="17" t="s">
        <v>19</v>
      </c>
      <c r="O69" s="17" t="s">
        <v>379</v>
      </c>
    </row>
    <row r="70" spans="1:16" x14ac:dyDescent="0.25">
      <c r="A70" s="4" t="s">
        <v>16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20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200</v>
      </c>
      <c r="B72" t="s">
        <v>205</v>
      </c>
      <c r="L72" t="s">
        <v>18</v>
      </c>
      <c r="M72">
        <v>4.5</v>
      </c>
      <c r="N72" t="s">
        <v>19</v>
      </c>
    </row>
    <row r="73" spans="1:16" x14ac:dyDescent="0.25">
      <c r="A73" s="26" t="s">
        <v>201</v>
      </c>
      <c r="B73" t="s">
        <v>205</v>
      </c>
      <c r="L73" t="s">
        <v>18</v>
      </c>
      <c r="M73" s="6">
        <v>0</v>
      </c>
      <c r="N73" t="s">
        <v>19</v>
      </c>
    </row>
    <row r="74" spans="1:16" x14ac:dyDescent="0.25">
      <c r="A74" s="26" t="s">
        <v>202</v>
      </c>
      <c r="B74" t="s">
        <v>205</v>
      </c>
      <c r="L74" t="s">
        <v>18</v>
      </c>
      <c r="M74">
        <v>0.7</v>
      </c>
      <c r="N74" t="s">
        <v>19</v>
      </c>
    </row>
    <row r="75" spans="1:16" x14ac:dyDescent="0.25">
      <c r="A75" s="26" t="s">
        <v>203</v>
      </c>
      <c r="B75" t="s">
        <v>205</v>
      </c>
      <c r="L75" t="s">
        <v>18</v>
      </c>
      <c r="M75">
        <v>0.3</v>
      </c>
      <c r="N75" t="s">
        <v>19</v>
      </c>
    </row>
    <row r="76" spans="1:16" x14ac:dyDescent="0.25">
      <c r="A76" s="17" t="s">
        <v>380</v>
      </c>
      <c r="B76" s="17" t="s">
        <v>205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18</v>
      </c>
      <c r="M76" s="17">
        <v>0</v>
      </c>
      <c r="N76" s="17" t="s">
        <v>19</v>
      </c>
      <c r="O76" s="7"/>
    </row>
    <row r="77" spans="1:16" x14ac:dyDescent="0.25">
      <c r="A77" s="17" t="s">
        <v>381</v>
      </c>
      <c r="B77" s="17" t="s">
        <v>205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18</v>
      </c>
      <c r="M77" s="17">
        <v>0</v>
      </c>
      <c r="N77" s="17" t="s">
        <v>19</v>
      </c>
      <c r="O77" s="7"/>
    </row>
    <row r="78" spans="1:16" x14ac:dyDescent="0.25">
      <c r="A78" s="26" t="s">
        <v>204</v>
      </c>
      <c r="B78" t="s">
        <v>205</v>
      </c>
      <c r="L78" t="s">
        <v>18</v>
      </c>
      <c r="M78">
        <v>0.6</v>
      </c>
      <c r="N78" t="s">
        <v>19</v>
      </c>
    </row>
    <row r="79" spans="1:16" x14ac:dyDescent="0.25">
      <c r="A79" s="4" t="s">
        <v>21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8" t="s">
        <v>382</v>
      </c>
      <c r="B80" s="58" t="s">
        <v>383</v>
      </c>
      <c r="C80" s="58"/>
      <c r="D80" s="59"/>
      <c r="E80" s="59"/>
      <c r="F80" s="59"/>
      <c r="G80" s="59"/>
      <c r="H80" s="59"/>
      <c r="I80" s="59"/>
      <c r="J80" s="59"/>
      <c r="K80" s="59"/>
      <c r="L80" s="17" t="s">
        <v>18</v>
      </c>
      <c r="M80" s="58">
        <v>0.2</v>
      </c>
      <c r="N80" s="58" t="s">
        <v>19</v>
      </c>
      <c r="O80" s="58"/>
      <c r="P80" s="58"/>
    </row>
    <row r="81" spans="1:16" s="44" customFormat="1" x14ac:dyDescent="0.25">
      <c r="A81" s="58" t="s">
        <v>384</v>
      </c>
      <c r="B81" s="58" t="s">
        <v>383</v>
      </c>
      <c r="C81" s="58"/>
      <c r="D81" s="59"/>
      <c r="E81" s="59"/>
      <c r="F81" s="59"/>
      <c r="G81" s="59"/>
      <c r="H81" s="59"/>
      <c r="I81" s="59"/>
      <c r="J81" s="59"/>
      <c r="K81" s="59"/>
      <c r="L81" s="17" t="s">
        <v>18</v>
      </c>
      <c r="M81" s="58">
        <v>0.1</v>
      </c>
      <c r="N81" s="58" t="s">
        <v>19</v>
      </c>
      <c r="O81" s="58"/>
      <c r="P81" s="58"/>
    </row>
    <row r="82" spans="1:16" s="44" customFormat="1" x14ac:dyDescent="0.25">
      <c r="A82" s="53" t="s">
        <v>385</v>
      </c>
      <c r="B82" s="55"/>
      <c r="C82" s="55"/>
      <c r="D82" s="53"/>
      <c r="E82" s="53"/>
      <c r="F82" s="53"/>
      <c r="G82" s="53"/>
      <c r="H82" s="53"/>
      <c r="I82" s="53"/>
      <c r="J82" s="53"/>
      <c r="K82" s="53"/>
      <c r="L82" s="55"/>
      <c r="M82" s="55"/>
      <c r="N82" s="55"/>
      <c r="O82" s="55"/>
      <c r="P82" s="55"/>
    </row>
    <row r="83" spans="1:16" s="44" customFormat="1" x14ac:dyDescent="0.25">
      <c r="A83" s="58" t="s">
        <v>386</v>
      </c>
      <c r="B83" s="58" t="s">
        <v>387</v>
      </c>
      <c r="C83" s="58"/>
      <c r="D83" s="59"/>
      <c r="E83" s="59"/>
      <c r="F83" s="59"/>
      <c r="G83" s="59"/>
      <c r="H83" s="59"/>
      <c r="I83" s="59"/>
      <c r="J83" s="59"/>
      <c r="K83" s="59"/>
      <c r="L83" s="17" t="s">
        <v>18</v>
      </c>
      <c r="M83" s="58">
        <v>0</v>
      </c>
      <c r="N83" s="58" t="s">
        <v>19</v>
      </c>
      <c r="O83" s="58"/>
      <c r="P83" s="58"/>
    </row>
    <row r="84" spans="1:16" x14ac:dyDescent="0.25">
      <c r="A84" s="4" t="s">
        <v>22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124</v>
      </c>
      <c r="B85" t="s">
        <v>125</v>
      </c>
      <c r="L85" t="s">
        <v>18</v>
      </c>
      <c r="M85" s="13">
        <f>6+4.4/3+13*0.6</f>
        <v>15.266666666666666</v>
      </c>
      <c r="N85" t="s">
        <v>19</v>
      </c>
      <c r="O85" s="6" t="s">
        <v>206</v>
      </c>
    </row>
    <row r="86" spans="1:16" s="7" customFormat="1" x14ac:dyDescent="0.25">
      <c r="A86" s="17" t="s">
        <v>388</v>
      </c>
      <c r="B86" s="17" t="s">
        <v>125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18</v>
      </c>
      <c r="M86" s="29">
        <v>0</v>
      </c>
      <c r="N86" s="17" t="s">
        <v>19</v>
      </c>
      <c r="O86" s="17" t="s">
        <v>389</v>
      </c>
    </row>
    <row r="87" spans="1:16" x14ac:dyDescent="0.25">
      <c r="A87" t="s">
        <v>131</v>
      </c>
      <c r="B87" t="s">
        <v>125</v>
      </c>
      <c r="L87" t="s">
        <v>18</v>
      </c>
      <c r="M87" s="22">
        <f>8.2+4.4/3</f>
        <v>9.6666666666666661</v>
      </c>
      <c r="N87" t="s">
        <v>19</v>
      </c>
      <c r="O87" t="s">
        <v>130</v>
      </c>
    </row>
    <row r="88" spans="1:16" x14ac:dyDescent="0.25">
      <c r="A88" t="s">
        <v>132</v>
      </c>
      <c r="B88" t="s">
        <v>125</v>
      </c>
      <c r="L88" t="s">
        <v>18</v>
      </c>
      <c r="M88" s="22">
        <f>2.8+4.4/3</f>
        <v>4.2666666666666666</v>
      </c>
      <c r="N88" t="s">
        <v>19</v>
      </c>
      <c r="O88" t="s">
        <v>130</v>
      </c>
    </row>
    <row r="89" spans="1:16" x14ac:dyDescent="0.25">
      <c r="A89" s="4" t="s">
        <v>24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215</v>
      </c>
      <c r="B90" t="s">
        <v>218</v>
      </c>
      <c r="L90" t="s">
        <v>18</v>
      </c>
      <c r="M90">
        <v>79.3</v>
      </c>
      <c r="N90" t="s">
        <v>19</v>
      </c>
    </row>
    <row r="91" spans="1:16" x14ac:dyDescent="0.25">
      <c r="A91" t="s">
        <v>217</v>
      </c>
      <c r="B91" t="s">
        <v>218</v>
      </c>
      <c r="L91" t="s">
        <v>18</v>
      </c>
      <c r="M91">
        <v>10</v>
      </c>
      <c r="N91" t="s">
        <v>19</v>
      </c>
      <c r="O91" t="s">
        <v>221</v>
      </c>
    </row>
    <row r="92" spans="1:16" x14ac:dyDescent="0.25">
      <c r="A92" t="s">
        <v>216</v>
      </c>
      <c r="B92" t="s">
        <v>218</v>
      </c>
      <c r="L92" t="s">
        <v>18</v>
      </c>
      <c r="M92">
        <v>1</v>
      </c>
      <c r="N92" t="s">
        <v>19</v>
      </c>
    </row>
    <row r="93" spans="1:16" x14ac:dyDescent="0.25">
      <c r="A93" s="4" t="s">
        <v>29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225</v>
      </c>
      <c r="B94" t="s">
        <v>112</v>
      </c>
      <c r="L94" t="s">
        <v>18</v>
      </c>
      <c r="M94">
        <v>67.400000000000006</v>
      </c>
      <c r="N94" t="s">
        <v>19</v>
      </c>
    </row>
    <row r="95" spans="1:16" x14ac:dyDescent="0.25">
      <c r="A95" t="s">
        <v>228</v>
      </c>
      <c r="B95" t="s">
        <v>112</v>
      </c>
      <c r="L95" t="s">
        <v>18</v>
      </c>
      <c r="M95">
        <v>125.5</v>
      </c>
      <c r="N95" t="s">
        <v>19</v>
      </c>
    </row>
    <row r="96" spans="1:16" x14ac:dyDescent="0.25">
      <c r="A96" t="s">
        <v>226</v>
      </c>
      <c r="B96" t="s">
        <v>112</v>
      </c>
      <c r="L96" t="s">
        <v>18</v>
      </c>
      <c r="M96">
        <v>6.9</v>
      </c>
      <c r="N96" t="s">
        <v>19</v>
      </c>
      <c r="O96" t="s">
        <v>227</v>
      </c>
    </row>
    <row r="97" spans="1:16" x14ac:dyDescent="0.25">
      <c r="A97" t="s">
        <v>229</v>
      </c>
      <c r="B97" t="s">
        <v>112</v>
      </c>
      <c r="L97" t="s">
        <v>18</v>
      </c>
      <c r="M97">
        <v>7.9</v>
      </c>
      <c r="N97" t="s">
        <v>19</v>
      </c>
      <c r="O97" t="s">
        <v>230</v>
      </c>
    </row>
    <row r="98" spans="1:16" x14ac:dyDescent="0.25">
      <c r="A98" s="4" t="s">
        <v>30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33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8" t="s">
        <v>390</v>
      </c>
      <c r="B102" s="58" t="s">
        <v>391</v>
      </c>
      <c r="C102" s="58"/>
      <c r="D102" s="59"/>
      <c r="E102" s="59"/>
      <c r="F102" s="59"/>
      <c r="G102" s="59"/>
      <c r="H102" s="59"/>
      <c r="I102" s="59"/>
      <c r="J102" s="59"/>
      <c r="K102" s="59"/>
      <c r="L102" s="58" t="s">
        <v>18</v>
      </c>
      <c r="M102" s="58">
        <v>0</v>
      </c>
      <c r="N102" s="58" t="s">
        <v>19</v>
      </c>
      <c r="O102" s="58"/>
    </row>
    <row r="103" spans="1:16" s="44" customFormat="1" x14ac:dyDescent="0.25">
      <c r="A103" s="58" t="s">
        <v>392</v>
      </c>
      <c r="B103" s="58" t="s">
        <v>391</v>
      </c>
      <c r="C103" s="58"/>
      <c r="D103" s="59"/>
      <c r="E103" s="59"/>
      <c r="F103" s="59"/>
      <c r="G103" s="59"/>
      <c r="H103" s="59"/>
      <c r="I103" s="59"/>
      <c r="J103" s="59"/>
      <c r="K103" s="59"/>
      <c r="L103" s="58" t="s">
        <v>18</v>
      </c>
      <c r="M103" s="58">
        <v>0</v>
      </c>
      <c r="N103" s="58" t="s">
        <v>19</v>
      </c>
      <c r="O103" s="58" t="s">
        <v>393</v>
      </c>
    </row>
    <row r="104" spans="1:16" s="44" customFormat="1" x14ac:dyDescent="0.25">
      <c r="A104" s="58" t="s">
        <v>394</v>
      </c>
      <c r="B104" s="58" t="s">
        <v>391</v>
      </c>
      <c r="C104" s="58"/>
      <c r="D104" s="58"/>
      <c r="E104" s="58"/>
      <c r="F104" s="58"/>
      <c r="G104" s="58"/>
      <c r="H104" s="58"/>
      <c r="I104" s="58"/>
      <c r="J104" s="58"/>
      <c r="K104" s="58"/>
      <c r="L104" s="58" t="s">
        <v>18</v>
      </c>
      <c r="M104" s="58">
        <v>0</v>
      </c>
      <c r="N104" s="58" t="s">
        <v>19</v>
      </c>
      <c r="O104" s="58"/>
    </row>
    <row r="105" spans="1:16" x14ac:dyDescent="0.25">
      <c r="A105" s="58" t="s">
        <v>395</v>
      </c>
      <c r="B105" s="58" t="s">
        <v>396</v>
      </c>
      <c r="C105" s="58"/>
      <c r="D105" s="58"/>
      <c r="E105" s="58"/>
      <c r="F105" s="58"/>
      <c r="G105" s="58"/>
      <c r="H105" s="58"/>
      <c r="I105" s="58"/>
      <c r="J105" s="58"/>
      <c r="K105" s="58"/>
      <c r="L105" s="58" t="s">
        <v>18</v>
      </c>
      <c r="M105" s="58">
        <v>0</v>
      </c>
      <c r="N105" s="58" t="s">
        <v>19</v>
      </c>
      <c r="O105" s="17"/>
    </row>
    <row r="106" spans="1:16" x14ac:dyDescent="0.25">
      <c r="A106" s="58" t="s">
        <v>397</v>
      </c>
      <c r="B106" s="58" t="s">
        <v>391</v>
      </c>
      <c r="C106" s="58"/>
      <c r="D106" s="59"/>
      <c r="E106" s="59"/>
      <c r="F106" s="59"/>
      <c r="G106" s="59"/>
      <c r="H106" s="59"/>
      <c r="I106" s="59"/>
      <c r="J106" s="59"/>
      <c r="K106" s="59"/>
      <c r="L106" s="58" t="s">
        <v>18</v>
      </c>
      <c r="M106" s="58">
        <v>0</v>
      </c>
      <c r="N106" s="58" t="s">
        <v>19</v>
      </c>
      <c r="O106" s="17"/>
      <c r="P106" s="49"/>
    </row>
    <row r="107" spans="1:16" x14ac:dyDescent="0.25">
      <c r="A107" s="58" t="s">
        <v>398</v>
      </c>
      <c r="B107" s="58" t="s">
        <v>396</v>
      </c>
      <c r="C107" s="58"/>
      <c r="D107" s="59"/>
      <c r="E107" s="59"/>
      <c r="F107" s="59"/>
      <c r="G107" s="59"/>
      <c r="H107" s="59"/>
      <c r="I107" s="59"/>
      <c r="J107" s="59"/>
      <c r="K107" s="59"/>
      <c r="L107" s="58" t="s">
        <v>18</v>
      </c>
      <c r="M107" s="58">
        <v>0</v>
      </c>
      <c r="N107" s="58" t="s">
        <v>19</v>
      </c>
      <c r="O107" s="17"/>
      <c r="P107" s="49"/>
    </row>
    <row r="108" spans="1:16" x14ac:dyDescent="0.25">
      <c r="A108" s="58" t="s">
        <v>399</v>
      </c>
      <c r="B108" s="58" t="s">
        <v>391</v>
      </c>
      <c r="C108" s="58"/>
      <c r="D108" s="58"/>
      <c r="E108" s="58"/>
      <c r="F108" s="58"/>
      <c r="G108" s="58"/>
      <c r="H108" s="58"/>
      <c r="I108" s="58"/>
      <c r="J108" s="58"/>
      <c r="K108" s="58"/>
      <c r="L108" s="58" t="s">
        <v>18</v>
      </c>
      <c r="M108" s="58">
        <v>0</v>
      </c>
      <c r="N108" s="58" t="s">
        <v>19</v>
      </c>
      <c r="O108" s="17"/>
      <c r="P108" s="49"/>
    </row>
    <row r="109" spans="1:16" x14ac:dyDescent="0.25">
      <c r="A109" s="58" t="s">
        <v>400</v>
      </c>
      <c r="B109" s="58" t="s">
        <v>391</v>
      </c>
      <c r="C109" s="58"/>
      <c r="D109" s="59"/>
      <c r="E109" s="59"/>
      <c r="F109" s="59"/>
      <c r="G109" s="59"/>
      <c r="H109" s="59"/>
      <c r="I109" s="59"/>
      <c r="J109" s="59"/>
      <c r="K109" s="59"/>
      <c r="L109" s="58" t="s">
        <v>18</v>
      </c>
      <c r="M109" s="58">
        <v>0</v>
      </c>
      <c r="N109" s="58" t="s">
        <v>19</v>
      </c>
      <c r="O109" s="17"/>
      <c r="P109" s="49"/>
    </row>
    <row r="110" spans="1:16" x14ac:dyDescent="0.25">
      <c r="A110" s="58" t="s">
        <v>401</v>
      </c>
      <c r="B110" s="58" t="s">
        <v>391</v>
      </c>
      <c r="C110" s="58"/>
      <c r="D110" s="59"/>
      <c r="E110" s="59"/>
      <c r="F110" s="59"/>
      <c r="G110" s="59"/>
      <c r="H110" s="59"/>
      <c r="I110" s="59"/>
      <c r="J110" s="59"/>
      <c r="K110" s="59"/>
      <c r="L110" s="58" t="s">
        <v>18</v>
      </c>
      <c r="M110" s="58">
        <v>0</v>
      </c>
      <c r="N110" s="58" t="s">
        <v>19</v>
      </c>
      <c r="O110" s="17"/>
      <c r="P110" s="49"/>
    </row>
    <row r="111" spans="1:16" x14ac:dyDescent="0.25">
      <c r="A111" s="58" t="s">
        <v>402</v>
      </c>
      <c r="B111" s="58" t="s">
        <v>391</v>
      </c>
      <c r="C111" s="58"/>
      <c r="D111" s="59"/>
      <c r="E111" s="59"/>
      <c r="F111" s="59"/>
      <c r="G111" s="59"/>
      <c r="H111" s="59"/>
      <c r="I111" s="59"/>
      <c r="J111" s="59"/>
      <c r="K111" s="59"/>
      <c r="L111" s="58" t="s">
        <v>18</v>
      </c>
      <c r="M111" s="58">
        <v>0</v>
      </c>
      <c r="N111" s="58" t="s">
        <v>19</v>
      </c>
      <c r="O111" s="17"/>
      <c r="P111" s="49"/>
    </row>
    <row r="112" spans="1:16" x14ac:dyDescent="0.25">
      <c r="A112" s="58" t="s">
        <v>403</v>
      </c>
      <c r="B112" s="58" t="s">
        <v>391</v>
      </c>
      <c r="C112" s="58"/>
      <c r="D112" s="59"/>
      <c r="E112" s="59"/>
      <c r="F112" s="59"/>
      <c r="G112" s="59"/>
      <c r="H112" s="59"/>
      <c r="I112" s="59"/>
      <c r="J112" s="59"/>
      <c r="K112" s="59"/>
      <c r="L112" s="58" t="s">
        <v>18</v>
      </c>
      <c r="M112" s="58">
        <v>0</v>
      </c>
      <c r="N112" s="58" t="s">
        <v>19</v>
      </c>
      <c r="O112" s="17"/>
      <c r="P112" s="49"/>
    </row>
    <row r="113" spans="1:16" x14ac:dyDescent="0.25">
      <c r="A113" s="58" t="s">
        <v>404</v>
      </c>
      <c r="B113" s="58" t="s">
        <v>391</v>
      </c>
      <c r="C113" s="58"/>
      <c r="D113" s="59"/>
      <c r="E113" s="59"/>
      <c r="F113" s="59"/>
      <c r="G113" s="59"/>
      <c r="H113" s="59"/>
      <c r="I113" s="59"/>
      <c r="J113" s="59"/>
      <c r="K113" s="59"/>
      <c r="L113" s="58" t="s">
        <v>18</v>
      </c>
      <c r="M113" s="58">
        <v>0</v>
      </c>
      <c r="N113" s="58" t="s">
        <v>19</v>
      </c>
      <c r="O113" s="17"/>
      <c r="P113" s="49"/>
    </row>
    <row r="114" spans="1:16" x14ac:dyDescent="0.25">
      <c r="A114" s="58" t="s">
        <v>405</v>
      </c>
      <c r="B114" s="58" t="s">
        <v>391</v>
      </c>
      <c r="C114" s="58"/>
      <c r="D114" s="17"/>
      <c r="E114" s="17"/>
      <c r="F114" s="17"/>
      <c r="G114" s="17"/>
      <c r="H114" s="17"/>
      <c r="I114" s="17"/>
      <c r="J114" s="17"/>
      <c r="K114" s="17"/>
      <c r="L114" s="58" t="s">
        <v>18</v>
      </c>
      <c r="M114" s="58">
        <v>0</v>
      </c>
      <c r="N114" s="58" t="s">
        <v>19</v>
      </c>
      <c r="O114" s="17"/>
      <c r="P114" s="49"/>
    </row>
    <row r="116" spans="1:16" x14ac:dyDescent="0.25">
      <c r="A116" s="2" t="s">
        <v>196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192</v>
      </c>
      <c r="B117" t="s">
        <v>198</v>
      </c>
      <c r="J117" t="s">
        <v>45</v>
      </c>
      <c r="L117" t="s">
        <v>195</v>
      </c>
      <c r="M117" s="33">
        <f>600000*(M551/100)</f>
        <v>188217.14285714284</v>
      </c>
      <c r="N117" t="s">
        <v>188</v>
      </c>
      <c r="O117" s="17" t="s">
        <v>331</v>
      </c>
      <c r="P117" s="21"/>
    </row>
    <row r="118" spans="1:16" x14ac:dyDescent="0.25">
      <c r="A118" t="s">
        <v>193</v>
      </c>
      <c r="B118" t="s">
        <v>198</v>
      </c>
      <c r="J118" t="s">
        <v>45</v>
      </c>
      <c r="L118" t="s">
        <v>195</v>
      </c>
      <c r="M118" s="33">
        <v>10000</v>
      </c>
      <c r="N118" t="s">
        <v>188</v>
      </c>
      <c r="O118" t="s">
        <v>194</v>
      </c>
    </row>
    <row r="119" spans="1:16" x14ac:dyDescent="0.25">
      <c r="A119" s="17" t="s">
        <v>406</v>
      </c>
      <c r="B119" s="17" t="s">
        <v>198</v>
      </c>
      <c r="C119" s="17"/>
      <c r="D119" s="17"/>
      <c r="E119" s="17"/>
      <c r="F119" s="17"/>
      <c r="G119" s="17"/>
      <c r="H119" s="17"/>
      <c r="I119" s="17"/>
      <c r="J119" s="17" t="s">
        <v>45</v>
      </c>
      <c r="K119" s="17"/>
      <c r="L119" s="17" t="s">
        <v>195</v>
      </c>
      <c r="M119" s="64">
        <v>0</v>
      </c>
      <c r="N119" s="17" t="s">
        <v>188</v>
      </c>
      <c r="O119" s="17" t="s">
        <v>407</v>
      </c>
      <c r="P119" s="7"/>
    </row>
    <row r="120" spans="1:16" x14ac:dyDescent="0.25">
      <c r="M120" s="33"/>
    </row>
    <row r="121" spans="1:16" x14ac:dyDescent="0.25">
      <c r="A121" t="s">
        <v>101</v>
      </c>
      <c r="B121" t="s">
        <v>198</v>
      </c>
      <c r="J121" t="s">
        <v>45</v>
      </c>
      <c r="L121" t="s">
        <v>195</v>
      </c>
      <c r="M121" s="33">
        <v>34000</v>
      </c>
      <c r="N121" t="s">
        <v>188</v>
      </c>
      <c r="O121" t="s">
        <v>298</v>
      </c>
      <c r="P121" t="s">
        <v>293</v>
      </c>
    </row>
    <row r="122" spans="1:16" x14ac:dyDescent="0.25">
      <c r="M122" s="33"/>
    </row>
    <row r="123" spans="1:16" x14ac:dyDescent="0.25">
      <c r="A123" t="s">
        <v>270</v>
      </c>
      <c r="B123" t="s">
        <v>198</v>
      </c>
      <c r="J123" t="s">
        <v>45</v>
      </c>
      <c r="L123" t="s">
        <v>195</v>
      </c>
      <c r="M123" s="37">
        <v>355.5</v>
      </c>
      <c r="N123" t="s">
        <v>271</v>
      </c>
      <c r="O123" t="s">
        <v>272</v>
      </c>
    </row>
    <row r="124" spans="1:16" x14ac:dyDescent="0.25">
      <c r="A124" s="45" t="s">
        <v>349</v>
      </c>
      <c r="M124" s="37"/>
    </row>
    <row r="125" spans="1:16" x14ac:dyDescent="0.25">
      <c r="A125" t="s">
        <v>344</v>
      </c>
      <c r="B125" t="s">
        <v>198</v>
      </c>
      <c r="J125" t="s">
        <v>45</v>
      </c>
      <c r="L125" s="44"/>
      <c r="M125" s="37">
        <f>103.1*1.12*0.78</f>
        <v>90.068160000000006</v>
      </c>
      <c r="N125" t="s">
        <v>271</v>
      </c>
      <c r="O125" t="s">
        <v>345</v>
      </c>
    </row>
    <row r="126" spans="1:16" x14ac:dyDescent="0.25">
      <c r="A126" t="s">
        <v>344</v>
      </c>
      <c r="B126" t="s">
        <v>198</v>
      </c>
      <c r="J126" t="s">
        <v>43</v>
      </c>
      <c r="L126" s="44"/>
      <c r="M126" s="37">
        <f>103.1*1.12*(1-0.78)</f>
        <v>25.403839999999999</v>
      </c>
      <c r="N126" t="s">
        <v>271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373</v>
      </c>
      <c r="B129" t="s">
        <v>198</v>
      </c>
      <c r="J129" t="s">
        <v>45</v>
      </c>
      <c r="L129" t="s">
        <v>195</v>
      </c>
      <c r="M129" s="15">
        <v>1000</v>
      </c>
      <c r="N129" t="s">
        <v>374</v>
      </c>
      <c r="O129" s="6"/>
      <c r="P129" s="9"/>
    </row>
    <row r="130" spans="1:20" x14ac:dyDescent="0.25">
      <c r="M130" s="33"/>
    </row>
    <row r="131" spans="1:20" x14ac:dyDescent="0.25">
      <c r="A131" s="2" t="s">
        <v>187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287</v>
      </c>
      <c r="B132" t="s">
        <v>26</v>
      </c>
      <c r="J132" t="s">
        <v>45</v>
      </c>
      <c r="L132" t="s">
        <v>291</v>
      </c>
      <c r="M132" s="33">
        <v>558249.80000000005</v>
      </c>
      <c r="N132" t="s">
        <v>188</v>
      </c>
      <c r="O132" t="s">
        <v>294</v>
      </c>
      <c r="P132" t="s">
        <v>292</v>
      </c>
    </row>
    <row r="133" spans="1:20" x14ac:dyDescent="0.25">
      <c r="A133" t="s">
        <v>288</v>
      </c>
      <c r="B133" t="s">
        <v>26</v>
      </c>
      <c r="J133" t="s">
        <v>45</v>
      </c>
      <c r="L133" t="s">
        <v>291</v>
      </c>
      <c r="M133" s="33">
        <f>304650.4+303000</f>
        <v>607650.4</v>
      </c>
      <c r="N133" t="s">
        <v>188</v>
      </c>
      <c r="O133" t="s">
        <v>294</v>
      </c>
      <c r="P133" t="s">
        <v>292</v>
      </c>
      <c r="T133" s="6" t="s">
        <v>341</v>
      </c>
    </row>
    <row r="134" spans="1:20" x14ac:dyDescent="0.25">
      <c r="A134" t="s">
        <v>289</v>
      </c>
      <c r="B134" t="s">
        <v>26</v>
      </c>
      <c r="J134" t="s">
        <v>45</v>
      </c>
      <c r="L134" t="s">
        <v>291</v>
      </c>
      <c r="M134" s="33">
        <v>32965.800000000003</v>
      </c>
      <c r="N134" t="s">
        <v>188</v>
      </c>
      <c r="O134" t="s">
        <v>306</v>
      </c>
      <c r="P134" t="s">
        <v>292</v>
      </c>
    </row>
    <row r="135" spans="1:20" x14ac:dyDescent="0.25">
      <c r="A135" t="s">
        <v>290</v>
      </c>
      <c r="B135" t="s">
        <v>26</v>
      </c>
      <c r="J135" t="s">
        <v>45</v>
      </c>
      <c r="L135" t="s">
        <v>291</v>
      </c>
      <c r="M135" s="33">
        <f>177249.6+246000</f>
        <v>423249.6</v>
      </c>
      <c r="N135" t="s">
        <v>188</v>
      </c>
      <c r="O135" t="s">
        <v>294</v>
      </c>
      <c r="P135" t="s">
        <v>292</v>
      </c>
      <c r="T135" s="6" t="s">
        <v>342</v>
      </c>
    </row>
    <row r="136" spans="1:20" x14ac:dyDescent="0.25">
      <c r="A136" t="s">
        <v>200</v>
      </c>
      <c r="B136" t="s">
        <v>205</v>
      </c>
      <c r="J136" t="s">
        <v>45</v>
      </c>
      <c r="L136" t="s">
        <v>291</v>
      </c>
      <c r="M136" s="33">
        <v>22062.799999999999</v>
      </c>
      <c r="N136" t="s">
        <v>188</v>
      </c>
      <c r="O136" t="s">
        <v>294</v>
      </c>
      <c r="P136" t="s">
        <v>292</v>
      </c>
    </row>
    <row r="137" spans="1:20" x14ac:dyDescent="0.25">
      <c r="A137" t="s">
        <v>101</v>
      </c>
      <c r="B137" t="s">
        <v>103</v>
      </c>
      <c r="J137" t="s">
        <v>45</v>
      </c>
      <c r="L137" t="s">
        <v>291</v>
      </c>
      <c r="M137" s="33">
        <v>25000</v>
      </c>
      <c r="N137" t="s">
        <v>188</v>
      </c>
      <c r="O137" t="s">
        <v>296</v>
      </c>
      <c r="P137" t="s">
        <v>295</v>
      </c>
    </row>
    <row r="138" spans="1:20" x14ac:dyDescent="0.25">
      <c r="A138" s="17" t="s">
        <v>54</v>
      </c>
      <c r="B138" s="17" t="s">
        <v>55</v>
      </c>
      <c r="C138" s="17"/>
      <c r="D138" s="17"/>
      <c r="E138" s="17"/>
      <c r="F138" s="17"/>
      <c r="G138" s="17"/>
      <c r="H138" s="17"/>
      <c r="I138" s="17"/>
      <c r="J138" s="17" t="s">
        <v>45</v>
      </c>
      <c r="K138" s="17"/>
      <c r="L138" s="17" t="s">
        <v>291</v>
      </c>
      <c r="M138" s="64">
        <v>0</v>
      </c>
      <c r="N138" s="17" t="s">
        <v>188</v>
      </c>
      <c r="O138" s="17"/>
    </row>
    <row r="139" spans="1:20" x14ac:dyDescent="0.25">
      <c r="A139" s="17" t="s">
        <v>54</v>
      </c>
      <c r="B139" s="17" t="s">
        <v>55</v>
      </c>
      <c r="C139" s="17"/>
      <c r="D139" s="17"/>
      <c r="E139" s="17"/>
      <c r="F139" s="17"/>
      <c r="G139" s="17"/>
      <c r="H139" s="17"/>
      <c r="I139" s="17"/>
      <c r="J139" s="17" t="s">
        <v>43</v>
      </c>
      <c r="K139" s="17"/>
      <c r="L139" s="17" t="s">
        <v>291</v>
      </c>
      <c r="M139" s="64">
        <v>0</v>
      </c>
      <c r="N139" s="17" t="s">
        <v>188</v>
      </c>
      <c r="O139" s="17"/>
    </row>
    <row r="140" spans="1:20" x14ac:dyDescent="0.25">
      <c r="A140" s="17" t="s">
        <v>95</v>
      </c>
      <c r="B140" s="17" t="s">
        <v>55</v>
      </c>
      <c r="C140" s="17"/>
      <c r="D140" s="17"/>
      <c r="E140" s="17"/>
      <c r="F140" s="17"/>
      <c r="G140" s="17"/>
      <c r="H140" s="17"/>
      <c r="I140" s="17"/>
      <c r="J140" s="17" t="s">
        <v>45</v>
      </c>
      <c r="K140" s="17"/>
      <c r="L140" s="17" t="s">
        <v>291</v>
      </c>
      <c r="M140" s="64">
        <v>0</v>
      </c>
      <c r="N140" s="17" t="s">
        <v>188</v>
      </c>
      <c r="O140" s="17" t="s">
        <v>408</v>
      </c>
      <c r="P140">
        <v>20000</v>
      </c>
    </row>
    <row r="141" spans="1:20" x14ac:dyDescent="0.25">
      <c r="A141" s="17" t="s">
        <v>95</v>
      </c>
      <c r="B141" s="17" t="s">
        <v>55</v>
      </c>
      <c r="C141" s="17"/>
      <c r="D141" s="17"/>
      <c r="E141" s="17"/>
      <c r="F141" s="17"/>
      <c r="G141" s="17"/>
      <c r="H141" s="17"/>
      <c r="I141" s="17"/>
      <c r="J141" s="17" t="s">
        <v>43</v>
      </c>
      <c r="K141" s="17"/>
      <c r="L141" s="17" t="s">
        <v>291</v>
      </c>
      <c r="M141" s="64">
        <v>0</v>
      </c>
      <c r="N141" s="17" t="s">
        <v>188</v>
      </c>
      <c r="O141" s="17"/>
    </row>
    <row r="142" spans="1:20" x14ac:dyDescent="0.25">
      <c r="A142" s="17" t="s">
        <v>343</v>
      </c>
      <c r="B142" s="17" t="s">
        <v>55</v>
      </c>
      <c r="C142" s="17"/>
      <c r="D142" s="17"/>
      <c r="E142" s="17"/>
      <c r="F142" s="17"/>
      <c r="G142" s="17"/>
      <c r="H142" s="17"/>
      <c r="I142" s="17"/>
      <c r="J142" s="17" t="s">
        <v>45</v>
      </c>
      <c r="K142" s="17"/>
      <c r="L142" s="17" t="s">
        <v>291</v>
      </c>
      <c r="M142" s="64">
        <v>0</v>
      </c>
      <c r="N142" s="17" t="s">
        <v>188</v>
      </c>
      <c r="O142" s="17"/>
    </row>
    <row r="143" spans="1:20" x14ac:dyDescent="0.25">
      <c r="A143" s="17" t="s">
        <v>343</v>
      </c>
      <c r="B143" s="17" t="s">
        <v>55</v>
      </c>
      <c r="C143" s="17"/>
      <c r="D143" s="17"/>
      <c r="E143" s="17"/>
      <c r="F143" s="17"/>
      <c r="G143" s="17"/>
      <c r="H143" s="17"/>
      <c r="I143" s="17"/>
      <c r="J143" s="17" t="s">
        <v>43</v>
      </c>
      <c r="K143" s="17"/>
      <c r="L143" s="17" t="s">
        <v>291</v>
      </c>
      <c r="M143" s="64">
        <v>0</v>
      </c>
      <c r="N143" s="17" t="s">
        <v>188</v>
      </c>
      <c r="O143" s="17"/>
    </row>
    <row r="144" spans="1:20" x14ac:dyDescent="0.25">
      <c r="A144" s="17" t="s">
        <v>265</v>
      </c>
      <c r="B144" s="17" t="s">
        <v>55</v>
      </c>
      <c r="C144" s="17"/>
      <c r="D144" s="17"/>
      <c r="E144" s="17"/>
      <c r="F144" s="17"/>
      <c r="G144" s="17"/>
      <c r="H144" s="17"/>
      <c r="I144" s="17"/>
      <c r="J144" s="17" t="s">
        <v>45</v>
      </c>
      <c r="K144" s="17"/>
      <c r="L144" s="17" t="s">
        <v>291</v>
      </c>
      <c r="M144" s="64">
        <v>0</v>
      </c>
      <c r="N144" s="17" t="s">
        <v>188</v>
      </c>
      <c r="O144" s="17"/>
    </row>
    <row r="145" spans="1:15" x14ac:dyDescent="0.25">
      <c r="A145" s="17" t="s">
        <v>265</v>
      </c>
      <c r="B145" s="17" t="s">
        <v>55</v>
      </c>
      <c r="C145" s="17"/>
      <c r="D145" s="17"/>
      <c r="E145" s="17"/>
      <c r="F145" s="17"/>
      <c r="G145" s="17"/>
      <c r="H145" s="17"/>
      <c r="I145" s="17"/>
      <c r="J145" s="17" t="s">
        <v>43</v>
      </c>
      <c r="K145" s="17"/>
      <c r="L145" s="17" t="s">
        <v>291</v>
      </c>
      <c r="M145" s="64">
        <v>0</v>
      </c>
      <c r="N145" s="17" t="s">
        <v>188</v>
      </c>
      <c r="O145" s="17"/>
    </row>
    <row r="146" spans="1:15" x14ac:dyDescent="0.25">
      <c r="A146" s="17" t="s">
        <v>377</v>
      </c>
      <c r="B146" s="17" t="s">
        <v>81</v>
      </c>
      <c r="C146" s="17"/>
      <c r="D146" s="17"/>
      <c r="E146" s="17"/>
      <c r="F146" s="17"/>
      <c r="G146" s="17"/>
      <c r="H146" s="17"/>
      <c r="I146" s="17"/>
      <c r="J146" s="17" t="s">
        <v>45</v>
      </c>
      <c r="K146" s="17"/>
      <c r="L146" s="17" t="s">
        <v>291</v>
      </c>
      <c r="M146" s="64">
        <v>0</v>
      </c>
      <c r="N146" s="17" t="s">
        <v>188</v>
      </c>
      <c r="O146" s="17"/>
    </row>
    <row r="147" spans="1:15" x14ac:dyDescent="0.25">
      <c r="A147" s="17" t="s">
        <v>377</v>
      </c>
      <c r="B147" s="17" t="s">
        <v>81</v>
      </c>
      <c r="C147" s="17"/>
      <c r="D147" s="17"/>
      <c r="E147" s="17"/>
      <c r="F147" s="17"/>
      <c r="G147" s="17"/>
      <c r="H147" s="17"/>
      <c r="I147" s="17"/>
      <c r="J147" s="17" t="s">
        <v>43</v>
      </c>
      <c r="K147" s="17"/>
      <c r="L147" s="17" t="s">
        <v>291</v>
      </c>
      <c r="M147" s="64">
        <v>0</v>
      </c>
      <c r="N147" s="17" t="s">
        <v>188</v>
      </c>
      <c r="O147" s="17"/>
    </row>
    <row r="148" spans="1:15" x14ac:dyDescent="0.25">
      <c r="A148" s="17" t="s">
        <v>64</v>
      </c>
      <c r="B148" s="17" t="s">
        <v>81</v>
      </c>
      <c r="C148" s="17"/>
      <c r="D148" s="17"/>
      <c r="E148" s="17"/>
      <c r="F148" s="17"/>
      <c r="G148" s="17"/>
      <c r="H148" s="17"/>
      <c r="I148" s="17"/>
      <c r="J148" s="17" t="s">
        <v>45</v>
      </c>
      <c r="K148" s="17"/>
      <c r="L148" s="17" t="s">
        <v>291</v>
      </c>
      <c r="M148" s="64">
        <v>20000</v>
      </c>
      <c r="N148" s="17" t="s">
        <v>188</v>
      </c>
      <c r="O148" s="17" t="s">
        <v>409</v>
      </c>
    </row>
    <row r="149" spans="1:15" x14ac:dyDescent="0.25">
      <c r="A149" s="17" t="s">
        <v>64</v>
      </c>
      <c r="B149" s="17" t="s">
        <v>81</v>
      </c>
      <c r="C149" s="17"/>
      <c r="D149" s="17"/>
      <c r="E149" s="17"/>
      <c r="F149" s="17"/>
      <c r="G149" s="17"/>
      <c r="H149" s="17"/>
      <c r="I149" s="17"/>
      <c r="J149" s="17" t="s">
        <v>43</v>
      </c>
      <c r="K149" s="17"/>
      <c r="L149" s="17" t="s">
        <v>291</v>
      </c>
      <c r="M149" s="64">
        <v>0</v>
      </c>
      <c r="N149" s="17" t="s">
        <v>188</v>
      </c>
      <c r="O149" s="17"/>
    </row>
    <row r="150" spans="1:15" x14ac:dyDescent="0.25">
      <c r="A150" s="58" t="s">
        <v>390</v>
      </c>
      <c r="B150" s="58" t="s">
        <v>391</v>
      </c>
      <c r="C150" s="17"/>
      <c r="D150" s="17"/>
      <c r="E150" s="17"/>
      <c r="F150" s="17"/>
      <c r="G150" s="17"/>
      <c r="H150" s="17"/>
      <c r="I150" s="17"/>
      <c r="J150" s="17" t="s">
        <v>45</v>
      </c>
      <c r="K150" s="17"/>
      <c r="L150" s="17" t="s">
        <v>291</v>
      </c>
      <c r="M150" s="64">
        <v>0</v>
      </c>
      <c r="N150" s="17" t="s">
        <v>188</v>
      </c>
      <c r="O150" s="17"/>
    </row>
    <row r="151" spans="1:15" x14ac:dyDescent="0.25">
      <c r="A151" s="58" t="s">
        <v>397</v>
      </c>
      <c r="B151" s="58" t="s">
        <v>391</v>
      </c>
      <c r="C151" s="17"/>
      <c r="D151" s="17"/>
      <c r="E151" s="17"/>
      <c r="F151" s="17"/>
      <c r="G151" s="17"/>
      <c r="H151" s="17"/>
      <c r="I151" s="17"/>
      <c r="J151" s="17" t="s">
        <v>45</v>
      </c>
      <c r="K151" s="17"/>
      <c r="L151" s="17" t="s">
        <v>291</v>
      </c>
      <c r="M151" s="64">
        <v>0</v>
      </c>
      <c r="N151" s="17" t="s">
        <v>188</v>
      </c>
      <c r="O151" s="17"/>
    </row>
    <row r="152" spans="1:15" x14ac:dyDescent="0.25">
      <c r="A152" s="58" t="s">
        <v>397</v>
      </c>
      <c r="B152" s="58" t="s">
        <v>391</v>
      </c>
      <c r="C152" s="17"/>
      <c r="D152" s="17"/>
      <c r="E152" s="17"/>
      <c r="F152" s="17"/>
      <c r="G152" s="17"/>
      <c r="H152" s="17"/>
      <c r="I152" s="17"/>
      <c r="J152" s="17" t="s">
        <v>43</v>
      </c>
      <c r="K152" s="17"/>
      <c r="L152" s="17" t="s">
        <v>291</v>
      </c>
      <c r="M152" s="64">
        <v>0</v>
      </c>
      <c r="N152" s="17" t="s">
        <v>188</v>
      </c>
      <c r="O152" s="17"/>
    </row>
    <row r="153" spans="1:15" x14ac:dyDescent="0.25">
      <c r="A153" s="58" t="s">
        <v>398</v>
      </c>
      <c r="B153" s="58" t="s">
        <v>391</v>
      </c>
      <c r="C153" s="17"/>
      <c r="D153" s="17"/>
      <c r="E153" s="17"/>
      <c r="F153" s="17"/>
      <c r="G153" s="17"/>
      <c r="H153" s="17"/>
      <c r="I153" s="17"/>
      <c r="J153" s="17" t="s">
        <v>45</v>
      </c>
      <c r="K153" s="17"/>
      <c r="L153" s="17" t="s">
        <v>291</v>
      </c>
      <c r="M153" s="64">
        <v>0</v>
      </c>
      <c r="N153" s="17" t="s">
        <v>188</v>
      </c>
      <c r="O153" s="17"/>
    </row>
    <row r="154" spans="1:15" x14ac:dyDescent="0.25">
      <c r="A154" s="58" t="s">
        <v>398</v>
      </c>
      <c r="B154" s="58" t="s">
        <v>396</v>
      </c>
      <c r="C154" s="17"/>
      <c r="D154" s="17"/>
      <c r="E154" s="17"/>
      <c r="F154" s="17"/>
      <c r="G154" s="17"/>
      <c r="H154" s="17"/>
      <c r="I154" s="17"/>
      <c r="J154" s="17" t="s">
        <v>43</v>
      </c>
      <c r="K154" s="17"/>
      <c r="L154" s="17" t="s">
        <v>291</v>
      </c>
      <c r="M154" s="64">
        <v>0</v>
      </c>
      <c r="N154" s="17" t="s">
        <v>188</v>
      </c>
      <c r="O154" s="17"/>
    </row>
    <row r="155" spans="1:15" x14ac:dyDescent="0.25">
      <c r="A155" s="58" t="s">
        <v>402</v>
      </c>
      <c r="B155" s="58" t="s">
        <v>391</v>
      </c>
      <c r="C155" s="17"/>
      <c r="D155" s="17"/>
      <c r="E155" s="17"/>
      <c r="F155" s="17"/>
      <c r="G155" s="17"/>
      <c r="H155" s="17"/>
      <c r="I155" s="17"/>
      <c r="J155" s="17" t="s">
        <v>45</v>
      </c>
      <c r="K155" s="17"/>
      <c r="L155" s="17" t="s">
        <v>291</v>
      </c>
      <c r="M155" s="64">
        <v>0</v>
      </c>
      <c r="N155" s="17" t="s">
        <v>188</v>
      </c>
      <c r="O155" s="17"/>
    </row>
    <row r="156" spans="1:15" x14ac:dyDescent="0.25">
      <c r="A156" s="58" t="s">
        <v>402</v>
      </c>
      <c r="B156" s="58" t="s">
        <v>391</v>
      </c>
      <c r="C156" s="17"/>
      <c r="D156" s="17"/>
      <c r="E156" s="17"/>
      <c r="F156" s="17"/>
      <c r="G156" s="17"/>
      <c r="H156" s="17"/>
      <c r="I156" s="17"/>
      <c r="J156" s="17" t="s">
        <v>43</v>
      </c>
      <c r="K156" s="17"/>
      <c r="L156" s="17" t="s">
        <v>291</v>
      </c>
      <c r="M156" s="64">
        <v>0</v>
      </c>
      <c r="N156" s="17" t="s">
        <v>188</v>
      </c>
      <c r="O156" s="17"/>
    </row>
    <row r="157" spans="1:15" x14ac:dyDescent="0.25">
      <c r="A157" s="17" t="s">
        <v>400</v>
      </c>
      <c r="B157" s="58" t="s">
        <v>391</v>
      </c>
      <c r="C157" s="17"/>
      <c r="D157" s="17"/>
      <c r="E157" s="17"/>
      <c r="F157" s="17"/>
      <c r="G157" s="17"/>
      <c r="H157" s="17"/>
      <c r="I157" s="17"/>
      <c r="J157" s="17" t="s">
        <v>45</v>
      </c>
      <c r="K157" s="17"/>
      <c r="L157" s="17" t="s">
        <v>291</v>
      </c>
      <c r="M157" s="64">
        <v>0</v>
      </c>
      <c r="N157" s="17" t="s">
        <v>188</v>
      </c>
      <c r="O157" s="17"/>
    </row>
    <row r="158" spans="1:15" x14ac:dyDescent="0.25">
      <c r="A158" s="17" t="s">
        <v>400</v>
      </c>
      <c r="B158" s="58" t="s">
        <v>391</v>
      </c>
      <c r="C158" s="17"/>
      <c r="D158" s="17"/>
      <c r="E158" s="17"/>
      <c r="F158" s="17"/>
      <c r="G158" s="17"/>
      <c r="H158" s="17"/>
      <c r="I158" s="17"/>
      <c r="J158" s="17" t="s">
        <v>43</v>
      </c>
      <c r="K158" s="17"/>
      <c r="L158" s="17" t="s">
        <v>291</v>
      </c>
      <c r="M158" s="64">
        <v>0</v>
      </c>
      <c r="N158" s="17" t="s">
        <v>188</v>
      </c>
      <c r="O158" s="17"/>
    </row>
    <row r="159" spans="1:15" x14ac:dyDescent="0.25">
      <c r="A159" s="17" t="s">
        <v>401</v>
      </c>
      <c r="B159" s="58" t="s">
        <v>391</v>
      </c>
      <c r="C159" s="17"/>
      <c r="D159" s="17"/>
      <c r="E159" s="17"/>
      <c r="F159" s="17"/>
      <c r="G159" s="17"/>
      <c r="H159" s="17"/>
      <c r="I159" s="17"/>
      <c r="J159" s="17" t="s">
        <v>45</v>
      </c>
      <c r="K159" s="17"/>
      <c r="L159" s="17" t="s">
        <v>291</v>
      </c>
      <c r="M159" s="64">
        <v>0</v>
      </c>
      <c r="N159" s="17" t="s">
        <v>188</v>
      </c>
      <c r="O159" s="17"/>
    </row>
    <row r="160" spans="1:15" x14ac:dyDescent="0.25">
      <c r="A160" s="17" t="s">
        <v>401</v>
      </c>
      <c r="B160" s="58" t="s">
        <v>391</v>
      </c>
      <c r="C160" s="17"/>
      <c r="D160" s="17"/>
      <c r="E160" s="17"/>
      <c r="F160" s="17"/>
      <c r="G160" s="17"/>
      <c r="H160" s="17"/>
      <c r="I160" s="17"/>
      <c r="J160" s="17" t="s">
        <v>43</v>
      </c>
      <c r="K160" s="17"/>
      <c r="L160" s="17" t="s">
        <v>291</v>
      </c>
      <c r="M160" s="64">
        <v>0</v>
      </c>
      <c r="N160" s="17" t="s">
        <v>188</v>
      </c>
      <c r="O160" s="17"/>
    </row>
    <row r="162" spans="1:16" x14ac:dyDescent="0.25">
      <c r="A162" s="62" t="s">
        <v>444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3" t="s">
        <v>448</v>
      </c>
    </row>
    <row r="164" spans="1:16" x14ac:dyDescent="0.25">
      <c r="A164" s="63" t="s">
        <v>449</v>
      </c>
    </row>
    <row r="165" spans="1:16" x14ac:dyDescent="0.25">
      <c r="A165" s="63" t="s">
        <v>451</v>
      </c>
    </row>
    <row r="166" spans="1:16" x14ac:dyDescent="0.25">
      <c r="A166" s="63" t="s">
        <v>452</v>
      </c>
    </row>
    <row r="167" spans="1:16" x14ac:dyDescent="0.25">
      <c r="A167" s="58" t="s">
        <v>445</v>
      </c>
      <c r="C167" t="s">
        <v>200</v>
      </c>
      <c r="L167" t="s">
        <v>447</v>
      </c>
      <c r="M167">
        <v>50</v>
      </c>
      <c r="N167" t="s">
        <v>38</v>
      </c>
      <c r="O167" s="6" t="s">
        <v>450</v>
      </c>
    </row>
    <row r="168" spans="1:16" x14ac:dyDescent="0.25">
      <c r="A168" s="58" t="s">
        <v>445</v>
      </c>
      <c r="C168" t="s">
        <v>124</v>
      </c>
      <c r="L168" t="s">
        <v>447</v>
      </c>
      <c r="M168">
        <v>50</v>
      </c>
      <c r="N168" t="s">
        <v>38</v>
      </c>
    </row>
    <row r="170" spans="1:16" x14ac:dyDescent="0.25">
      <c r="A170" s="2" t="s">
        <v>34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26</v>
      </c>
      <c r="K171" t="s">
        <v>50</v>
      </c>
      <c r="L171" t="s">
        <v>53</v>
      </c>
      <c r="M171">
        <v>25</v>
      </c>
      <c r="N171" t="s">
        <v>38</v>
      </c>
    </row>
    <row r="172" spans="1:16" x14ac:dyDescent="0.25">
      <c r="B172" t="s">
        <v>26</v>
      </c>
      <c r="K172" t="s">
        <v>51</v>
      </c>
      <c r="L172" t="s">
        <v>53</v>
      </c>
      <c r="M172">
        <v>2</v>
      </c>
      <c r="N172" t="s">
        <v>38</v>
      </c>
    </row>
    <row r="173" spans="1:16" x14ac:dyDescent="0.25">
      <c r="B173" t="s">
        <v>26</v>
      </c>
      <c r="K173" t="s">
        <v>52</v>
      </c>
      <c r="L173" t="s">
        <v>53</v>
      </c>
      <c r="M173" s="6">
        <v>10.5</v>
      </c>
      <c r="N173" t="s">
        <v>38</v>
      </c>
      <c r="O173" s="6" t="s">
        <v>89</v>
      </c>
    </row>
    <row r="174" spans="1:16" x14ac:dyDescent="0.25">
      <c r="B174" t="s">
        <v>103</v>
      </c>
      <c r="K174" t="s">
        <v>50</v>
      </c>
      <c r="L174" t="s">
        <v>53</v>
      </c>
      <c r="M174">
        <v>17</v>
      </c>
      <c r="N174" t="s">
        <v>38</v>
      </c>
    </row>
    <row r="175" spans="1:16" x14ac:dyDescent="0.25">
      <c r="B175" t="s">
        <v>103</v>
      </c>
      <c r="K175" t="s">
        <v>51</v>
      </c>
      <c r="L175" t="s">
        <v>53</v>
      </c>
      <c r="M175">
        <v>7</v>
      </c>
      <c r="N175" t="s">
        <v>38</v>
      </c>
    </row>
    <row r="176" spans="1:16" x14ac:dyDescent="0.25">
      <c r="B176" t="s">
        <v>103</v>
      </c>
      <c r="K176" t="s">
        <v>52</v>
      </c>
      <c r="L176" t="s">
        <v>53</v>
      </c>
      <c r="M176" s="6">
        <v>15</v>
      </c>
      <c r="N176" t="s">
        <v>38</v>
      </c>
      <c r="O176" s="6" t="s">
        <v>89</v>
      </c>
    </row>
    <row r="177" spans="2:15" x14ac:dyDescent="0.25">
      <c r="B177" t="s">
        <v>108</v>
      </c>
      <c r="K177" t="s">
        <v>50</v>
      </c>
      <c r="L177" t="s">
        <v>53</v>
      </c>
      <c r="M177">
        <v>19</v>
      </c>
      <c r="N177" t="s">
        <v>38</v>
      </c>
    </row>
    <row r="178" spans="2:15" x14ac:dyDescent="0.25">
      <c r="B178" t="s">
        <v>108</v>
      </c>
      <c r="K178" t="s">
        <v>51</v>
      </c>
      <c r="L178" t="s">
        <v>53</v>
      </c>
      <c r="M178">
        <v>10</v>
      </c>
      <c r="N178" t="s">
        <v>38</v>
      </c>
    </row>
    <row r="179" spans="2:15" x14ac:dyDescent="0.25">
      <c r="B179" t="s">
        <v>108</v>
      </c>
      <c r="K179" t="s">
        <v>52</v>
      </c>
      <c r="L179" t="s">
        <v>53</v>
      </c>
      <c r="M179" s="6">
        <v>2</v>
      </c>
      <c r="N179" t="s">
        <v>38</v>
      </c>
      <c r="O179" s="6" t="s">
        <v>89</v>
      </c>
    </row>
    <row r="180" spans="2:15" x14ac:dyDescent="0.25">
      <c r="B180" t="s">
        <v>242</v>
      </c>
      <c r="K180" t="s">
        <v>50</v>
      </c>
      <c r="L180" t="s">
        <v>53</v>
      </c>
      <c r="M180">
        <v>19</v>
      </c>
      <c r="N180" t="s">
        <v>38</v>
      </c>
    </row>
    <row r="181" spans="2:15" x14ac:dyDescent="0.25">
      <c r="B181" t="s">
        <v>242</v>
      </c>
      <c r="K181" t="s">
        <v>51</v>
      </c>
      <c r="L181" t="s">
        <v>53</v>
      </c>
      <c r="M181">
        <v>10</v>
      </c>
      <c r="N181" t="s">
        <v>38</v>
      </c>
    </row>
    <row r="182" spans="2:15" x14ac:dyDescent="0.25">
      <c r="B182" t="s">
        <v>242</v>
      </c>
      <c r="K182" t="s">
        <v>52</v>
      </c>
      <c r="L182" t="s">
        <v>53</v>
      </c>
      <c r="M182" s="6">
        <v>2</v>
      </c>
      <c r="N182" t="s">
        <v>38</v>
      </c>
      <c r="O182" s="6" t="s">
        <v>89</v>
      </c>
    </row>
    <row r="183" spans="2:15" x14ac:dyDescent="0.25">
      <c r="B183" t="s">
        <v>81</v>
      </c>
      <c r="K183" t="s">
        <v>50</v>
      </c>
      <c r="L183" t="s">
        <v>53</v>
      </c>
      <c r="M183">
        <v>11</v>
      </c>
      <c r="N183" t="s">
        <v>38</v>
      </c>
    </row>
    <row r="184" spans="2:15" x14ac:dyDescent="0.25">
      <c r="B184" t="s">
        <v>81</v>
      </c>
      <c r="K184" t="s">
        <v>51</v>
      </c>
      <c r="L184" t="s">
        <v>53</v>
      </c>
      <c r="M184">
        <f>0.5</f>
        <v>0.5</v>
      </c>
      <c r="N184" t="s">
        <v>38</v>
      </c>
    </row>
    <row r="185" spans="2:15" x14ac:dyDescent="0.25">
      <c r="B185" t="s">
        <v>81</v>
      </c>
      <c r="K185" t="s">
        <v>52</v>
      </c>
      <c r="L185" t="s">
        <v>53</v>
      </c>
      <c r="M185" s="6">
        <v>1</v>
      </c>
      <c r="N185" t="s">
        <v>38</v>
      </c>
      <c r="O185" s="6" t="s">
        <v>89</v>
      </c>
    </row>
    <row r="186" spans="2:15" x14ac:dyDescent="0.25">
      <c r="B186" t="s">
        <v>55</v>
      </c>
      <c r="K186" t="s">
        <v>50</v>
      </c>
      <c r="L186" t="s">
        <v>53</v>
      </c>
      <c r="M186">
        <v>11</v>
      </c>
      <c r="N186" t="s">
        <v>38</v>
      </c>
    </row>
    <row r="187" spans="2:15" x14ac:dyDescent="0.25">
      <c r="B187" t="s">
        <v>55</v>
      </c>
      <c r="K187" t="s">
        <v>51</v>
      </c>
      <c r="L187" t="s">
        <v>53</v>
      </c>
      <c r="M187">
        <v>4</v>
      </c>
      <c r="N187" t="s">
        <v>38</v>
      </c>
    </row>
    <row r="188" spans="2:15" x14ac:dyDescent="0.25">
      <c r="B188" t="s">
        <v>55</v>
      </c>
      <c r="K188" t="s">
        <v>52</v>
      </c>
      <c r="L188" t="s">
        <v>53</v>
      </c>
      <c r="M188" s="6">
        <v>5</v>
      </c>
      <c r="N188" t="s">
        <v>38</v>
      </c>
      <c r="O188" s="6" t="s">
        <v>89</v>
      </c>
    </row>
    <row r="189" spans="2:15" x14ac:dyDescent="0.25">
      <c r="B189" t="s">
        <v>455</v>
      </c>
      <c r="K189" t="s">
        <v>50</v>
      </c>
      <c r="L189" t="s">
        <v>53</v>
      </c>
      <c r="M189" s="27">
        <f>M186</f>
        <v>11</v>
      </c>
      <c r="N189" s="27" t="s">
        <v>38</v>
      </c>
      <c r="O189" s="17" t="s">
        <v>457</v>
      </c>
    </row>
    <row r="190" spans="2:15" x14ac:dyDescent="0.25">
      <c r="B190" t="s">
        <v>455</v>
      </c>
      <c r="K190" t="s">
        <v>51</v>
      </c>
      <c r="L190" t="s">
        <v>53</v>
      </c>
      <c r="M190" s="27">
        <f t="shared" ref="M190:M191" si="0">M187</f>
        <v>4</v>
      </c>
      <c r="N190" s="27" t="s">
        <v>38</v>
      </c>
      <c r="O190" s="6"/>
    </row>
    <row r="191" spans="2:15" x14ac:dyDescent="0.25">
      <c r="B191" t="s">
        <v>455</v>
      </c>
      <c r="K191" t="s">
        <v>52</v>
      </c>
      <c r="L191" t="s">
        <v>53</v>
      </c>
      <c r="M191" s="27">
        <f t="shared" si="0"/>
        <v>5</v>
      </c>
      <c r="N191" s="27" t="s">
        <v>38</v>
      </c>
      <c r="O191" s="6"/>
    </row>
    <row r="192" spans="2:15" x14ac:dyDescent="0.25">
      <c r="B192" t="s">
        <v>322</v>
      </c>
      <c r="K192" t="s">
        <v>50</v>
      </c>
      <c r="L192" t="s">
        <v>53</v>
      </c>
      <c r="M192">
        <v>11</v>
      </c>
      <c r="N192" t="s">
        <v>38</v>
      </c>
    </row>
    <row r="193" spans="1:15" x14ac:dyDescent="0.25">
      <c r="B193" t="s">
        <v>322</v>
      </c>
      <c r="K193" t="s">
        <v>51</v>
      </c>
      <c r="L193" t="s">
        <v>53</v>
      </c>
      <c r="M193">
        <v>4</v>
      </c>
      <c r="N193" t="s">
        <v>38</v>
      </c>
    </row>
    <row r="194" spans="1:15" x14ac:dyDescent="0.25">
      <c r="B194" t="s">
        <v>322</v>
      </c>
      <c r="K194" t="s">
        <v>52</v>
      </c>
      <c r="L194" t="s">
        <v>53</v>
      </c>
      <c r="M194" s="6">
        <v>5</v>
      </c>
      <c r="N194" t="s">
        <v>38</v>
      </c>
      <c r="O194" s="6" t="s">
        <v>89</v>
      </c>
    </row>
    <row r="195" spans="1:15" x14ac:dyDescent="0.25">
      <c r="B195" t="s">
        <v>205</v>
      </c>
      <c r="K195" t="s">
        <v>50</v>
      </c>
      <c r="L195" t="s">
        <v>53</v>
      </c>
      <c r="M195">
        <v>4</v>
      </c>
      <c r="N195" t="s">
        <v>38</v>
      </c>
    </row>
    <row r="196" spans="1:15" x14ac:dyDescent="0.25">
      <c r="B196" t="s">
        <v>205</v>
      </c>
      <c r="K196" t="s">
        <v>51</v>
      </c>
      <c r="L196" t="s">
        <v>53</v>
      </c>
      <c r="M196">
        <v>1</v>
      </c>
      <c r="N196" t="s">
        <v>38</v>
      </c>
    </row>
    <row r="197" spans="1:15" x14ac:dyDescent="0.25">
      <c r="B197" t="s">
        <v>205</v>
      </c>
      <c r="K197" t="s">
        <v>52</v>
      </c>
      <c r="L197" t="s">
        <v>53</v>
      </c>
      <c r="M197" s="6">
        <v>5</v>
      </c>
      <c r="N197" t="s">
        <v>38</v>
      </c>
      <c r="O197" s="6" t="s">
        <v>89</v>
      </c>
    </row>
    <row r="198" spans="1:15" x14ac:dyDescent="0.25">
      <c r="B198" t="s">
        <v>125</v>
      </c>
      <c r="K198" t="s">
        <v>50</v>
      </c>
      <c r="L198" t="s">
        <v>53</v>
      </c>
      <c r="M198">
        <v>4</v>
      </c>
      <c r="N198" t="s">
        <v>38</v>
      </c>
    </row>
    <row r="199" spans="1:15" x14ac:dyDescent="0.25">
      <c r="B199" t="s">
        <v>125</v>
      </c>
      <c r="K199" t="s">
        <v>51</v>
      </c>
      <c r="L199" t="s">
        <v>53</v>
      </c>
      <c r="M199">
        <v>1</v>
      </c>
      <c r="N199" t="s">
        <v>38</v>
      </c>
    </row>
    <row r="200" spans="1:15" x14ac:dyDescent="0.25">
      <c r="B200" t="s">
        <v>125</v>
      </c>
      <c r="K200" t="s">
        <v>52</v>
      </c>
      <c r="L200" t="s">
        <v>53</v>
      </c>
      <c r="M200" s="6">
        <v>5</v>
      </c>
      <c r="N200" t="s">
        <v>38</v>
      </c>
      <c r="O200" s="6" t="s">
        <v>89</v>
      </c>
    </row>
    <row r="201" spans="1:15" x14ac:dyDescent="0.25">
      <c r="B201" t="s">
        <v>218</v>
      </c>
      <c r="K201" t="s">
        <v>50</v>
      </c>
      <c r="L201" t="s">
        <v>53</v>
      </c>
      <c r="M201">
        <v>13</v>
      </c>
      <c r="N201" t="s">
        <v>38</v>
      </c>
    </row>
    <row r="202" spans="1:15" x14ac:dyDescent="0.25">
      <c r="B202" t="s">
        <v>218</v>
      </c>
      <c r="K202" t="s">
        <v>51</v>
      </c>
      <c r="L202" t="s">
        <v>53</v>
      </c>
      <c r="M202">
        <v>5</v>
      </c>
      <c r="N202" t="s">
        <v>38</v>
      </c>
    </row>
    <row r="203" spans="1:15" x14ac:dyDescent="0.25">
      <c r="B203" t="s">
        <v>218</v>
      </c>
      <c r="K203" t="s">
        <v>52</v>
      </c>
      <c r="L203" t="s">
        <v>53</v>
      </c>
      <c r="M203" s="6">
        <v>5</v>
      </c>
      <c r="N203" t="s">
        <v>38</v>
      </c>
      <c r="O203" s="6" t="s">
        <v>89</v>
      </c>
    </row>
    <row r="204" spans="1:15" x14ac:dyDescent="0.25">
      <c r="B204" t="s">
        <v>112</v>
      </c>
      <c r="K204" t="s">
        <v>50</v>
      </c>
      <c r="L204" t="s">
        <v>53</v>
      </c>
      <c r="M204">
        <v>0</v>
      </c>
      <c r="N204" t="s">
        <v>38</v>
      </c>
    </row>
    <row r="205" spans="1:15" x14ac:dyDescent="0.25">
      <c r="B205" t="s">
        <v>112</v>
      </c>
      <c r="K205" t="s">
        <v>51</v>
      </c>
      <c r="L205" t="s">
        <v>53</v>
      </c>
      <c r="M205">
        <v>5</v>
      </c>
      <c r="N205" t="s">
        <v>38</v>
      </c>
    </row>
    <row r="206" spans="1:15" x14ac:dyDescent="0.25">
      <c r="B206" t="s">
        <v>112</v>
      </c>
      <c r="K206" t="s">
        <v>52</v>
      </c>
      <c r="L206" t="s">
        <v>53</v>
      </c>
      <c r="M206" s="6">
        <v>5</v>
      </c>
      <c r="N206" t="s">
        <v>38</v>
      </c>
      <c r="O206" s="6" t="s">
        <v>89</v>
      </c>
    </row>
    <row r="207" spans="1:15" x14ac:dyDescent="0.25">
      <c r="A207" s="7"/>
      <c r="B207" s="17" t="s">
        <v>391</v>
      </c>
      <c r="C207" s="17"/>
      <c r="D207" s="17"/>
      <c r="E207" s="17"/>
      <c r="F207" s="17"/>
      <c r="G207" s="17"/>
      <c r="H207" s="17"/>
      <c r="I207" s="17"/>
      <c r="J207" s="17"/>
      <c r="K207" s="17" t="s">
        <v>50</v>
      </c>
      <c r="L207" s="17" t="s">
        <v>53</v>
      </c>
      <c r="M207" s="17">
        <v>11</v>
      </c>
      <c r="N207" s="17" t="s">
        <v>38</v>
      </c>
      <c r="O207" s="7"/>
    </row>
    <row r="208" spans="1:15" x14ac:dyDescent="0.25">
      <c r="A208" s="7"/>
      <c r="B208" s="17" t="s">
        <v>391</v>
      </c>
      <c r="C208" s="17"/>
      <c r="D208" s="17"/>
      <c r="E208" s="17"/>
      <c r="F208" s="17"/>
      <c r="G208" s="17"/>
      <c r="H208" s="17"/>
      <c r="I208" s="17"/>
      <c r="J208" s="17"/>
      <c r="K208" s="17" t="s">
        <v>51</v>
      </c>
      <c r="L208" s="17" t="s">
        <v>53</v>
      </c>
      <c r="M208" s="17">
        <v>4</v>
      </c>
      <c r="N208" s="17" t="s">
        <v>38</v>
      </c>
      <c r="O208" s="7"/>
    </row>
    <row r="209" spans="1:16" x14ac:dyDescent="0.25">
      <c r="A209" s="7"/>
      <c r="B209" s="17" t="s">
        <v>391</v>
      </c>
      <c r="C209" s="17"/>
      <c r="D209" s="17"/>
      <c r="E209" s="17"/>
      <c r="F209" s="17"/>
      <c r="G209" s="17"/>
      <c r="H209" s="17"/>
      <c r="I209" s="17"/>
      <c r="J209" s="17"/>
      <c r="K209" s="17" t="s">
        <v>52</v>
      </c>
      <c r="L209" s="17" t="s">
        <v>53</v>
      </c>
      <c r="M209" s="17">
        <v>5</v>
      </c>
      <c r="N209" s="17" t="s">
        <v>38</v>
      </c>
      <c r="O209" s="7"/>
    </row>
    <row r="210" spans="1:16" x14ac:dyDescent="0.25">
      <c r="A210" s="7"/>
      <c r="B210" s="58" t="s">
        <v>396</v>
      </c>
      <c r="C210" s="58"/>
      <c r="D210" s="17"/>
      <c r="E210" s="17"/>
      <c r="F210" s="17"/>
      <c r="G210" s="17"/>
      <c r="H210" s="17"/>
      <c r="I210" s="17"/>
      <c r="J210" s="17"/>
      <c r="K210" s="17" t="s">
        <v>50</v>
      </c>
      <c r="L210" s="17" t="s">
        <v>53</v>
      </c>
      <c r="M210" s="17">
        <v>11</v>
      </c>
      <c r="N210" s="17" t="s">
        <v>38</v>
      </c>
      <c r="O210" s="7"/>
    </row>
    <row r="211" spans="1:16" x14ac:dyDescent="0.25">
      <c r="A211" s="7"/>
      <c r="B211" s="58" t="s">
        <v>396</v>
      </c>
      <c r="C211" s="58"/>
      <c r="D211" s="17"/>
      <c r="E211" s="17"/>
      <c r="F211" s="17"/>
      <c r="G211" s="17"/>
      <c r="H211" s="17"/>
      <c r="I211" s="17"/>
      <c r="J211" s="17"/>
      <c r="K211" s="17" t="s">
        <v>51</v>
      </c>
      <c r="L211" s="17" t="s">
        <v>53</v>
      </c>
      <c r="M211" s="17">
        <f>0.5</f>
        <v>0.5</v>
      </c>
      <c r="N211" s="17" t="s">
        <v>38</v>
      </c>
      <c r="O211" s="7"/>
    </row>
    <row r="212" spans="1:16" x14ac:dyDescent="0.25">
      <c r="B212" s="58" t="s">
        <v>396</v>
      </c>
      <c r="C212" s="58"/>
      <c r="D212" s="17"/>
      <c r="E212" s="17"/>
      <c r="F212" s="17"/>
      <c r="G212" s="17"/>
      <c r="H212" s="17"/>
      <c r="I212" s="17"/>
      <c r="J212" s="17"/>
      <c r="K212" s="17" t="s">
        <v>52</v>
      </c>
      <c r="L212" s="17" t="s">
        <v>53</v>
      </c>
      <c r="M212" s="17">
        <v>1</v>
      </c>
      <c r="N212" s="17" t="s">
        <v>38</v>
      </c>
      <c r="O212" s="6"/>
    </row>
    <row r="213" spans="1:16" x14ac:dyDescent="0.25">
      <c r="B213" s="58" t="s">
        <v>383</v>
      </c>
      <c r="C213" s="58"/>
      <c r="D213" s="17"/>
      <c r="E213" s="17"/>
      <c r="F213" s="17"/>
      <c r="G213" s="17"/>
      <c r="H213" s="17"/>
      <c r="I213" s="17"/>
      <c r="J213" s="17"/>
      <c r="K213" s="17" t="s">
        <v>50</v>
      </c>
      <c r="L213" s="17" t="s">
        <v>53</v>
      </c>
      <c r="M213" s="17">
        <v>4</v>
      </c>
      <c r="N213" s="17" t="s">
        <v>38</v>
      </c>
      <c r="O213" s="6"/>
    </row>
    <row r="214" spans="1:16" x14ac:dyDescent="0.25">
      <c r="B214" s="58" t="s">
        <v>383</v>
      </c>
      <c r="C214" s="58"/>
      <c r="D214" s="17"/>
      <c r="E214" s="17"/>
      <c r="F214" s="17"/>
      <c r="G214" s="17"/>
      <c r="H214" s="17"/>
      <c r="I214" s="17"/>
      <c r="J214" s="17"/>
      <c r="K214" s="17" t="s">
        <v>51</v>
      </c>
      <c r="L214" s="17" t="s">
        <v>53</v>
      </c>
      <c r="M214" s="17">
        <v>1</v>
      </c>
      <c r="N214" s="17" t="s">
        <v>38</v>
      </c>
      <c r="O214" s="6"/>
    </row>
    <row r="215" spans="1:16" x14ac:dyDescent="0.25">
      <c r="B215" s="58" t="s">
        <v>383</v>
      </c>
      <c r="C215" s="58"/>
      <c r="D215" s="17"/>
      <c r="E215" s="17"/>
      <c r="F215" s="17"/>
      <c r="G215" s="17"/>
      <c r="H215" s="17"/>
      <c r="I215" s="17"/>
      <c r="J215" s="17"/>
      <c r="K215" s="17" t="s">
        <v>52</v>
      </c>
      <c r="L215" s="17" t="s">
        <v>53</v>
      </c>
      <c r="M215" s="17">
        <v>5</v>
      </c>
      <c r="N215" s="17" t="s">
        <v>38</v>
      </c>
      <c r="O215" s="6"/>
    </row>
    <row r="216" spans="1:16" x14ac:dyDescent="0.25">
      <c r="B216" s="58" t="s">
        <v>387</v>
      </c>
      <c r="C216" s="58"/>
      <c r="D216" s="17"/>
      <c r="E216" s="17"/>
      <c r="F216" s="17"/>
      <c r="G216" s="17"/>
      <c r="H216" s="17"/>
      <c r="I216" s="17"/>
      <c r="J216" s="17"/>
      <c r="K216" s="17" t="s">
        <v>50</v>
      </c>
      <c r="L216" s="17" t="s">
        <v>53</v>
      </c>
      <c r="M216" s="17">
        <v>4</v>
      </c>
      <c r="N216" s="17" t="s">
        <v>38</v>
      </c>
      <c r="O216" s="6"/>
    </row>
    <row r="217" spans="1:16" x14ac:dyDescent="0.25">
      <c r="B217" s="58" t="s">
        <v>387</v>
      </c>
      <c r="C217" s="58"/>
      <c r="D217" s="17"/>
      <c r="E217" s="17"/>
      <c r="F217" s="17"/>
      <c r="G217" s="17"/>
      <c r="H217" s="17"/>
      <c r="I217" s="17"/>
      <c r="J217" s="17"/>
      <c r="K217" s="17" t="s">
        <v>51</v>
      </c>
      <c r="L217" s="17" t="s">
        <v>53</v>
      </c>
      <c r="M217" s="17">
        <v>1</v>
      </c>
      <c r="N217" s="17" t="s">
        <v>38</v>
      </c>
      <c r="O217" s="6"/>
    </row>
    <row r="218" spans="1:16" x14ac:dyDescent="0.25">
      <c r="B218" s="58" t="s">
        <v>387</v>
      </c>
      <c r="C218" s="58"/>
      <c r="D218" s="17"/>
      <c r="E218" s="17"/>
      <c r="F218" s="17"/>
      <c r="G218" s="17"/>
      <c r="H218" s="17"/>
      <c r="I218" s="17"/>
      <c r="J218" s="17"/>
      <c r="K218" s="17" t="s">
        <v>52</v>
      </c>
      <c r="L218" s="17" t="s">
        <v>53</v>
      </c>
      <c r="M218" s="17">
        <v>5</v>
      </c>
      <c r="N218" s="17" t="s">
        <v>38</v>
      </c>
      <c r="O218" s="6"/>
    </row>
    <row r="219" spans="1:16" x14ac:dyDescent="0.25">
      <c r="M219" s="6"/>
      <c r="O219" s="6"/>
    </row>
    <row r="220" spans="1:16" x14ac:dyDescent="0.25">
      <c r="A220" s="2" t="s">
        <v>39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40</v>
      </c>
      <c r="M221" s="7">
        <v>100</v>
      </c>
      <c r="N221" s="7" t="s">
        <v>38</v>
      </c>
      <c r="O221" s="7" t="s">
        <v>44</v>
      </c>
    </row>
    <row r="222" spans="1:16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177</v>
      </c>
      <c r="L223" t="s">
        <v>40</v>
      </c>
      <c r="M223">
        <v>22</v>
      </c>
      <c r="N223" t="s">
        <v>38</v>
      </c>
    </row>
    <row r="224" spans="1:16" x14ac:dyDescent="0.25">
      <c r="A224" t="s">
        <v>182</v>
      </c>
      <c r="L224" t="s">
        <v>40</v>
      </c>
      <c r="M224" s="27">
        <f>M223</f>
        <v>22</v>
      </c>
      <c r="N224" s="27" t="s">
        <v>38</v>
      </c>
      <c r="O224" s="27" t="s">
        <v>214</v>
      </c>
    </row>
    <row r="225" spans="1:16" x14ac:dyDescent="0.25">
      <c r="A225" t="s">
        <v>314</v>
      </c>
      <c r="L225" t="s">
        <v>40</v>
      </c>
      <c r="M225">
        <v>100</v>
      </c>
      <c r="N225" t="s">
        <v>38</v>
      </c>
    </row>
    <row r="226" spans="1:16" x14ac:dyDescent="0.25">
      <c r="A226" t="s">
        <v>315</v>
      </c>
      <c r="L226" t="s">
        <v>40</v>
      </c>
      <c r="M226" s="27">
        <f>M225</f>
        <v>100</v>
      </c>
      <c r="N226" s="27" t="s">
        <v>38</v>
      </c>
      <c r="O226" s="27" t="s">
        <v>214</v>
      </c>
    </row>
    <row r="227" spans="1:16" x14ac:dyDescent="0.25">
      <c r="A227" t="s">
        <v>178</v>
      </c>
      <c r="L227" t="s">
        <v>40</v>
      </c>
      <c r="M227">
        <v>4</v>
      </c>
      <c r="N227" t="s">
        <v>38</v>
      </c>
    </row>
    <row r="228" spans="1:16" x14ac:dyDescent="0.25">
      <c r="A228" t="s">
        <v>183</v>
      </c>
      <c r="L228" t="s">
        <v>40</v>
      </c>
      <c r="M228" s="27">
        <f>M227</f>
        <v>4</v>
      </c>
      <c r="N228" s="27" t="s">
        <v>38</v>
      </c>
      <c r="O228" s="27" t="s">
        <v>214</v>
      </c>
    </row>
    <row r="229" spans="1:16" x14ac:dyDescent="0.25">
      <c r="A229" t="s">
        <v>88</v>
      </c>
      <c r="L229" t="s">
        <v>40</v>
      </c>
      <c r="M229">
        <v>100</v>
      </c>
      <c r="N229" t="s">
        <v>38</v>
      </c>
    </row>
    <row r="230" spans="1:16" x14ac:dyDescent="0.25">
      <c r="A230" t="s">
        <v>179</v>
      </c>
      <c r="L230" t="s">
        <v>40</v>
      </c>
      <c r="M230">
        <v>8</v>
      </c>
      <c r="N230" t="s">
        <v>38</v>
      </c>
    </row>
    <row r="231" spans="1:16" x14ac:dyDescent="0.25">
      <c r="A231" t="s">
        <v>184</v>
      </c>
      <c r="L231" t="s">
        <v>40</v>
      </c>
      <c r="M231" s="27">
        <f>M230</f>
        <v>8</v>
      </c>
      <c r="N231" s="27" t="s">
        <v>38</v>
      </c>
      <c r="O231" s="27" t="s">
        <v>214</v>
      </c>
    </row>
    <row r="232" spans="1:16" x14ac:dyDescent="0.25">
      <c r="A232" t="s">
        <v>180</v>
      </c>
      <c r="L232" t="s">
        <v>40</v>
      </c>
      <c r="M232">
        <v>1</v>
      </c>
      <c r="N232" t="s">
        <v>38</v>
      </c>
    </row>
    <row r="233" spans="1:16" x14ac:dyDescent="0.25">
      <c r="A233" t="s">
        <v>185</v>
      </c>
      <c r="L233" t="s">
        <v>40</v>
      </c>
      <c r="M233" s="27">
        <f>M232</f>
        <v>1</v>
      </c>
      <c r="N233" s="27" t="s">
        <v>38</v>
      </c>
      <c r="O233" s="27" t="s">
        <v>214</v>
      </c>
    </row>
    <row r="234" spans="1:16" x14ac:dyDescent="0.25">
      <c r="A234" t="s">
        <v>181</v>
      </c>
      <c r="L234" t="s">
        <v>40</v>
      </c>
      <c r="M234" s="6">
        <v>22</v>
      </c>
      <c r="N234" s="17" t="s">
        <v>38</v>
      </c>
      <c r="O234" t="s">
        <v>147</v>
      </c>
    </row>
    <row r="235" spans="1:16" x14ac:dyDescent="0.25">
      <c r="A235" t="s">
        <v>186</v>
      </c>
      <c r="L235" t="s">
        <v>40</v>
      </c>
      <c r="M235" s="27">
        <f>M234</f>
        <v>22</v>
      </c>
      <c r="N235" s="27" t="s">
        <v>38</v>
      </c>
      <c r="O235" s="27" t="s">
        <v>214</v>
      </c>
    </row>
    <row r="236" spans="1:16" s="17" customFormat="1" x14ac:dyDescent="0.25">
      <c r="A236" s="17" t="s">
        <v>411</v>
      </c>
      <c r="L236" s="17" t="s">
        <v>40</v>
      </c>
      <c r="M236" s="17">
        <v>0</v>
      </c>
      <c r="N236" s="17" t="s">
        <v>38</v>
      </c>
    </row>
    <row r="237" spans="1:16" x14ac:dyDescent="0.25">
      <c r="A237" s="4" t="s">
        <v>11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99</v>
      </c>
      <c r="L238" t="s">
        <v>40</v>
      </c>
      <c r="M238" s="17">
        <v>16</v>
      </c>
      <c r="N238" s="17" t="s">
        <v>38</v>
      </c>
    </row>
    <row r="239" spans="1:16" x14ac:dyDescent="0.25">
      <c r="A239" s="17" t="s">
        <v>100</v>
      </c>
      <c r="L239" t="s">
        <v>40</v>
      </c>
      <c r="M239" s="17">
        <v>16</v>
      </c>
      <c r="N239" s="17" t="s">
        <v>38</v>
      </c>
    </row>
    <row r="240" spans="1:16" x14ac:dyDescent="0.25">
      <c r="A240" s="17" t="s">
        <v>207</v>
      </c>
      <c r="L240" t="s">
        <v>40</v>
      </c>
      <c r="M240" s="17">
        <v>16</v>
      </c>
      <c r="N240" s="17" t="s">
        <v>38</v>
      </c>
    </row>
    <row r="241" spans="1:16" x14ac:dyDescent="0.25">
      <c r="A241" s="17" t="s">
        <v>101</v>
      </c>
      <c r="L241" t="s">
        <v>40</v>
      </c>
      <c r="M241" s="17">
        <v>16</v>
      </c>
      <c r="N241" s="17" t="s">
        <v>38</v>
      </c>
    </row>
    <row r="242" spans="1:16" x14ac:dyDescent="0.25">
      <c r="A242" s="4" t="s">
        <v>13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239</v>
      </c>
      <c r="L243" t="s">
        <v>40</v>
      </c>
      <c r="M243" s="17">
        <v>85</v>
      </c>
      <c r="N243" s="17" t="s">
        <v>38</v>
      </c>
    </row>
    <row r="244" spans="1:16" x14ac:dyDescent="0.25">
      <c r="A244" s="17" t="s">
        <v>240</v>
      </c>
      <c r="L244" t="s">
        <v>40</v>
      </c>
      <c r="M244" s="17">
        <v>85</v>
      </c>
      <c r="N244" s="17" t="s">
        <v>38</v>
      </c>
    </row>
    <row r="245" spans="1:16" x14ac:dyDescent="0.25">
      <c r="A245" s="17" t="s">
        <v>241</v>
      </c>
      <c r="L245" t="s">
        <v>40</v>
      </c>
      <c r="M245" s="17">
        <v>85</v>
      </c>
      <c r="N245" s="17" t="s">
        <v>38</v>
      </c>
    </row>
    <row r="246" spans="1:16" x14ac:dyDescent="0.25">
      <c r="A246" s="17" t="s">
        <v>243</v>
      </c>
      <c r="L246" t="s">
        <v>40</v>
      </c>
      <c r="M246" s="17">
        <v>95</v>
      </c>
      <c r="N246" s="17" t="s">
        <v>38</v>
      </c>
    </row>
    <row r="247" spans="1:16" x14ac:dyDescent="0.25">
      <c r="A247" s="17" t="s">
        <v>252</v>
      </c>
      <c r="L247" t="s">
        <v>40</v>
      </c>
      <c r="M247" s="6">
        <v>97</v>
      </c>
      <c r="N247" s="17" t="s">
        <v>38</v>
      </c>
      <c r="O247" s="6" t="s">
        <v>264</v>
      </c>
    </row>
    <row r="248" spans="1:16" x14ac:dyDescent="0.25">
      <c r="A248" s="17" t="s">
        <v>253</v>
      </c>
      <c r="L248" t="s">
        <v>40</v>
      </c>
      <c r="M248" s="17">
        <v>29</v>
      </c>
      <c r="N248" s="17" t="s">
        <v>38</v>
      </c>
    </row>
    <row r="249" spans="1:16" x14ac:dyDescent="0.25">
      <c r="A249" s="17" t="s">
        <v>259</v>
      </c>
      <c r="D249" s="9"/>
      <c r="E249" s="9"/>
      <c r="L249" t="s">
        <v>40</v>
      </c>
      <c r="M249" s="6">
        <v>50</v>
      </c>
      <c r="N249" s="17" t="s">
        <v>38</v>
      </c>
      <c r="O249" s="6" t="s">
        <v>263</v>
      </c>
    </row>
    <row r="250" spans="1:16" x14ac:dyDescent="0.25">
      <c r="A250" s="17" t="s">
        <v>254</v>
      </c>
      <c r="L250" t="s">
        <v>40</v>
      </c>
      <c r="M250" s="6">
        <v>90</v>
      </c>
      <c r="N250" s="17" t="s">
        <v>38</v>
      </c>
      <c r="O250" s="6" t="s">
        <v>263</v>
      </c>
    </row>
    <row r="251" spans="1:16" x14ac:dyDescent="0.25">
      <c r="A251" s="4" t="s">
        <v>12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133</v>
      </c>
      <c r="L252" t="s">
        <v>40</v>
      </c>
      <c r="M252">
        <v>7</v>
      </c>
      <c r="N252" s="17" t="s">
        <v>38</v>
      </c>
    </row>
    <row r="253" spans="1:16" x14ac:dyDescent="0.25">
      <c r="A253" s="17" t="s">
        <v>375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40</v>
      </c>
      <c r="M253" s="17">
        <v>7</v>
      </c>
      <c r="N253" s="17" t="s">
        <v>38</v>
      </c>
      <c r="O253" s="17" t="s">
        <v>410</v>
      </c>
    </row>
    <row r="254" spans="1:16" x14ac:dyDescent="0.25">
      <c r="A254" s="17" t="s">
        <v>139</v>
      </c>
      <c r="L254" t="s">
        <v>40</v>
      </c>
      <c r="M254" s="17">
        <v>35</v>
      </c>
      <c r="N254" s="17" t="s">
        <v>38</v>
      </c>
    </row>
    <row r="255" spans="1:16" x14ac:dyDescent="0.25">
      <c r="A255" s="17" t="s">
        <v>135</v>
      </c>
      <c r="L255" t="s">
        <v>40</v>
      </c>
      <c r="M255" s="17">
        <v>63</v>
      </c>
      <c r="N255" s="17" t="s">
        <v>38</v>
      </c>
    </row>
    <row r="256" spans="1:16" x14ac:dyDescent="0.25">
      <c r="A256" s="17" t="s">
        <v>136</v>
      </c>
      <c r="L256" t="s">
        <v>40</v>
      </c>
      <c r="M256" s="17">
        <v>54</v>
      </c>
      <c r="N256" s="17" t="s">
        <v>38</v>
      </c>
      <c r="O256" s="6"/>
    </row>
    <row r="257" spans="1:16" x14ac:dyDescent="0.25">
      <c r="A257" s="17" t="s">
        <v>137</v>
      </c>
      <c r="L257" t="s">
        <v>40</v>
      </c>
      <c r="M257" s="6">
        <v>75</v>
      </c>
      <c r="N257" s="17" t="s">
        <v>38</v>
      </c>
      <c r="O257" s="6" t="s">
        <v>250</v>
      </c>
    </row>
    <row r="258" spans="1:16" x14ac:dyDescent="0.25">
      <c r="A258" s="17" t="s">
        <v>138</v>
      </c>
      <c r="L258" t="s">
        <v>40</v>
      </c>
      <c r="M258" s="17">
        <v>10</v>
      </c>
      <c r="N258" s="17" t="s">
        <v>38</v>
      </c>
    </row>
    <row r="259" spans="1:16" x14ac:dyDescent="0.25">
      <c r="A259" s="17" t="s">
        <v>107</v>
      </c>
      <c r="L259" t="s">
        <v>40</v>
      </c>
      <c r="M259" s="17">
        <v>90</v>
      </c>
      <c r="N259" s="17" t="s">
        <v>38</v>
      </c>
    </row>
    <row r="260" spans="1:16" x14ac:dyDescent="0.25">
      <c r="A260" s="17" t="s">
        <v>110</v>
      </c>
      <c r="L260" t="s">
        <v>40</v>
      </c>
      <c r="M260" s="17">
        <v>46</v>
      </c>
      <c r="N260" s="17" t="s">
        <v>38</v>
      </c>
    </row>
    <row r="261" spans="1:16" x14ac:dyDescent="0.25">
      <c r="A261" s="17" t="s">
        <v>247</v>
      </c>
      <c r="L261" t="s">
        <v>40</v>
      </c>
      <c r="M261" s="17">
        <v>100</v>
      </c>
      <c r="N261" s="17" t="s">
        <v>38</v>
      </c>
    </row>
    <row r="262" spans="1:16" x14ac:dyDescent="0.25">
      <c r="A262" s="17" t="s">
        <v>146</v>
      </c>
      <c r="L262" t="s">
        <v>40</v>
      </c>
      <c r="M262" s="6">
        <v>90</v>
      </c>
      <c r="N262" s="17" t="s">
        <v>38</v>
      </c>
      <c r="O262" s="6" t="s">
        <v>263</v>
      </c>
    </row>
    <row r="263" spans="1:16" x14ac:dyDescent="0.25">
      <c r="A263" s="4" t="s">
        <v>14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324</v>
      </c>
      <c r="O263" s="41">
        <v>0.81799999999999995</v>
      </c>
      <c r="P263" s="5"/>
    </row>
    <row r="264" spans="1:16" x14ac:dyDescent="0.25">
      <c r="A264" s="6" t="s">
        <v>62</v>
      </c>
      <c r="L264" t="s">
        <v>40</v>
      </c>
      <c r="M264" s="13">
        <f>8.5*20/(29.5+8.5)*$O$263</f>
        <v>3.6594736842105262</v>
      </c>
      <c r="N264" t="s">
        <v>38</v>
      </c>
    </row>
    <row r="265" spans="1:16" x14ac:dyDescent="0.25">
      <c r="A265" s="6" t="s">
        <v>61</v>
      </c>
      <c r="L265" t="s">
        <v>40</v>
      </c>
      <c r="M265" s="13">
        <f>(80.7*0+14.4*20+0.3*5*0)/(80.7+14.4+0.3*5)*$O$263</f>
        <v>2.438757763975155</v>
      </c>
      <c r="N265" t="s">
        <v>38</v>
      </c>
    </row>
    <row r="266" spans="1:16" x14ac:dyDescent="0.25">
      <c r="A266" s="6" t="s">
        <v>63</v>
      </c>
      <c r="L266" t="s">
        <v>40</v>
      </c>
      <c r="M266" s="13">
        <f>(45.6*0+44.1*20+1.3*5*0+1.8*10*0)/(45.6+44.1+1.3*5+1.8*10)*$O$263</f>
        <v>6.317653239929947</v>
      </c>
      <c r="N266" t="s">
        <v>38</v>
      </c>
    </row>
    <row r="267" spans="1:16" x14ac:dyDescent="0.25">
      <c r="A267" s="6" t="s">
        <v>64</v>
      </c>
      <c r="L267" t="s">
        <v>40</v>
      </c>
      <c r="M267">
        <f>60*$O$263</f>
        <v>49.08</v>
      </c>
      <c r="N267" t="s">
        <v>38</v>
      </c>
    </row>
    <row r="268" spans="1:16" x14ac:dyDescent="0.25">
      <c r="A268" s="6" t="s">
        <v>68</v>
      </c>
      <c r="L268" t="s">
        <v>40</v>
      </c>
      <c r="M268">
        <f>0*$O$263</f>
        <v>0</v>
      </c>
      <c r="N268" t="s">
        <v>38</v>
      </c>
    </row>
    <row r="269" spans="1:16" x14ac:dyDescent="0.25">
      <c r="A269" s="6" t="s">
        <v>69</v>
      </c>
      <c r="L269" t="s">
        <v>40</v>
      </c>
      <c r="M269">
        <f>20*$O$263</f>
        <v>16.36</v>
      </c>
      <c r="N269" t="s">
        <v>38</v>
      </c>
    </row>
    <row r="270" spans="1:16" x14ac:dyDescent="0.25">
      <c r="A270" s="6" t="s">
        <v>66</v>
      </c>
      <c r="L270" t="s">
        <v>40</v>
      </c>
      <c r="M270">
        <f>20*$O$263</f>
        <v>16.36</v>
      </c>
      <c r="N270" t="s">
        <v>38</v>
      </c>
    </row>
    <row r="271" spans="1:16" x14ac:dyDescent="0.25">
      <c r="A271" s="6" t="s">
        <v>67</v>
      </c>
      <c r="L271" t="s">
        <v>40</v>
      </c>
      <c r="M271">
        <f>20*$O$263</f>
        <v>16.36</v>
      </c>
      <c r="N271" t="s">
        <v>38</v>
      </c>
    </row>
    <row r="272" spans="1:16" x14ac:dyDescent="0.25">
      <c r="A272" s="6" t="s">
        <v>65</v>
      </c>
      <c r="L272" t="s">
        <v>40</v>
      </c>
      <c r="M272">
        <f>43*$O$263</f>
        <v>35.173999999999999</v>
      </c>
      <c r="N272" t="s">
        <v>38</v>
      </c>
    </row>
    <row r="273" spans="1:16" s="17" customFormat="1" x14ac:dyDescent="0.25">
      <c r="A273" s="17" t="s">
        <v>377</v>
      </c>
      <c r="L273" s="17" t="s">
        <v>40</v>
      </c>
      <c r="M273" s="17">
        <v>3.7</v>
      </c>
      <c r="N273" s="17" t="s">
        <v>38</v>
      </c>
      <c r="O273" s="17" t="s">
        <v>412</v>
      </c>
    </row>
    <row r="274" spans="1:16" x14ac:dyDescent="0.25">
      <c r="A274" s="4" t="s">
        <v>23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54</v>
      </c>
      <c r="L275" t="s">
        <v>40</v>
      </c>
      <c r="M275" s="17">
        <v>36.909999999999997</v>
      </c>
      <c r="N275" t="s">
        <v>38</v>
      </c>
      <c r="O275" s="6"/>
    </row>
    <row r="276" spans="1:16" x14ac:dyDescent="0.25">
      <c r="A276" t="s">
        <v>95</v>
      </c>
      <c r="L276" t="s">
        <v>40</v>
      </c>
      <c r="M276" s="17">
        <v>43.11</v>
      </c>
      <c r="N276" t="s">
        <v>38</v>
      </c>
      <c r="O276" s="6"/>
    </row>
    <row r="277" spans="1:16" x14ac:dyDescent="0.25">
      <c r="A277" t="s">
        <v>343</v>
      </c>
      <c r="L277" t="s">
        <v>40</v>
      </c>
      <c r="M277" s="17">
        <v>63.94</v>
      </c>
      <c r="N277" s="17" t="s">
        <v>38</v>
      </c>
      <c r="O277" s="6"/>
    </row>
    <row r="278" spans="1:16" x14ac:dyDescent="0.25">
      <c r="A278" t="s">
        <v>265</v>
      </c>
      <c r="L278" t="s">
        <v>40</v>
      </c>
      <c r="M278" s="17">
        <v>36.49</v>
      </c>
      <c r="N278" t="s">
        <v>38</v>
      </c>
      <c r="O278" s="6"/>
    </row>
    <row r="279" spans="1:16" x14ac:dyDescent="0.25">
      <c r="A279" t="s">
        <v>453</v>
      </c>
      <c r="L279" t="s">
        <v>40</v>
      </c>
      <c r="M279">
        <v>0</v>
      </c>
      <c r="N279" t="s">
        <v>38</v>
      </c>
      <c r="O279" t="s">
        <v>458</v>
      </c>
    </row>
    <row r="280" spans="1:16" x14ac:dyDescent="0.25">
      <c r="A280" t="s">
        <v>454</v>
      </c>
      <c r="L280" t="s">
        <v>40</v>
      </c>
      <c r="M280">
        <v>0</v>
      </c>
      <c r="N280" t="s">
        <v>38</v>
      </c>
    </row>
    <row r="281" spans="1:16" x14ac:dyDescent="0.25">
      <c r="A281" s="4" t="s">
        <v>15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15</v>
      </c>
      <c r="L282" t="s">
        <v>40</v>
      </c>
      <c r="M282" s="17">
        <f>2.5</f>
        <v>2.5</v>
      </c>
      <c r="N282" t="s">
        <v>38</v>
      </c>
      <c r="O282" s="17" t="s">
        <v>340</v>
      </c>
      <c r="P282" t="s">
        <v>339</v>
      </c>
    </row>
    <row r="283" spans="1:16" x14ac:dyDescent="0.25">
      <c r="A283" s="17" t="s">
        <v>378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40</v>
      </c>
      <c r="M283" s="17">
        <v>2.5</v>
      </c>
      <c r="N283" s="17" t="s">
        <v>38</v>
      </c>
      <c r="O283" s="17"/>
    </row>
    <row r="284" spans="1:16" x14ac:dyDescent="0.25">
      <c r="A284" s="4" t="s">
        <v>20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200</v>
      </c>
      <c r="L285" t="s">
        <v>40</v>
      </c>
      <c r="M285">
        <v>5</v>
      </c>
      <c r="N285" t="s">
        <v>38</v>
      </c>
    </row>
    <row r="286" spans="1:16" x14ac:dyDescent="0.25">
      <c r="A286" s="26" t="s">
        <v>201</v>
      </c>
      <c r="L286" t="s">
        <v>40</v>
      </c>
      <c r="M286">
        <v>0.4</v>
      </c>
      <c r="N286" t="s">
        <v>38</v>
      </c>
    </row>
    <row r="287" spans="1:16" x14ac:dyDescent="0.25">
      <c r="A287" s="26" t="s">
        <v>202</v>
      </c>
      <c r="L287" t="s">
        <v>40</v>
      </c>
      <c r="M287" s="6">
        <v>95</v>
      </c>
      <c r="N287" t="s">
        <v>38</v>
      </c>
      <c r="O287" s="6" t="s">
        <v>148</v>
      </c>
    </row>
    <row r="288" spans="1:16" x14ac:dyDescent="0.25">
      <c r="A288" s="26" t="s">
        <v>203</v>
      </c>
      <c r="L288" t="s">
        <v>40</v>
      </c>
      <c r="M288">
        <v>100</v>
      </c>
      <c r="N288" t="s">
        <v>38</v>
      </c>
    </row>
    <row r="289" spans="1:16" x14ac:dyDescent="0.25">
      <c r="A289" s="26" t="s">
        <v>204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40</v>
      </c>
      <c r="M289">
        <v>100</v>
      </c>
      <c r="N289" t="s">
        <v>38</v>
      </c>
      <c r="O289" s="8"/>
      <c r="P289" s="8"/>
    </row>
    <row r="290" spans="1:16" s="17" customFormat="1" x14ac:dyDescent="0.25">
      <c r="A290" s="17" t="s">
        <v>380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40</v>
      </c>
      <c r="M290" s="17">
        <v>100</v>
      </c>
      <c r="N290" s="17" t="s">
        <v>38</v>
      </c>
      <c r="O290" s="19" t="s">
        <v>413</v>
      </c>
      <c r="P290" s="19"/>
    </row>
    <row r="291" spans="1:16" s="17" customFormat="1" x14ac:dyDescent="0.25">
      <c r="A291" s="17" t="s">
        <v>381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40</v>
      </c>
      <c r="M291" s="17">
        <v>100</v>
      </c>
      <c r="N291" s="17" t="s">
        <v>38</v>
      </c>
      <c r="O291" s="19" t="s">
        <v>413</v>
      </c>
      <c r="P291" s="19"/>
    </row>
    <row r="292" spans="1:16" x14ac:dyDescent="0.25">
      <c r="A292" s="4" t="s">
        <v>21</v>
      </c>
      <c r="B292" s="4"/>
      <c r="C292" s="4"/>
      <c r="D292" s="4"/>
      <c r="E292" s="48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382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40</v>
      </c>
      <c r="M293" s="52">
        <v>100</v>
      </c>
      <c r="N293" s="17" t="s">
        <v>38</v>
      </c>
      <c r="O293" s="50" t="s">
        <v>413</v>
      </c>
      <c r="P293" s="50"/>
    </row>
    <row r="294" spans="1:16" s="7" customFormat="1" x14ac:dyDescent="0.25">
      <c r="A294" s="17" t="s">
        <v>384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40</v>
      </c>
      <c r="M294" s="52">
        <v>100</v>
      </c>
      <c r="N294" s="17" t="s">
        <v>38</v>
      </c>
      <c r="O294" s="50" t="s">
        <v>413</v>
      </c>
      <c r="P294" s="50"/>
    </row>
    <row r="295" spans="1:16" s="7" customFormat="1" x14ac:dyDescent="0.25">
      <c r="A295" s="53" t="s">
        <v>385</v>
      </c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5"/>
      <c r="M295" s="56"/>
      <c r="N295" s="55"/>
      <c r="O295" s="51"/>
      <c r="P295" s="51"/>
    </row>
    <row r="296" spans="1:16" s="7" customFormat="1" x14ac:dyDescent="0.25">
      <c r="A296" s="17" t="s">
        <v>386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40</v>
      </c>
      <c r="M296" s="52">
        <v>100</v>
      </c>
      <c r="N296" s="17" t="s">
        <v>38</v>
      </c>
      <c r="O296" s="50" t="s">
        <v>413</v>
      </c>
      <c r="P296" s="50"/>
    </row>
    <row r="297" spans="1:16" x14ac:dyDescent="0.25">
      <c r="A297" s="4" t="s">
        <v>22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124</v>
      </c>
      <c r="L298" t="s">
        <v>40</v>
      </c>
      <c r="M298" s="15">
        <v>52</v>
      </c>
      <c r="N298" t="s">
        <v>38</v>
      </c>
      <c r="O298" s="24"/>
    </row>
    <row r="299" spans="1:16" s="17" customFormat="1" x14ac:dyDescent="0.25">
      <c r="A299" s="17" t="s">
        <v>388</v>
      </c>
      <c r="L299" s="17" t="s">
        <v>40</v>
      </c>
      <c r="M299" s="15">
        <v>52</v>
      </c>
      <c r="N299" s="17" t="s">
        <v>38</v>
      </c>
      <c r="O299" s="57" t="s">
        <v>414</v>
      </c>
    </row>
    <row r="300" spans="1:16" s="17" customFormat="1" x14ac:dyDescent="0.25">
      <c r="A300" s="17" t="s">
        <v>131</v>
      </c>
      <c r="L300" s="17" t="s">
        <v>40</v>
      </c>
      <c r="M300" s="15">
        <v>100</v>
      </c>
      <c r="N300" s="17" t="s">
        <v>38</v>
      </c>
      <c r="O300" s="57"/>
    </row>
    <row r="301" spans="1:16" x14ac:dyDescent="0.25">
      <c r="A301" s="4" t="s">
        <v>24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215</v>
      </c>
      <c r="L302" t="s">
        <v>40</v>
      </c>
      <c r="M302" s="6">
        <v>24</v>
      </c>
      <c r="N302" t="s">
        <v>38</v>
      </c>
      <c r="O302" s="6" t="s">
        <v>220</v>
      </c>
    </row>
    <row r="303" spans="1:16" x14ac:dyDescent="0.25">
      <c r="A303" t="s">
        <v>217</v>
      </c>
      <c r="L303" t="s">
        <v>40</v>
      </c>
      <c r="M303" s="27">
        <f>M302</f>
        <v>24</v>
      </c>
      <c r="N303" s="27" t="s">
        <v>38</v>
      </c>
      <c r="O303" s="27" t="s">
        <v>219</v>
      </c>
    </row>
    <row r="304" spans="1:16" x14ac:dyDescent="0.25">
      <c r="A304" t="s">
        <v>216</v>
      </c>
      <c r="L304" t="s">
        <v>40</v>
      </c>
      <c r="M304">
        <v>61</v>
      </c>
      <c r="N304" t="s">
        <v>38</v>
      </c>
    </row>
    <row r="305" spans="1:16" x14ac:dyDescent="0.25">
      <c r="A305" s="4" t="s">
        <v>29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225</v>
      </c>
      <c r="L306" t="s">
        <v>40</v>
      </c>
      <c r="M306">
        <v>100</v>
      </c>
      <c r="N306" t="s">
        <v>38</v>
      </c>
    </row>
    <row r="307" spans="1:16" x14ac:dyDescent="0.25">
      <c r="A307" t="s">
        <v>228</v>
      </c>
      <c r="L307" t="s">
        <v>40</v>
      </c>
      <c r="M307">
        <v>4</v>
      </c>
      <c r="N307" t="s">
        <v>38</v>
      </c>
      <c r="O307" t="s">
        <v>113</v>
      </c>
    </row>
    <row r="308" spans="1:16" x14ac:dyDescent="0.25">
      <c r="A308" t="s">
        <v>226</v>
      </c>
      <c r="L308" t="s">
        <v>40</v>
      </c>
      <c r="M308">
        <v>85</v>
      </c>
      <c r="N308" t="s">
        <v>38</v>
      </c>
      <c r="O308" t="s">
        <v>231</v>
      </c>
    </row>
    <row r="309" spans="1:16" x14ac:dyDescent="0.25">
      <c r="A309" t="s">
        <v>229</v>
      </c>
      <c r="L309" t="s">
        <v>40</v>
      </c>
      <c r="M309">
        <v>22</v>
      </c>
      <c r="N309" t="s">
        <v>38</v>
      </c>
      <c r="O309" t="s">
        <v>232</v>
      </c>
    </row>
    <row r="310" spans="1:16" s="17" customFormat="1" x14ac:dyDescent="0.25">
      <c r="A310" s="53" t="s">
        <v>33</v>
      </c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5"/>
      <c r="M310" s="55"/>
      <c r="N310" s="55"/>
      <c r="O310" s="55"/>
      <c r="P310" s="55"/>
    </row>
    <row r="311" spans="1:16" s="17" customFormat="1" x14ac:dyDescent="0.25">
      <c r="A311" s="58" t="s">
        <v>390</v>
      </c>
      <c r="B311" s="58" t="s">
        <v>391</v>
      </c>
      <c r="C311" s="58"/>
      <c r="D311" s="59"/>
      <c r="E311" s="59"/>
      <c r="F311" s="59"/>
      <c r="G311" s="59"/>
      <c r="H311" s="59"/>
      <c r="I311" s="59"/>
      <c r="J311" s="59"/>
      <c r="K311" s="59"/>
      <c r="L311" s="58" t="s">
        <v>40</v>
      </c>
      <c r="M311" s="17">
        <v>5</v>
      </c>
      <c r="N311" s="58" t="s">
        <v>38</v>
      </c>
      <c r="O311" s="58" t="s">
        <v>415</v>
      </c>
    </row>
    <row r="312" spans="1:16" s="17" customFormat="1" x14ac:dyDescent="0.25">
      <c r="A312" s="58" t="s">
        <v>392</v>
      </c>
      <c r="B312" s="58" t="s">
        <v>416</v>
      </c>
      <c r="C312" s="58"/>
      <c r="D312" s="59"/>
      <c r="E312" s="59"/>
      <c r="F312" s="59"/>
      <c r="G312" s="59"/>
      <c r="H312" s="59"/>
      <c r="I312" s="59"/>
      <c r="J312" s="59"/>
      <c r="K312" s="59"/>
      <c r="L312" s="58" t="s">
        <v>40</v>
      </c>
      <c r="M312" s="17">
        <v>100</v>
      </c>
      <c r="N312" s="58" t="s">
        <v>38</v>
      </c>
      <c r="O312" s="58" t="s">
        <v>417</v>
      </c>
    </row>
    <row r="313" spans="1:16" s="17" customFormat="1" x14ac:dyDescent="0.25">
      <c r="A313" s="58" t="s">
        <v>394</v>
      </c>
      <c r="B313" s="58" t="s">
        <v>391</v>
      </c>
      <c r="C313" s="58"/>
      <c r="D313" s="58"/>
      <c r="E313" s="58"/>
      <c r="F313" s="58"/>
      <c r="G313" s="58"/>
      <c r="H313" s="58"/>
      <c r="I313" s="58"/>
      <c r="J313" s="58"/>
      <c r="K313" s="58"/>
      <c r="L313" s="58" t="s">
        <v>40</v>
      </c>
      <c r="M313" s="17">
        <v>22</v>
      </c>
      <c r="N313" s="58" t="s">
        <v>38</v>
      </c>
      <c r="O313" s="58" t="s">
        <v>418</v>
      </c>
      <c r="P313" s="58"/>
    </row>
    <row r="314" spans="1:16" s="17" customFormat="1" x14ac:dyDescent="0.25">
      <c r="A314" s="17" t="s">
        <v>395</v>
      </c>
      <c r="B314" s="17" t="s">
        <v>396</v>
      </c>
      <c r="L314" s="17" t="s">
        <v>40</v>
      </c>
      <c r="M314" s="17">
        <v>1</v>
      </c>
      <c r="N314" s="17" t="s">
        <v>38</v>
      </c>
      <c r="O314" s="58" t="s">
        <v>419</v>
      </c>
    </row>
    <row r="315" spans="1:16" s="17" customFormat="1" x14ac:dyDescent="0.25">
      <c r="A315" s="58" t="s">
        <v>397</v>
      </c>
      <c r="B315" s="58" t="s">
        <v>391</v>
      </c>
      <c r="C315" s="58"/>
      <c r="D315" s="59"/>
      <c r="E315" s="59"/>
      <c r="F315" s="59"/>
      <c r="G315" s="59"/>
      <c r="H315" s="59"/>
      <c r="I315" s="59"/>
      <c r="J315" s="59"/>
      <c r="K315" s="59"/>
      <c r="L315" s="58" t="s">
        <v>40</v>
      </c>
      <c r="M315" s="17">
        <v>24</v>
      </c>
      <c r="N315" s="17" t="s">
        <v>38</v>
      </c>
      <c r="O315" s="58" t="s">
        <v>420</v>
      </c>
    </row>
    <row r="316" spans="1:16" s="17" customFormat="1" x14ac:dyDescent="0.25">
      <c r="A316" s="58" t="s">
        <v>398</v>
      </c>
      <c r="B316" s="58" t="s">
        <v>396</v>
      </c>
      <c r="C316" s="58"/>
      <c r="D316" s="59"/>
      <c r="E316" s="59"/>
      <c r="F316" s="59"/>
      <c r="G316" s="59"/>
      <c r="H316" s="59"/>
      <c r="I316" s="59"/>
      <c r="J316" s="59"/>
      <c r="K316" s="59"/>
      <c r="L316" s="58" t="s">
        <v>40</v>
      </c>
      <c r="M316" s="17">
        <v>24</v>
      </c>
      <c r="N316" s="17" t="s">
        <v>38</v>
      </c>
      <c r="O316" s="58" t="s">
        <v>420</v>
      </c>
    </row>
    <row r="317" spans="1:16" s="17" customFormat="1" x14ac:dyDescent="0.25">
      <c r="A317" s="58" t="s">
        <v>399</v>
      </c>
      <c r="B317" s="58" t="s">
        <v>391</v>
      </c>
      <c r="C317" s="58"/>
      <c r="D317" s="59"/>
      <c r="E317" s="59"/>
      <c r="F317" s="59"/>
      <c r="G317" s="59"/>
      <c r="H317" s="59"/>
      <c r="I317" s="59"/>
      <c r="J317" s="59"/>
      <c r="K317" s="59"/>
      <c r="L317" s="58" t="s">
        <v>40</v>
      </c>
      <c r="M317" s="17">
        <v>24</v>
      </c>
      <c r="N317" s="17" t="s">
        <v>38</v>
      </c>
      <c r="O317" s="58" t="s">
        <v>420</v>
      </c>
    </row>
    <row r="318" spans="1:16" s="17" customFormat="1" x14ac:dyDescent="0.25">
      <c r="A318" s="58" t="s">
        <v>400</v>
      </c>
      <c r="B318" s="58" t="s">
        <v>391</v>
      </c>
      <c r="C318" s="58"/>
      <c r="D318" s="59"/>
      <c r="E318" s="59"/>
      <c r="F318" s="59"/>
      <c r="G318" s="59"/>
      <c r="H318" s="59"/>
      <c r="I318" s="59"/>
      <c r="J318" s="59"/>
      <c r="K318" s="59"/>
      <c r="L318" s="58" t="s">
        <v>40</v>
      </c>
      <c r="M318" s="17">
        <v>0.4</v>
      </c>
      <c r="N318" s="58" t="s">
        <v>38</v>
      </c>
      <c r="O318" s="58" t="s">
        <v>421</v>
      </c>
    </row>
    <row r="319" spans="1:16" s="17" customFormat="1" x14ac:dyDescent="0.25">
      <c r="A319" s="58" t="s">
        <v>401</v>
      </c>
      <c r="B319" s="58" t="s">
        <v>391</v>
      </c>
      <c r="C319" s="58"/>
      <c r="D319" s="59"/>
      <c r="E319" s="59"/>
      <c r="F319" s="59"/>
      <c r="G319" s="59"/>
      <c r="H319" s="59"/>
      <c r="I319" s="59"/>
      <c r="J319" s="59"/>
      <c r="K319" s="59"/>
      <c r="L319" s="58" t="s">
        <v>40</v>
      </c>
      <c r="M319" s="17">
        <v>0.4</v>
      </c>
      <c r="N319" s="58" t="s">
        <v>38</v>
      </c>
      <c r="O319" s="58" t="s">
        <v>421</v>
      </c>
    </row>
    <row r="320" spans="1:16" s="17" customFormat="1" x14ac:dyDescent="0.25">
      <c r="A320" s="58" t="s">
        <v>402</v>
      </c>
      <c r="B320" s="58" t="s">
        <v>391</v>
      </c>
      <c r="C320" s="58"/>
      <c r="D320" s="59"/>
      <c r="E320" s="59"/>
      <c r="F320" s="59"/>
      <c r="G320" s="59"/>
      <c r="H320" s="59"/>
      <c r="I320" s="59"/>
      <c r="J320" s="59"/>
      <c r="K320" s="59"/>
      <c r="L320" s="58" t="s">
        <v>40</v>
      </c>
      <c r="M320" s="17">
        <v>24</v>
      </c>
      <c r="N320" s="58" t="s">
        <v>38</v>
      </c>
      <c r="O320" s="58" t="s">
        <v>420</v>
      </c>
    </row>
    <row r="321" spans="1:16" s="17" customFormat="1" x14ac:dyDescent="0.25">
      <c r="A321" s="58" t="s">
        <v>403</v>
      </c>
      <c r="B321" s="58" t="s">
        <v>391</v>
      </c>
      <c r="C321" s="58"/>
      <c r="D321" s="59"/>
      <c r="E321" s="59"/>
      <c r="F321" s="59"/>
      <c r="G321" s="59"/>
      <c r="H321" s="59"/>
      <c r="I321" s="59"/>
      <c r="J321" s="59"/>
      <c r="K321" s="59"/>
      <c r="L321" s="58" t="s">
        <v>40</v>
      </c>
      <c r="M321" s="58">
        <v>0</v>
      </c>
      <c r="N321" s="58" t="s">
        <v>38</v>
      </c>
      <c r="O321" s="58" t="s">
        <v>422</v>
      </c>
    </row>
    <row r="322" spans="1:16" s="17" customFormat="1" x14ac:dyDescent="0.25">
      <c r="A322" s="58" t="s">
        <v>404</v>
      </c>
      <c r="B322" s="58" t="s">
        <v>391</v>
      </c>
      <c r="C322" s="58"/>
      <c r="D322" s="59"/>
      <c r="E322" s="59"/>
      <c r="F322" s="59"/>
      <c r="G322" s="59"/>
      <c r="H322" s="59"/>
      <c r="I322" s="59"/>
      <c r="J322" s="59"/>
      <c r="K322" s="59"/>
      <c r="L322" s="58" t="s">
        <v>40</v>
      </c>
      <c r="M322" s="17">
        <v>24</v>
      </c>
      <c r="N322" s="58" t="s">
        <v>38</v>
      </c>
      <c r="O322" s="58" t="s">
        <v>420</v>
      </c>
    </row>
    <row r="323" spans="1:16" s="17" customFormat="1" x14ac:dyDescent="0.25">
      <c r="A323" s="58" t="s">
        <v>405</v>
      </c>
      <c r="B323" s="58" t="s">
        <v>391</v>
      </c>
      <c r="C323" s="58"/>
      <c r="L323" s="58" t="s">
        <v>40</v>
      </c>
      <c r="M323" s="17">
        <v>24</v>
      </c>
      <c r="N323" s="58" t="s">
        <v>38</v>
      </c>
      <c r="O323" s="58" t="s">
        <v>420</v>
      </c>
    </row>
    <row r="325" spans="1:16" x14ac:dyDescent="0.25">
      <c r="A325" s="2" t="s">
        <v>149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45</v>
      </c>
      <c r="K326" s="7"/>
      <c r="L326" s="7" t="s">
        <v>41</v>
      </c>
      <c r="M326" s="7">
        <v>-100</v>
      </c>
      <c r="N326" s="7" t="s">
        <v>46</v>
      </c>
      <c r="O326" s="7" t="s">
        <v>176</v>
      </c>
    </row>
    <row r="327" spans="1:16" x14ac:dyDescent="0.25">
      <c r="I327" s="7"/>
      <c r="J327" s="7" t="s">
        <v>43</v>
      </c>
      <c r="K327" s="7"/>
      <c r="L327" s="7" t="s">
        <v>41</v>
      </c>
      <c r="M327" s="7">
        <v>0</v>
      </c>
      <c r="N327" s="7" t="s">
        <v>38</v>
      </c>
      <c r="O327" s="7" t="s">
        <v>44</v>
      </c>
    </row>
    <row r="328" spans="1:16" x14ac:dyDescent="0.25">
      <c r="A328" s="4" t="s">
        <v>10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177</v>
      </c>
      <c r="I329" t="s">
        <v>87</v>
      </c>
      <c r="J329" t="s">
        <v>43</v>
      </c>
      <c r="L329" t="s">
        <v>41</v>
      </c>
      <c r="M329" s="17">
        <v>5.3</v>
      </c>
      <c r="N329" t="s">
        <v>38</v>
      </c>
      <c r="O329" t="s">
        <v>167</v>
      </c>
      <c r="P329" t="s">
        <v>98</v>
      </c>
    </row>
    <row r="330" spans="1:16" x14ac:dyDescent="0.25">
      <c r="A330" t="s">
        <v>182</v>
      </c>
      <c r="I330" t="s">
        <v>87</v>
      </c>
      <c r="J330" t="s">
        <v>43</v>
      </c>
      <c r="L330" t="s">
        <v>41</v>
      </c>
      <c r="M330" s="40">
        <f>M329</f>
        <v>5.3</v>
      </c>
      <c r="N330" t="s">
        <v>38</v>
      </c>
    </row>
    <row r="331" spans="1:16" x14ac:dyDescent="0.25">
      <c r="A331" t="s">
        <v>178</v>
      </c>
      <c r="I331" t="s">
        <v>87</v>
      </c>
      <c r="J331" t="s">
        <v>43</v>
      </c>
      <c r="L331" t="s">
        <v>41</v>
      </c>
      <c r="M331" s="17">
        <v>4.9000000000000004</v>
      </c>
      <c r="N331" t="s">
        <v>38</v>
      </c>
      <c r="O331" t="s">
        <v>167</v>
      </c>
      <c r="P331" t="s">
        <v>98</v>
      </c>
    </row>
    <row r="332" spans="1:16" x14ac:dyDescent="0.25">
      <c r="A332" t="s">
        <v>183</v>
      </c>
      <c r="I332" t="s">
        <v>87</v>
      </c>
      <c r="J332" t="s">
        <v>43</v>
      </c>
      <c r="L332" t="s">
        <v>41</v>
      </c>
      <c r="M332" s="40">
        <f>M331</f>
        <v>4.9000000000000004</v>
      </c>
      <c r="N332" t="s">
        <v>38</v>
      </c>
    </row>
    <row r="333" spans="1:16" x14ac:dyDescent="0.25">
      <c r="A333" t="s">
        <v>179</v>
      </c>
      <c r="I333" t="s">
        <v>87</v>
      </c>
      <c r="J333" t="s">
        <v>43</v>
      </c>
      <c r="L333" t="s">
        <v>41</v>
      </c>
      <c r="M333" s="17">
        <v>12.7</v>
      </c>
      <c r="N333" t="s">
        <v>38</v>
      </c>
      <c r="O333" t="s">
        <v>167</v>
      </c>
      <c r="P333" t="s">
        <v>98</v>
      </c>
    </row>
    <row r="334" spans="1:16" x14ac:dyDescent="0.25">
      <c r="A334" t="s">
        <v>184</v>
      </c>
      <c r="I334" t="s">
        <v>87</v>
      </c>
      <c r="J334" t="s">
        <v>43</v>
      </c>
      <c r="L334" t="s">
        <v>41</v>
      </c>
      <c r="M334" s="40">
        <f>M333</f>
        <v>12.7</v>
      </c>
      <c r="N334" t="s">
        <v>38</v>
      </c>
    </row>
    <row r="335" spans="1:16" x14ac:dyDescent="0.25">
      <c r="A335" t="s">
        <v>180</v>
      </c>
      <c r="I335" t="s">
        <v>87</v>
      </c>
      <c r="J335" t="s">
        <v>43</v>
      </c>
      <c r="L335" t="s">
        <v>41</v>
      </c>
      <c r="M335" s="17">
        <v>24</v>
      </c>
      <c r="N335" t="s">
        <v>38</v>
      </c>
      <c r="O335" t="s">
        <v>168</v>
      </c>
      <c r="P335" s="26" t="s">
        <v>165</v>
      </c>
    </row>
    <row r="336" spans="1:16" x14ac:dyDescent="0.25">
      <c r="A336" t="s">
        <v>185</v>
      </c>
      <c r="I336" t="s">
        <v>87</v>
      </c>
      <c r="J336" t="s">
        <v>43</v>
      </c>
      <c r="L336" t="s">
        <v>41</v>
      </c>
      <c r="M336" s="40">
        <f>M335</f>
        <v>24</v>
      </c>
      <c r="N336" t="s">
        <v>38</v>
      </c>
      <c r="P336" s="26"/>
    </row>
    <row r="337" spans="1:16" x14ac:dyDescent="0.25">
      <c r="A337" t="s">
        <v>181</v>
      </c>
      <c r="I337" t="s">
        <v>87</v>
      </c>
      <c r="J337" t="s">
        <v>43</v>
      </c>
      <c r="L337" t="s">
        <v>41</v>
      </c>
      <c r="M337" s="6">
        <v>10</v>
      </c>
      <c r="N337" t="s">
        <v>38</v>
      </c>
    </row>
    <row r="338" spans="1:16" x14ac:dyDescent="0.25">
      <c r="A338" t="s">
        <v>186</v>
      </c>
      <c r="I338" t="s">
        <v>87</v>
      </c>
      <c r="J338" t="s">
        <v>43</v>
      </c>
      <c r="L338" t="s">
        <v>41</v>
      </c>
      <c r="M338" s="40">
        <f>M337</f>
        <v>10</v>
      </c>
      <c r="N338" t="s">
        <v>38</v>
      </c>
    </row>
    <row r="339" spans="1:16" s="17" customFormat="1" x14ac:dyDescent="0.25">
      <c r="A339" s="17" t="s">
        <v>411</v>
      </c>
      <c r="I339" s="17" t="s">
        <v>87</v>
      </c>
      <c r="J339" s="17" t="s">
        <v>43</v>
      </c>
      <c r="L339" s="17" t="s">
        <v>41</v>
      </c>
      <c r="M339" s="17">
        <v>0</v>
      </c>
      <c r="N339" s="17" t="s">
        <v>38</v>
      </c>
      <c r="O339" s="17" t="s">
        <v>443</v>
      </c>
    </row>
    <row r="340" spans="1:16" x14ac:dyDescent="0.25">
      <c r="A340" s="4" t="s">
        <v>11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99</v>
      </c>
      <c r="I341" t="s">
        <v>87</v>
      </c>
      <c r="J341" t="s">
        <v>43</v>
      </c>
      <c r="L341" t="s">
        <v>41</v>
      </c>
      <c r="M341" s="17">
        <v>12</v>
      </c>
      <c r="N341" t="s">
        <v>38</v>
      </c>
      <c r="P341" s="26" t="s">
        <v>165</v>
      </c>
    </row>
    <row r="342" spans="1:16" x14ac:dyDescent="0.25">
      <c r="A342" s="17" t="s">
        <v>100</v>
      </c>
      <c r="I342" t="s">
        <v>87</v>
      </c>
      <c r="J342" t="s">
        <v>43</v>
      </c>
      <c r="L342" t="s">
        <v>41</v>
      </c>
      <c r="M342" s="17">
        <v>12</v>
      </c>
      <c r="N342" t="s">
        <v>38</v>
      </c>
      <c r="P342" s="26" t="s">
        <v>165</v>
      </c>
    </row>
    <row r="343" spans="1:16" x14ac:dyDescent="0.25">
      <c r="A343" s="17" t="s">
        <v>207</v>
      </c>
      <c r="I343" t="s">
        <v>87</v>
      </c>
      <c r="J343" t="s">
        <v>43</v>
      </c>
      <c r="L343" t="s">
        <v>41</v>
      </c>
      <c r="M343" s="17">
        <v>0</v>
      </c>
      <c r="N343" t="s">
        <v>38</v>
      </c>
    </row>
    <row r="344" spans="1:16" x14ac:dyDescent="0.25">
      <c r="A344" s="17" t="s">
        <v>101</v>
      </c>
      <c r="I344" t="s">
        <v>87</v>
      </c>
      <c r="J344" t="s">
        <v>43</v>
      </c>
      <c r="L344" t="s">
        <v>41</v>
      </c>
      <c r="M344" s="17">
        <v>0</v>
      </c>
      <c r="N344" t="s">
        <v>38</v>
      </c>
    </row>
    <row r="345" spans="1:16" x14ac:dyDescent="0.25">
      <c r="A345" s="4" t="s">
        <v>12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133</v>
      </c>
      <c r="I346" t="s">
        <v>87</v>
      </c>
      <c r="J346" t="s">
        <v>43</v>
      </c>
      <c r="L346" t="s">
        <v>41</v>
      </c>
      <c r="M346" s="17">
        <v>25</v>
      </c>
      <c r="N346" t="s">
        <v>38</v>
      </c>
      <c r="O346" t="s">
        <v>170</v>
      </c>
      <c r="P346" s="26" t="s">
        <v>165</v>
      </c>
    </row>
    <row r="347" spans="1:16" s="17" customFormat="1" x14ac:dyDescent="0.25">
      <c r="A347" s="17" t="s">
        <v>375</v>
      </c>
      <c r="I347" s="17" t="s">
        <v>87</v>
      </c>
      <c r="J347" s="17" t="s">
        <v>43</v>
      </c>
      <c r="L347" s="17" t="s">
        <v>41</v>
      </c>
      <c r="M347" s="17">
        <v>25</v>
      </c>
      <c r="N347" s="17" t="s">
        <v>38</v>
      </c>
      <c r="O347" s="17" t="s">
        <v>423</v>
      </c>
      <c r="P347" s="17" t="s">
        <v>165</v>
      </c>
    </row>
    <row r="348" spans="1:16" x14ac:dyDescent="0.25">
      <c r="A348" s="17" t="s">
        <v>139</v>
      </c>
      <c r="I348" t="s">
        <v>87</v>
      </c>
      <c r="J348" t="s">
        <v>43</v>
      </c>
      <c r="L348" t="s">
        <v>41</v>
      </c>
      <c r="M348" s="17">
        <v>13</v>
      </c>
      <c r="N348" t="s">
        <v>38</v>
      </c>
      <c r="O348" t="s">
        <v>171</v>
      </c>
      <c r="P348" s="26" t="s">
        <v>165</v>
      </c>
    </row>
    <row r="349" spans="1:16" x14ac:dyDescent="0.25">
      <c r="A349" s="17" t="s">
        <v>136</v>
      </c>
      <c r="I349" t="s">
        <v>87</v>
      </c>
      <c r="J349" t="s">
        <v>43</v>
      </c>
      <c r="L349" t="s">
        <v>41</v>
      </c>
      <c r="M349" s="17">
        <v>19</v>
      </c>
      <c r="N349" t="s">
        <v>38</v>
      </c>
      <c r="O349" t="s">
        <v>169</v>
      </c>
      <c r="P349" s="26" t="s">
        <v>165</v>
      </c>
    </row>
    <row r="350" spans="1:16" x14ac:dyDescent="0.25">
      <c r="A350" s="17" t="s">
        <v>107</v>
      </c>
      <c r="I350" t="s">
        <v>87</v>
      </c>
      <c r="J350" t="s">
        <v>43</v>
      </c>
      <c r="L350" t="s">
        <v>41</v>
      </c>
      <c r="M350" s="17">
        <v>9</v>
      </c>
      <c r="N350" t="s">
        <v>38</v>
      </c>
      <c r="O350" t="s">
        <v>173</v>
      </c>
      <c r="P350" s="26" t="s">
        <v>165</v>
      </c>
    </row>
    <row r="351" spans="1:16" x14ac:dyDescent="0.25">
      <c r="A351" s="17" t="s">
        <v>110</v>
      </c>
      <c r="I351" t="s">
        <v>87</v>
      </c>
      <c r="J351" t="s">
        <v>43</v>
      </c>
      <c r="L351" t="s">
        <v>41</v>
      </c>
      <c r="M351" s="17">
        <v>11</v>
      </c>
      <c r="N351" t="s">
        <v>38</v>
      </c>
      <c r="O351" s="26" t="s">
        <v>172</v>
      </c>
      <c r="P351" s="26" t="s">
        <v>165</v>
      </c>
    </row>
    <row r="352" spans="1:16" x14ac:dyDescent="0.25">
      <c r="A352" s="17" t="s">
        <v>146</v>
      </c>
      <c r="I352" t="s">
        <v>87</v>
      </c>
      <c r="J352" t="s">
        <v>43</v>
      </c>
      <c r="L352" t="s">
        <v>41</v>
      </c>
      <c r="M352" s="6">
        <f>AVERAGE(M348:M351)</f>
        <v>13</v>
      </c>
      <c r="N352" t="s">
        <v>38</v>
      </c>
      <c r="O352" s="26"/>
      <c r="P352" s="26"/>
    </row>
    <row r="353" spans="1:16" x14ac:dyDescent="0.25">
      <c r="A353" s="4" t="s">
        <v>13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239</v>
      </c>
      <c r="J354" t="s">
        <v>43</v>
      </c>
      <c r="L354" t="s">
        <v>41</v>
      </c>
      <c r="M354" s="17">
        <v>7.9</v>
      </c>
      <c r="N354" s="17" t="s">
        <v>38</v>
      </c>
      <c r="O354" t="s">
        <v>244</v>
      </c>
      <c r="P354" t="s">
        <v>165</v>
      </c>
    </row>
    <row r="355" spans="1:16" x14ac:dyDescent="0.25">
      <c r="A355" s="17" t="s">
        <v>240</v>
      </c>
      <c r="J355" t="s">
        <v>43</v>
      </c>
      <c r="L355" t="s">
        <v>41</v>
      </c>
      <c r="M355" s="17">
        <v>7.9</v>
      </c>
      <c r="N355" s="17" t="s">
        <v>38</v>
      </c>
      <c r="O355" t="s">
        <v>244</v>
      </c>
      <c r="P355" t="s">
        <v>165</v>
      </c>
    </row>
    <row r="356" spans="1:16" x14ac:dyDescent="0.25">
      <c r="A356" s="17" t="s">
        <v>241</v>
      </c>
      <c r="J356" t="s">
        <v>43</v>
      </c>
      <c r="L356" t="s">
        <v>41</v>
      </c>
      <c r="M356" s="17">
        <v>7.9</v>
      </c>
      <c r="N356" s="17" t="s">
        <v>38</v>
      </c>
      <c r="O356" t="s">
        <v>244</v>
      </c>
      <c r="P356" t="s">
        <v>165</v>
      </c>
    </row>
    <row r="357" spans="1:16" x14ac:dyDescent="0.25">
      <c r="A357" s="17" t="s">
        <v>243</v>
      </c>
      <c r="J357" t="s">
        <v>43</v>
      </c>
      <c r="L357" t="s">
        <v>41</v>
      </c>
      <c r="M357" s="17">
        <v>7.9</v>
      </c>
      <c r="N357" s="17" t="s">
        <v>38</v>
      </c>
      <c r="O357" t="s">
        <v>244</v>
      </c>
      <c r="P357" t="s">
        <v>165</v>
      </c>
    </row>
    <row r="358" spans="1:16" x14ac:dyDescent="0.25">
      <c r="A358" s="4" t="s">
        <v>14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81</v>
      </c>
      <c r="I359" t="s">
        <v>87</v>
      </c>
      <c r="J359" t="s">
        <v>43</v>
      </c>
      <c r="L359" t="s">
        <v>41</v>
      </c>
      <c r="M359" s="29">
        <v>15.75</v>
      </c>
      <c r="N359" t="s">
        <v>38</v>
      </c>
      <c r="O359" t="s">
        <v>166</v>
      </c>
      <c r="P359" t="s">
        <v>94</v>
      </c>
    </row>
    <row r="360" spans="1:16" x14ac:dyDescent="0.25">
      <c r="A360" s="4" t="s">
        <v>23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54</v>
      </c>
      <c r="I361" t="s">
        <v>87</v>
      </c>
      <c r="J361" t="s">
        <v>43</v>
      </c>
      <c r="L361" t="s">
        <v>41</v>
      </c>
      <c r="M361" s="6">
        <v>2.2999999999999998</v>
      </c>
      <c r="N361" t="s">
        <v>38</v>
      </c>
      <c r="O361" t="s">
        <v>323</v>
      </c>
    </row>
    <row r="362" spans="1:16" x14ac:dyDescent="0.25">
      <c r="A362" t="s">
        <v>95</v>
      </c>
      <c r="I362" t="s">
        <v>87</v>
      </c>
      <c r="J362" t="s">
        <v>43</v>
      </c>
      <c r="L362" t="s">
        <v>41</v>
      </c>
      <c r="M362" s="6">
        <v>18.100000000000001</v>
      </c>
      <c r="N362" t="s">
        <v>38</v>
      </c>
      <c r="O362" t="s">
        <v>323</v>
      </c>
    </row>
    <row r="363" spans="1:16" x14ac:dyDescent="0.25">
      <c r="A363" t="s">
        <v>343</v>
      </c>
      <c r="I363" t="s">
        <v>87</v>
      </c>
      <c r="J363" t="s">
        <v>43</v>
      </c>
      <c r="L363" t="s">
        <v>41</v>
      </c>
      <c r="M363" s="6">
        <v>21</v>
      </c>
      <c r="N363" t="s">
        <v>38</v>
      </c>
      <c r="O363" t="s">
        <v>323</v>
      </c>
    </row>
    <row r="364" spans="1:16" x14ac:dyDescent="0.25">
      <c r="A364" t="s">
        <v>265</v>
      </c>
      <c r="I364" t="s">
        <v>87</v>
      </c>
      <c r="J364" t="s">
        <v>43</v>
      </c>
      <c r="L364" t="s">
        <v>41</v>
      </c>
      <c r="M364" s="6">
        <v>0.95</v>
      </c>
      <c r="N364" t="s">
        <v>38</v>
      </c>
      <c r="O364" t="s">
        <v>323</v>
      </c>
    </row>
    <row r="365" spans="1:16" x14ac:dyDescent="0.25">
      <c r="A365" t="s">
        <v>453</v>
      </c>
      <c r="I365" t="s">
        <v>87</v>
      </c>
      <c r="J365" t="s">
        <v>43</v>
      </c>
      <c r="L365" t="s">
        <v>40</v>
      </c>
      <c r="M365" s="22">
        <f>M361*0.6+M362*0.4</f>
        <v>8.620000000000001</v>
      </c>
      <c r="N365" t="s">
        <v>38</v>
      </c>
      <c r="O365" t="s">
        <v>459</v>
      </c>
    </row>
    <row r="366" spans="1:16" x14ac:dyDescent="0.25">
      <c r="A366" t="s">
        <v>454</v>
      </c>
      <c r="I366" t="s">
        <v>87</v>
      </c>
      <c r="J366" t="s">
        <v>43</v>
      </c>
      <c r="L366" t="s">
        <v>40</v>
      </c>
      <c r="M366" s="22">
        <f>M361*0.6+M362*0.4</f>
        <v>8.620000000000001</v>
      </c>
      <c r="N366" t="s">
        <v>38</v>
      </c>
      <c r="O366" t="s">
        <v>460</v>
      </c>
    </row>
    <row r="367" spans="1:16" x14ac:dyDescent="0.25">
      <c r="A367" s="4" t="s">
        <v>15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15</v>
      </c>
      <c r="I368" t="s">
        <v>87</v>
      </c>
      <c r="J368" t="s">
        <v>43</v>
      </c>
      <c r="L368" t="s">
        <v>41</v>
      </c>
      <c r="M368" s="6">
        <v>16.5</v>
      </c>
      <c r="N368" t="s">
        <v>38</v>
      </c>
      <c r="O368" s="6" t="s">
        <v>326</v>
      </c>
      <c r="P368" s="26" t="s">
        <v>213</v>
      </c>
    </row>
    <row r="369" spans="1:16" s="17" customFormat="1" x14ac:dyDescent="0.25">
      <c r="A369" s="17" t="s">
        <v>378</v>
      </c>
      <c r="I369" s="17" t="s">
        <v>87</v>
      </c>
      <c r="J369" s="17" t="s">
        <v>43</v>
      </c>
      <c r="L369" s="17" t="s">
        <v>41</v>
      </c>
      <c r="M369" s="17">
        <v>16.5</v>
      </c>
      <c r="N369" s="17" t="s">
        <v>38</v>
      </c>
    </row>
    <row r="370" spans="1:16" x14ac:dyDescent="0.25">
      <c r="A370" s="4" t="s">
        <v>20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205</v>
      </c>
      <c r="J371" t="s">
        <v>43</v>
      </c>
      <c r="L371" t="s">
        <v>41</v>
      </c>
      <c r="M371">
        <v>34.200000000000003</v>
      </c>
      <c r="N371" t="s">
        <v>38</v>
      </c>
      <c r="O371" t="s">
        <v>212</v>
      </c>
      <c r="P371" s="26" t="s">
        <v>213</v>
      </c>
    </row>
    <row r="372" spans="1:16" s="17" customFormat="1" x14ac:dyDescent="0.25">
      <c r="A372" s="53" t="s">
        <v>21</v>
      </c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5"/>
      <c r="M372" s="55"/>
      <c r="N372" s="55"/>
      <c r="O372" s="55"/>
      <c r="P372" s="55"/>
    </row>
    <row r="373" spans="1:16" s="17" customFormat="1" x14ac:dyDescent="0.25">
      <c r="A373" s="17" t="s">
        <v>382</v>
      </c>
      <c r="I373" s="17" t="s">
        <v>87</v>
      </c>
      <c r="J373" s="17" t="s">
        <v>43</v>
      </c>
      <c r="L373" s="17" t="s">
        <v>41</v>
      </c>
      <c r="M373" s="17">
        <v>0</v>
      </c>
      <c r="N373" s="17" t="s">
        <v>38</v>
      </c>
      <c r="O373" s="17" t="s">
        <v>424</v>
      </c>
    </row>
    <row r="374" spans="1:16" s="17" customFormat="1" x14ac:dyDescent="0.25">
      <c r="A374" s="17" t="s">
        <v>384</v>
      </c>
      <c r="I374" s="17" t="s">
        <v>87</v>
      </c>
      <c r="J374" s="17" t="s">
        <v>43</v>
      </c>
      <c r="L374" s="17" t="s">
        <v>41</v>
      </c>
      <c r="M374" s="17">
        <v>0</v>
      </c>
      <c r="N374" s="17" t="s">
        <v>38</v>
      </c>
      <c r="O374" s="17" t="s">
        <v>424</v>
      </c>
    </row>
    <row r="375" spans="1:16" s="17" customFormat="1" x14ac:dyDescent="0.25">
      <c r="A375" s="53" t="s">
        <v>385</v>
      </c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</row>
    <row r="376" spans="1:16" s="17" customFormat="1" x14ac:dyDescent="0.25">
      <c r="A376" s="17" t="s">
        <v>386</v>
      </c>
      <c r="I376" s="17" t="s">
        <v>87</v>
      </c>
      <c r="J376" s="17" t="s">
        <v>43</v>
      </c>
      <c r="L376" s="17" t="s">
        <v>41</v>
      </c>
      <c r="M376" s="17">
        <v>0</v>
      </c>
      <c r="N376" s="17" t="s">
        <v>38</v>
      </c>
      <c r="O376" s="17" t="s">
        <v>425</v>
      </c>
    </row>
    <row r="377" spans="1:16" x14ac:dyDescent="0.25">
      <c r="A377" s="4" t="s">
        <v>22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124</v>
      </c>
      <c r="I378" t="s">
        <v>87</v>
      </c>
      <c r="J378" t="s">
        <v>43</v>
      </c>
      <c r="L378" t="s">
        <v>41</v>
      </c>
      <c r="M378" s="23">
        <v>1</v>
      </c>
      <c r="N378" t="s">
        <v>38</v>
      </c>
    </row>
    <row r="379" spans="1:16" s="17" customFormat="1" x14ac:dyDescent="0.25">
      <c r="A379" s="58" t="s">
        <v>388</v>
      </c>
      <c r="B379" s="58"/>
      <c r="C379" s="58"/>
      <c r="D379" s="58"/>
      <c r="E379" s="58"/>
      <c r="F379" s="58"/>
      <c r="G379" s="58"/>
      <c r="H379" s="58"/>
      <c r="I379" s="58" t="s">
        <v>87</v>
      </c>
      <c r="J379" s="58" t="s">
        <v>43</v>
      </c>
      <c r="K379" s="58"/>
      <c r="L379" s="58" t="s">
        <v>41</v>
      </c>
      <c r="M379" s="60">
        <v>1</v>
      </c>
      <c r="N379" s="58" t="s">
        <v>38</v>
      </c>
    </row>
    <row r="380" spans="1:16" x14ac:dyDescent="0.25">
      <c r="A380" s="4" t="s">
        <v>29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225</v>
      </c>
      <c r="J381" t="s">
        <v>43</v>
      </c>
      <c r="L381" t="s">
        <v>41</v>
      </c>
      <c r="M381" s="17">
        <v>24.7</v>
      </c>
      <c r="N381" t="s">
        <v>38</v>
      </c>
      <c r="O381" t="s">
        <v>233</v>
      </c>
      <c r="P381" s="26" t="s">
        <v>165</v>
      </c>
    </row>
    <row r="382" spans="1:16" x14ac:dyDescent="0.25">
      <c r="A382" t="s">
        <v>228</v>
      </c>
      <c r="J382" t="s">
        <v>43</v>
      </c>
      <c r="L382" t="s">
        <v>41</v>
      </c>
      <c r="M382" s="17">
        <v>8</v>
      </c>
      <c r="N382" t="s">
        <v>38</v>
      </c>
      <c r="O382" t="s">
        <v>164</v>
      </c>
      <c r="P382" s="26" t="s">
        <v>165</v>
      </c>
    </row>
    <row r="383" spans="1:16" x14ac:dyDescent="0.25">
      <c r="A383" t="s">
        <v>226</v>
      </c>
      <c r="J383" t="s">
        <v>43</v>
      </c>
      <c r="L383" t="s">
        <v>41</v>
      </c>
      <c r="M383">
        <v>7.9</v>
      </c>
      <c r="N383" t="s">
        <v>38</v>
      </c>
      <c r="O383" t="s">
        <v>246</v>
      </c>
      <c r="P383" s="26" t="s">
        <v>165</v>
      </c>
    </row>
    <row r="384" spans="1:16" x14ac:dyDescent="0.25">
      <c r="A384" t="s">
        <v>229</v>
      </c>
      <c r="J384" t="s">
        <v>43</v>
      </c>
      <c r="L384" t="s">
        <v>41</v>
      </c>
      <c r="M384">
        <v>4.7</v>
      </c>
      <c r="N384" t="s">
        <v>38</v>
      </c>
      <c r="O384" t="s">
        <v>234</v>
      </c>
      <c r="P384" s="26" t="s">
        <v>165</v>
      </c>
    </row>
    <row r="385" spans="1:16" x14ac:dyDescent="0.25">
      <c r="A385" s="4" t="s">
        <v>33</v>
      </c>
      <c r="B385" s="4"/>
      <c r="C385" s="4"/>
      <c r="D385" s="4"/>
      <c r="E385" s="48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8" t="s">
        <v>390</v>
      </c>
      <c r="B386" s="58"/>
      <c r="C386" s="58"/>
      <c r="D386" s="59"/>
      <c r="E386" s="59"/>
      <c r="F386" s="59"/>
      <c r="G386" s="59"/>
      <c r="H386" s="59"/>
      <c r="I386" s="59"/>
      <c r="J386" s="58" t="s">
        <v>43</v>
      </c>
      <c r="K386" s="59"/>
      <c r="L386" s="17" t="s">
        <v>41</v>
      </c>
      <c r="M386" s="17">
        <v>34.200000000000003</v>
      </c>
      <c r="N386" s="58" t="s">
        <v>38</v>
      </c>
      <c r="O386" s="58" t="s">
        <v>415</v>
      </c>
    </row>
    <row r="387" spans="1:16" s="17" customFormat="1" x14ac:dyDescent="0.25">
      <c r="A387" s="58" t="s">
        <v>394</v>
      </c>
      <c r="B387" s="58"/>
      <c r="C387" s="58"/>
      <c r="D387" s="58"/>
      <c r="E387" s="58"/>
      <c r="F387" s="58"/>
      <c r="G387" s="58"/>
      <c r="H387" s="58"/>
      <c r="I387" s="58"/>
      <c r="J387" s="58" t="s">
        <v>43</v>
      </c>
      <c r="K387" s="58"/>
      <c r="L387" s="17" t="s">
        <v>41</v>
      </c>
      <c r="M387" s="17">
        <v>5.3</v>
      </c>
      <c r="N387" s="17" t="s">
        <v>38</v>
      </c>
      <c r="O387" s="58" t="s">
        <v>418</v>
      </c>
    </row>
    <row r="388" spans="1:16" s="17" customFormat="1" x14ac:dyDescent="0.25">
      <c r="A388" s="17" t="s">
        <v>395</v>
      </c>
      <c r="J388" s="17" t="s">
        <v>43</v>
      </c>
      <c r="L388" s="17" t="s">
        <v>41</v>
      </c>
      <c r="M388" s="17">
        <v>24</v>
      </c>
      <c r="N388" s="17" t="s">
        <v>38</v>
      </c>
      <c r="O388" s="58" t="s">
        <v>419</v>
      </c>
    </row>
    <row r="391" spans="1:16" x14ac:dyDescent="0.25">
      <c r="A391" s="2" t="s">
        <v>58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85</v>
      </c>
      <c r="M392" s="7">
        <v>0</v>
      </c>
      <c r="N392" s="7" t="s">
        <v>38</v>
      </c>
      <c r="O392" s="7" t="s">
        <v>44</v>
      </c>
    </row>
    <row r="393" spans="1:16" x14ac:dyDescent="0.25">
      <c r="L393" s="7" t="s">
        <v>86</v>
      </c>
      <c r="M393" s="7">
        <v>0</v>
      </c>
      <c r="N393" s="7" t="s">
        <v>38</v>
      </c>
      <c r="O393" s="7" t="s">
        <v>44</v>
      </c>
    </row>
    <row r="394" spans="1:16" x14ac:dyDescent="0.25">
      <c r="A394" s="4" t="s">
        <v>10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177</v>
      </c>
      <c r="D395" t="s">
        <v>37</v>
      </c>
      <c r="L395" t="s">
        <v>85</v>
      </c>
      <c r="M395">
        <v>79</v>
      </c>
      <c r="N395" t="s">
        <v>38</v>
      </c>
      <c r="P395" t="s">
        <v>92</v>
      </c>
    </row>
    <row r="396" spans="1:16" x14ac:dyDescent="0.25">
      <c r="A396" t="s">
        <v>177</v>
      </c>
      <c r="D396" t="s">
        <v>37</v>
      </c>
      <c r="H396" t="s">
        <v>351</v>
      </c>
      <c r="L396" t="s">
        <v>86</v>
      </c>
      <c r="M396">
        <f>19+2</f>
        <v>21</v>
      </c>
      <c r="N396" t="s">
        <v>38</v>
      </c>
      <c r="O396" t="s">
        <v>353</v>
      </c>
      <c r="P396" t="s">
        <v>92</v>
      </c>
    </row>
    <row r="397" spans="1:16" x14ac:dyDescent="0.25">
      <c r="A397" t="s">
        <v>182</v>
      </c>
      <c r="D397" t="s">
        <v>37</v>
      </c>
      <c r="L397" t="s">
        <v>85</v>
      </c>
      <c r="M397">
        <v>95</v>
      </c>
      <c r="N397" t="s">
        <v>38</v>
      </c>
      <c r="P397" s="6" t="s">
        <v>350</v>
      </c>
    </row>
    <row r="398" spans="1:16" x14ac:dyDescent="0.25">
      <c r="A398" t="s">
        <v>182</v>
      </c>
      <c r="D398" t="s">
        <v>37</v>
      </c>
      <c r="H398" t="s">
        <v>351</v>
      </c>
      <c r="L398" t="s">
        <v>86</v>
      </c>
      <c r="M398">
        <v>5</v>
      </c>
      <c r="N398" t="s">
        <v>38</v>
      </c>
      <c r="O398" t="s">
        <v>352</v>
      </c>
      <c r="P398" s="6" t="s">
        <v>350</v>
      </c>
    </row>
    <row r="399" spans="1:16" x14ac:dyDescent="0.25">
      <c r="A399" s="8" t="s">
        <v>178</v>
      </c>
      <c r="B399" s="8"/>
      <c r="C399" s="8"/>
      <c r="D399" s="8" t="s">
        <v>48</v>
      </c>
      <c r="E399" s="8"/>
      <c r="F399" s="8"/>
      <c r="G399" s="8"/>
      <c r="H399" s="8"/>
      <c r="I399" s="8"/>
      <c r="J399" s="8"/>
      <c r="K399" s="8"/>
      <c r="L399" t="s">
        <v>85</v>
      </c>
      <c r="M399" s="8">
        <v>72</v>
      </c>
      <c r="N399" s="8" t="s">
        <v>38</v>
      </c>
      <c r="O399" s="8"/>
      <c r="P399" t="s">
        <v>92</v>
      </c>
    </row>
    <row r="400" spans="1:16" x14ac:dyDescent="0.25">
      <c r="A400" s="8" t="s">
        <v>178</v>
      </c>
      <c r="B400" s="8"/>
      <c r="C400" s="8"/>
      <c r="D400" s="8" t="s">
        <v>48</v>
      </c>
      <c r="E400" s="8"/>
      <c r="F400" s="8"/>
      <c r="G400" s="8"/>
      <c r="H400" t="s">
        <v>351</v>
      </c>
      <c r="I400" s="8"/>
      <c r="J400" s="8"/>
      <c r="K400" s="8"/>
      <c r="L400" t="s">
        <v>86</v>
      </c>
      <c r="M400" s="8">
        <v>19</v>
      </c>
      <c r="N400" s="8" t="s">
        <v>38</v>
      </c>
      <c r="O400" s="8" t="s">
        <v>354</v>
      </c>
      <c r="P400" t="s">
        <v>92</v>
      </c>
    </row>
    <row r="401" spans="1:16" x14ac:dyDescent="0.25">
      <c r="A401" s="8" t="s">
        <v>183</v>
      </c>
      <c r="B401" s="8"/>
      <c r="C401" s="8"/>
      <c r="D401" s="8" t="s">
        <v>48</v>
      </c>
      <c r="E401" s="8"/>
      <c r="F401" s="8"/>
      <c r="G401" s="8"/>
      <c r="H401" s="8"/>
      <c r="I401" s="8"/>
      <c r="J401" s="8"/>
      <c r="K401" s="8"/>
      <c r="L401" t="s">
        <v>85</v>
      </c>
      <c r="M401" s="9">
        <v>91</v>
      </c>
      <c r="N401" s="8" t="s">
        <v>38</v>
      </c>
      <c r="O401" s="8"/>
      <c r="P401" t="s">
        <v>92</v>
      </c>
    </row>
    <row r="402" spans="1:16" x14ac:dyDescent="0.25">
      <c r="A402" s="8" t="s">
        <v>183</v>
      </c>
      <c r="B402" s="8"/>
      <c r="C402" s="8"/>
      <c r="D402" s="8" t="s">
        <v>48</v>
      </c>
      <c r="E402" s="8"/>
      <c r="F402" s="8"/>
      <c r="G402" s="8"/>
      <c r="H402" t="s">
        <v>351</v>
      </c>
      <c r="I402" s="8"/>
      <c r="J402" s="8"/>
      <c r="K402" s="8"/>
      <c r="L402" t="s">
        <v>86</v>
      </c>
      <c r="M402" s="9">
        <v>9</v>
      </c>
      <c r="N402" s="9" t="s">
        <v>38</v>
      </c>
      <c r="O402" s="8" t="s">
        <v>355</v>
      </c>
      <c r="P402" t="s">
        <v>92</v>
      </c>
    </row>
    <row r="403" spans="1:16" x14ac:dyDescent="0.25">
      <c r="A403" t="s">
        <v>179</v>
      </c>
      <c r="B403" s="8"/>
      <c r="C403" s="8"/>
      <c r="D403" s="9" t="s">
        <v>90</v>
      </c>
      <c r="E403" s="9"/>
      <c r="F403" s="8"/>
      <c r="G403" s="8"/>
      <c r="H403" s="8"/>
      <c r="I403" s="8"/>
      <c r="J403" s="8"/>
      <c r="K403" s="8"/>
      <c r="L403" t="s">
        <v>85</v>
      </c>
      <c r="M403" s="9">
        <v>80</v>
      </c>
      <c r="N403" s="9" t="s">
        <v>38</v>
      </c>
      <c r="O403" s="8"/>
      <c r="P403" t="s">
        <v>92</v>
      </c>
    </row>
    <row r="404" spans="1:16" x14ac:dyDescent="0.25">
      <c r="A404" t="s">
        <v>179</v>
      </c>
      <c r="B404" s="8"/>
      <c r="C404" s="8"/>
      <c r="D404" s="9" t="s">
        <v>90</v>
      </c>
      <c r="E404" s="9"/>
      <c r="F404" s="8"/>
      <c r="G404" s="8"/>
      <c r="H404" t="s">
        <v>351</v>
      </c>
      <c r="I404" s="8"/>
      <c r="J404" s="8"/>
      <c r="K404" s="8"/>
      <c r="L404" t="s">
        <v>86</v>
      </c>
      <c r="M404" s="9">
        <v>20</v>
      </c>
      <c r="N404" s="9" t="s">
        <v>38</v>
      </c>
      <c r="O404" s="8" t="s">
        <v>356</v>
      </c>
      <c r="P404" t="s">
        <v>92</v>
      </c>
    </row>
    <row r="405" spans="1:16" x14ac:dyDescent="0.25">
      <c r="A405" t="s">
        <v>184</v>
      </c>
      <c r="B405" s="8"/>
      <c r="C405" s="8"/>
      <c r="D405" s="9" t="s">
        <v>90</v>
      </c>
      <c r="E405" s="9"/>
      <c r="F405" s="8"/>
      <c r="G405" s="8"/>
      <c r="H405" s="9"/>
      <c r="I405" s="8"/>
      <c r="J405" s="8"/>
      <c r="K405" s="8"/>
      <c r="L405" t="s">
        <v>85</v>
      </c>
      <c r="M405" s="9">
        <v>100</v>
      </c>
      <c r="N405" s="9" t="s">
        <v>38</v>
      </c>
      <c r="O405" s="8"/>
      <c r="P405" t="s">
        <v>92</v>
      </c>
    </row>
    <row r="406" spans="1:16" x14ac:dyDescent="0.25">
      <c r="A406" t="s">
        <v>180</v>
      </c>
      <c r="B406" s="8"/>
      <c r="C406" s="8"/>
      <c r="D406" s="9" t="s">
        <v>91</v>
      </c>
      <c r="E406" s="9"/>
      <c r="F406" s="8"/>
      <c r="G406" s="8"/>
      <c r="H406" s="8"/>
      <c r="I406" s="8"/>
      <c r="J406" s="8"/>
      <c r="K406" s="8"/>
      <c r="L406" t="s">
        <v>85</v>
      </c>
      <c r="M406" s="9">
        <v>53</v>
      </c>
      <c r="N406" s="9" t="s">
        <v>38</v>
      </c>
      <c r="O406" s="8"/>
      <c r="P406" t="s">
        <v>92</v>
      </c>
    </row>
    <row r="407" spans="1:16" x14ac:dyDescent="0.25">
      <c r="A407" t="s">
        <v>180</v>
      </c>
      <c r="B407" s="8"/>
      <c r="C407" s="8"/>
      <c r="D407" s="9" t="s">
        <v>91</v>
      </c>
      <c r="E407" s="9"/>
      <c r="F407" s="8"/>
      <c r="G407" s="8"/>
      <c r="H407" t="s">
        <v>358</v>
      </c>
      <c r="I407" s="8"/>
      <c r="J407" s="8"/>
      <c r="K407" s="8"/>
      <c r="L407" t="s">
        <v>86</v>
      </c>
      <c r="M407" s="9">
        <f>20+27</f>
        <v>47</v>
      </c>
      <c r="N407" s="9" t="s">
        <v>38</v>
      </c>
      <c r="O407" s="19" t="s">
        <v>357</v>
      </c>
      <c r="P407" t="s">
        <v>92</v>
      </c>
    </row>
    <row r="408" spans="1:16" x14ac:dyDescent="0.25">
      <c r="A408" t="s">
        <v>185</v>
      </c>
      <c r="B408" s="8"/>
      <c r="C408" s="8"/>
      <c r="D408" s="9" t="s">
        <v>91</v>
      </c>
      <c r="E408" s="9"/>
      <c r="F408" s="8"/>
      <c r="G408" s="8"/>
      <c r="H408" s="9"/>
      <c r="I408" s="8"/>
      <c r="J408" s="8"/>
      <c r="K408" s="8"/>
      <c r="L408" t="s">
        <v>85</v>
      </c>
      <c r="M408" s="9">
        <v>73</v>
      </c>
      <c r="N408" s="9" t="s">
        <v>38</v>
      </c>
      <c r="O408" s="8"/>
      <c r="P408" t="s">
        <v>92</v>
      </c>
    </row>
    <row r="409" spans="1:16" x14ac:dyDescent="0.25">
      <c r="A409" t="s">
        <v>185</v>
      </c>
      <c r="B409" s="8"/>
      <c r="C409" s="8"/>
      <c r="D409" s="9" t="s">
        <v>91</v>
      </c>
      <c r="E409" s="9"/>
      <c r="F409" s="8"/>
      <c r="G409" s="8"/>
      <c r="H409" t="s">
        <v>358</v>
      </c>
      <c r="I409" s="8"/>
      <c r="J409" s="8"/>
      <c r="K409" s="8"/>
      <c r="L409" t="s">
        <v>86</v>
      </c>
      <c r="M409" s="9">
        <v>27</v>
      </c>
      <c r="N409" s="9" t="s">
        <v>38</v>
      </c>
      <c r="O409" s="8" t="s">
        <v>359</v>
      </c>
      <c r="P409" t="s">
        <v>92</v>
      </c>
    </row>
    <row r="410" spans="1:16" x14ac:dyDescent="0.25">
      <c r="A410" t="s">
        <v>287</v>
      </c>
      <c r="B410" s="10"/>
      <c r="C410" s="10"/>
      <c r="D410" s="9" t="s">
        <v>37</v>
      </c>
      <c r="E410" s="9"/>
      <c r="F410" s="10"/>
      <c r="G410" s="10"/>
      <c r="H410" s="10"/>
      <c r="I410" s="10"/>
      <c r="J410" s="10"/>
      <c r="K410" s="10"/>
      <c r="L410" t="s">
        <v>85</v>
      </c>
      <c r="M410" s="20">
        <v>100</v>
      </c>
      <c r="N410" s="9" t="s">
        <v>38</v>
      </c>
      <c r="O410" s="8" t="s">
        <v>360</v>
      </c>
      <c r="P410" s="8"/>
    </row>
    <row r="411" spans="1:16" x14ac:dyDescent="0.25">
      <c r="A411" t="s">
        <v>288</v>
      </c>
      <c r="B411" s="10"/>
      <c r="C411" s="10"/>
      <c r="D411" s="8" t="s">
        <v>48</v>
      </c>
      <c r="E411" s="8"/>
      <c r="F411" s="10"/>
      <c r="G411" s="10"/>
      <c r="H411" s="10"/>
      <c r="I411" s="10"/>
      <c r="J411" s="10"/>
      <c r="K411" s="10"/>
      <c r="L411" t="s">
        <v>85</v>
      </c>
      <c r="M411" s="20">
        <v>100</v>
      </c>
      <c r="N411" s="9" t="s">
        <v>38</v>
      </c>
      <c r="O411" s="8" t="s">
        <v>360</v>
      </c>
      <c r="P411" s="8"/>
    </row>
    <row r="412" spans="1:16" x14ac:dyDescent="0.25">
      <c r="A412" t="s">
        <v>289</v>
      </c>
      <c r="B412" s="10"/>
      <c r="C412" s="10"/>
      <c r="D412" s="9" t="s">
        <v>90</v>
      </c>
      <c r="E412" s="9"/>
      <c r="F412" s="10"/>
      <c r="G412" s="10"/>
      <c r="H412" s="10"/>
      <c r="I412" s="10"/>
      <c r="J412" s="10"/>
      <c r="K412" s="10"/>
      <c r="L412" t="s">
        <v>85</v>
      </c>
      <c r="M412" s="20">
        <v>100</v>
      </c>
      <c r="N412" s="9" t="s">
        <v>38</v>
      </c>
      <c r="O412" s="8" t="s">
        <v>360</v>
      </c>
      <c r="P412" s="8"/>
    </row>
    <row r="413" spans="1:16" x14ac:dyDescent="0.25">
      <c r="A413" t="s">
        <v>290</v>
      </c>
      <c r="B413" s="10"/>
      <c r="C413" s="10"/>
      <c r="D413" s="9" t="s">
        <v>91</v>
      </c>
      <c r="E413" s="9"/>
      <c r="F413" s="10"/>
      <c r="G413" s="10"/>
      <c r="H413" s="10"/>
      <c r="I413" s="10"/>
      <c r="J413" s="10"/>
      <c r="K413" s="10"/>
      <c r="L413" t="s">
        <v>85</v>
      </c>
      <c r="M413" s="20">
        <v>100</v>
      </c>
      <c r="N413" s="9" t="s">
        <v>38</v>
      </c>
      <c r="O413" s="8" t="s">
        <v>360</v>
      </c>
      <c r="P413" s="8"/>
    </row>
    <row r="414" spans="1:16" x14ac:dyDescent="0.25">
      <c r="A414" s="4" t="s">
        <v>11</v>
      </c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5"/>
      <c r="M414" s="5"/>
      <c r="N414" s="5"/>
      <c r="O414" s="5"/>
      <c r="P414" s="5"/>
    </row>
    <row r="415" spans="1:16" x14ac:dyDescent="0.25">
      <c r="A415" s="17" t="s">
        <v>99</v>
      </c>
      <c r="B415" s="8"/>
      <c r="C415" s="8"/>
      <c r="D415" s="9" t="s">
        <v>105</v>
      </c>
      <c r="E415" s="9"/>
      <c r="F415" s="8"/>
      <c r="G415" s="8"/>
      <c r="H415" s="9"/>
      <c r="I415" s="8"/>
      <c r="J415" s="8"/>
      <c r="K415" s="8"/>
      <c r="L415" t="s">
        <v>85</v>
      </c>
      <c r="M415" s="11">
        <v>100</v>
      </c>
      <c r="N415" s="9" t="s">
        <v>38</v>
      </c>
      <c r="O415" s="10" t="s">
        <v>104</v>
      </c>
    </row>
    <row r="416" spans="1:16" x14ac:dyDescent="0.25">
      <c r="A416" s="17" t="s">
        <v>100</v>
      </c>
      <c r="B416" s="8"/>
      <c r="C416" s="8"/>
      <c r="D416" s="9" t="s">
        <v>105</v>
      </c>
      <c r="E416" s="9"/>
      <c r="F416" s="8"/>
      <c r="G416" s="8"/>
      <c r="H416" s="9"/>
      <c r="I416" s="8"/>
      <c r="J416" s="8"/>
      <c r="K416" s="8"/>
      <c r="L416" t="s">
        <v>85</v>
      </c>
      <c r="M416" s="9">
        <v>50</v>
      </c>
      <c r="N416" s="9" t="s">
        <v>38</v>
      </c>
      <c r="O416" s="8"/>
    </row>
    <row r="417" spans="1:16" x14ac:dyDescent="0.25">
      <c r="A417" s="17" t="s">
        <v>100</v>
      </c>
      <c r="B417" s="8"/>
      <c r="C417" s="8"/>
      <c r="D417" s="9" t="s">
        <v>105</v>
      </c>
      <c r="E417" s="9"/>
      <c r="F417" s="8"/>
      <c r="G417" s="8"/>
      <c r="H417" s="9" t="s">
        <v>116</v>
      </c>
      <c r="I417" s="8"/>
      <c r="J417" s="8"/>
      <c r="K417" s="8"/>
      <c r="L417" t="s">
        <v>86</v>
      </c>
      <c r="M417" s="9">
        <v>50</v>
      </c>
      <c r="N417" s="9" t="s">
        <v>38</v>
      </c>
      <c r="O417" s="8"/>
    </row>
    <row r="418" spans="1:16" x14ac:dyDescent="0.25">
      <c r="A418" s="17" t="s">
        <v>207</v>
      </c>
      <c r="B418" s="8"/>
      <c r="C418" s="8"/>
      <c r="D418" s="11" t="s">
        <v>106</v>
      </c>
      <c r="E418" s="11"/>
      <c r="F418" s="8"/>
      <c r="G418" s="8"/>
      <c r="H418" s="9"/>
      <c r="I418" s="8"/>
      <c r="J418" s="8"/>
      <c r="K418" s="8"/>
      <c r="L418" t="s">
        <v>85</v>
      </c>
      <c r="M418" s="18">
        <v>20</v>
      </c>
      <c r="N418" s="9" t="s">
        <v>38</v>
      </c>
      <c r="O418" s="10" t="s">
        <v>208</v>
      </c>
    </row>
    <row r="419" spans="1:16" x14ac:dyDescent="0.25">
      <c r="A419" s="17" t="s">
        <v>101</v>
      </c>
      <c r="B419" s="8"/>
      <c r="C419" s="8"/>
      <c r="D419" s="9" t="s">
        <v>106</v>
      </c>
      <c r="E419" s="9"/>
      <c r="F419" s="8"/>
      <c r="G419" s="8"/>
      <c r="H419" s="9"/>
      <c r="I419" s="8"/>
      <c r="J419" s="8"/>
      <c r="K419" s="8"/>
      <c r="L419" t="s">
        <v>85</v>
      </c>
      <c r="M419" s="18">
        <v>19</v>
      </c>
      <c r="N419" s="9" t="s">
        <v>38</v>
      </c>
      <c r="O419" s="19"/>
    </row>
    <row r="420" spans="1:16" x14ac:dyDescent="0.25">
      <c r="A420" s="17" t="s">
        <v>101</v>
      </c>
      <c r="B420" s="8"/>
      <c r="C420" s="8"/>
      <c r="D420" s="9" t="s">
        <v>106</v>
      </c>
      <c r="E420" s="9"/>
      <c r="F420" s="8"/>
      <c r="G420" s="8"/>
      <c r="H420" t="s">
        <v>189</v>
      </c>
      <c r="I420" s="8"/>
      <c r="J420" s="8"/>
      <c r="K420" s="8"/>
      <c r="L420" t="s">
        <v>86</v>
      </c>
      <c r="M420" s="28">
        <f>0.02*0.5*100/(844/1000)/0.9</f>
        <v>1.3164823591363877</v>
      </c>
      <c r="N420" s="9" t="s">
        <v>38</v>
      </c>
      <c r="O420" s="19" t="s">
        <v>190</v>
      </c>
      <c r="P420" s="9" t="s">
        <v>191</v>
      </c>
    </row>
    <row r="421" spans="1:16" x14ac:dyDescent="0.25">
      <c r="A421" s="4" t="s">
        <v>12</v>
      </c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5"/>
      <c r="M421" s="5"/>
      <c r="N421" s="5"/>
      <c r="O421" s="5"/>
      <c r="P421" s="5"/>
    </row>
    <row r="422" spans="1:16" x14ac:dyDescent="0.25">
      <c r="A422" s="17" t="s">
        <v>133</v>
      </c>
      <c r="D422" s="9" t="s">
        <v>134</v>
      </c>
      <c r="E422" s="9"/>
      <c r="L422" t="s">
        <v>85</v>
      </c>
      <c r="M422" s="18">
        <v>100</v>
      </c>
      <c r="N422" s="17" t="s">
        <v>38</v>
      </c>
    </row>
    <row r="423" spans="1:16" s="17" customFormat="1" x14ac:dyDescent="0.25">
      <c r="A423" s="17" t="s">
        <v>375</v>
      </c>
      <c r="D423" s="18" t="s">
        <v>426</v>
      </c>
      <c r="E423" s="18"/>
      <c r="L423" s="17" t="s">
        <v>85</v>
      </c>
      <c r="M423" s="18">
        <v>100</v>
      </c>
      <c r="N423" s="17" t="s">
        <v>38</v>
      </c>
    </row>
    <row r="424" spans="1:16" x14ac:dyDescent="0.25">
      <c r="A424" s="17" t="s">
        <v>139</v>
      </c>
      <c r="D424" s="9" t="s">
        <v>145</v>
      </c>
      <c r="E424" s="9"/>
      <c r="L424" t="s">
        <v>85</v>
      </c>
      <c r="M424" s="18">
        <v>100</v>
      </c>
      <c r="N424" s="17" t="s">
        <v>38</v>
      </c>
    </row>
    <row r="425" spans="1:16" x14ac:dyDescent="0.25">
      <c r="A425" s="17" t="s">
        <v>135</v>
      </c>
      <c r="D425" s="9" t="s">
        <v>141</v>
      </c>
      <c r="E425" s="9"/>
      <c r="L425" t="s">
        <v>85</v>
      </c>
      <c r="M425" s="18">
        <v>100</v>
      </c>
      <c r="N425" s="17" t="s">
        <v>38</v>
      </c>
    </row>
    <row r="426" spans="1:16" x14ac:dyDescent="0.25">
      <c r="A426" s="17" t="s">
        <v>136</v>
      </c>
      <c r="D426" s="9" t="s">
        <v>142</v>
      </c>
      <c r="E426" s="9"/>
      <c r="L426" t="s">
        <v>85</v>
      </c>
      <c r="M426" s="18">
        <v>100</v>
      </c>
      <c r="N426" s="17" t="s">
        <v>38</v>
      </c>
    </row>
    <row r="427" spans="1:16" x14ac:dyDescent="0.25">
      <c r="A427" s="17" t="s">
        <v>137</v>
      </c>
      <c r="D427" s="9" t="s">
        <v>143</v>
      </c>
      <c r="E427" s="9"/>
      <c r="L427" t="s">
        <v>85</v>
      </c>
      <c r="M427" s="18">
        <v>100</v>
      </c>
      <c r="N427" s="17" t="s">
        <v>38</v>
      </c>
    </row>
    <row r="428" spans="1:16" x14ac:dyDescent="0.25">
      <c r="A428" s="17" t="s">
        <v>138</v>
      </c>
      <c r="D428" s="9" t="s">
        <v>140</v>
      </c>
      <c r="E428" s="9"/>
      <c r="L428" t="s">
        <v>85</v>
      </c>
      <c r="M428" s="18">
        <v>100</v>
      </c>
      <c r="N428" s="17" t="s">
        <v>38</v>
      </c>
    </row>
    <row r="429" spans="1:16" x14ac:dyDescent="0.25">
      <c r="A429" s="17" t="s">
        <v>107</v>
      </c>
      <c r="B429" s="8"/>
      <c r="C429" s="8"/>
      <c r="D429" s="9" t="s">
        <v>109</v>
      </c>
      <c r="E429" s="9"/>
      <c r="F429" s="8"/>
      <c r="G429" s="8"/>
      <c r="H429" s="9"/>
      <c r="I429" s="8"/>
      <c r="J429" s="8"/>
      <c r="K429" s="8"/>
      <c r="L429" t="s">
        <v>85</v>
      </c>
      <c r="M429" s="18">
        <v>100</v>
      </c>
      <c r="N429" s="17" t="s">
        <v>38</v>
      </c>
      <c r="O429" s="10"/>
    </row>
    <row r="430" spans="1:16" x14ac:dyDescent="0.25">
      <c r="A430" s="17" t="s">
        <v>110</v>
      </c>
      <c r="B430" s="8"/>
      <c r="C430" s="8"/>
      <c r="D430" s="9" t="s">
        <v>111</v>
      </c>
      <c r="E430" s="9"/>
      <c r="F430" s="8"/>
      <c r="G430" s="8"/>
      <c r="H430" s="9"/>
      <c r="I430" s="8"/>
      <c r="J430" s="8"/>
      <c r="K430" s="8"/>
      <c r="L430" t="s">
        <v>85</v>
      </c>
      <c r="M430" s="18">
        <v>100</v>
      </c>
      <c r="N430" s="17" t="s">
        <v>38</v>
      </c>
      <c r="O430" s="10"/>
    </row>
    <row r="431" spans="1:16" x14ac:dyDescent="0.25">
      <c r="A431" s="17" t="s">
        <v>146</v>
      </c>
      <c r="B431" s="8"/>
      <c r="C431" s="8"/>
      <c r="D431" s="9" t="s">
        <v>144</v>
      </c>
      <c r="E431" s="9"/>
      <c r="F431" s="8"/>
      <c r="G431" s="8"/>
      <c r="H431" s="9"/>
      <c r="I431" s="8"/>
      <c r="J431" s="8"/>
      <c r="K431" s="8"/>
      <c r="L431" t="s">
        <v>85</v>
      </c>
      <c r="M431" s="18">
        <v>100</v>
      </c>
      <c r="N431" s="17" t="s">
        <v>38</v>
      </c>
      <c r="O431" s="10"/>
    </row>
    <row r="432" spans="1:16" x14ac:dyDescent="0.25">
      <c r="A432" s="4" t="s">
        <v>13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5"/>
      <c r="N432" s="5"/>
      <c r="O432" s="5"/>
      <c r="P432" s="5"/>
    </row>
    <row r="433" spans="1:16" x14ac:dyDescent="0.25">
      <c r="A433" s="17" t="s">
        <v>239</v>
      </c>
      <c r="D433" s="9" t="s">
        <v>236</v>
      </c>
      <c r="E433" s="9"/>
      <c r="L433" t="s">
        <v>85</v>
      </c>
      <c r="M433" s="17">
        <v>100</v>
      </c>
      <c r="N433" s="17" t="s">
        <v>38</v>
      </c>
    </row>
    <row r="434" spans="1:16" x14ac:dyDescent="0.25">
      <c r="A434" s="17" t="s">
        <v>240</v>
      </c>
      <c r="D434" s="9" t="s">
        <v>236</v>
      </c>
      <c r="E434" s="9"/>
      <c r="L434" t="s">
        <v>85</v>
      </c>
      <c r="M434" s="17">
        <v>65</v>
      </c>
      <c r="N434" s="17" t="s">
        <v>38</v>
      </c>
      <c r="P434" t="s">
        <v>92</v>
      </c>
    </row>
    <row r="435" spans="1:16" x14ac:dyDescent="0.25">
      <c r="A435" s="17" t="s">
        <v>240</v>
      </c>
      <c r="D435" s="9" t="s">
        <v>236</v>
      </c>
      <c r="E435" s="9"/>
      <c r="H435" s="19" t="s">
        <v>237</v>
      </c>
      <c r="L435" t="s">
        <v>86</v>
      </c>
      <c r="M435" s="17">
        <v>35</v>
      </c>
      <c r="N435" s="17" t="s">
        <v>38</v>
      </c>
      <c r="P435" t="s">
        <v>92</v>
      </c>
    </row>
    <row r="436" spans="1:16" x14ac:dyDescent="0.25">
      <c r="A436" s="17" t="s">
        <v>241</v>
      </c>
      <c r="D436" s="9" t="s">
        <v>236</v>
      </c>
      <c r="E436" s="9"/>
      <c r="L436" t="s">
        <v>85</v>
      </c>
      <c r="M436" s="17">
        <v>22</v>
      </c>
      <c r="N436" s="17" t="s">
        <v>38</v>
      </c>
      <c r="P436" t="s">
        <v>92</v>
      </c>
    </row>
    <row r="437" spans="1:16" x14ac:dyDescent="0.25">
      <c r="A437" s="17" t="s">
        <v>241</v>
      </c>
      <c r="D437" s="9" t="s">
        <v>236</v>
      </c>
      <c r="E437" s="9"/>
      <c r="H437" s="19" t="s">
        <v>237</v>
      </c>
      <c r="L437" t="s">
        <v>86</v>
      </c>
      <c r="M437" s="17">
        <v>35</v>
      </c>
      <c r="N437" s="17" t="s">
        <v>38</v>
      </c>
      <c r="P437" t="s">
        <v>92</v>
      </c>
    </row>
    <row r="438" spans="1:16" x14ac:dyDescent="0.25">
      <c r="A438" s="17" t="s">
        <v>243</v>
      </c>
      <c r="D438" s="9" t="s">
        <v>245</v>
      </c>
      <c r="E438" s="9"/>
      <c r="L438" t="s">
        <v>85</v>
      </c>
      <c r="M438" s="17">
        <v>100</v>
      </c>
      <c r="N438" s="17" t="s">
        <v>38</v>
      </c>
    </row>
    <row r="439" spans="1:16" x14ac:dyDescent="0.25">
      <c r="A439" s="17" t="s">
        <v>252</v>
      </c>
      <c r="D439" s="9" t="s">
        <v>257</v>
      </c>
      <c r="E439" s="9"/>
      <c r="L439" t="s">
        <v>85</v>
      </c>
      <c r="M439" s="17">
        <v>100</v>
      </c>
      <c r="N439" s="17" t="s">
        <v>38</v>
      </c>
    </row>
    <row r="440" spans="1:16" x14ac:dyDescent="0.25">
      <c r="A440" s="17" t="s">
        <v>253</v>
      </c>
      <c r="D440" s="9" t="s">
        <v>258</v>
      </c>
      <c r="E440" s="9"/>
      <c r="L440" t="s">
        <v>85</v>
      </c>
      <c r="M440" s="17">
        <v>100</v>
      </c>
      <c r="N440" s="17" t="s">
        <v>38</v>
      </c>
    </row>
    <row r="441" spans="1:16" x14ac:dyDescent="0.25">
      <c r="A441" s="17" t="s">
        <v>259</v>
      </c>
      <c r="D441" s="9" t="s">
        <v>260</v>
      </c>
      <c r="E441" s="9"/>
      <c r="L441" t="s">
        <v>85</v>
      </c>
      <c r="M441" s="17">
        <v>100</v>
      </c>
      <c r="N441" s="17" t="s">
        <v>38</v>
      </c>
    </row>
    <row r="442" spans="1:16" x14ac:dyDescent="0.25">
      <c r="A442" s="17" t="s">
        <v>254</v>
      </c>
      <c r="D442" s="9" t="s">
        <v>261</v>
      </c>
      <c r="E442" s="9"/>
      <c r="L442" t="s">
        <v>85</v>
      </c>
      <c r="M442" s="17">
        <v>100</v>
      </c>
      <c r="N442" s="17" t="s">
        <v>38</v>
      </c>
    </row>
    <row r="443" spans="1:16" x14ac:dyDescent="0.25">
      <c r="A443" s="4" t="s">
        <v>14</v>
      </c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5"/>
      <c r="M443" s="5"/>
      <c r="N443" s="5"/>
      <c r="O443" s="5"/>
      <c r="P443" s="5"/>
    </row>
    <row r="444" spans="1:16" x14ac:dyDescent="0.25">
      <c r="A444" s="10" t="s">
        <v>62</v>
      </c>
      <c r="B444" s="10"/>
      <c r="C444" s="10"/>
      <c r="D444" s="10"/>
      <c r="E444" s="10"/>
      <c r="F444" s="10" t="s">
        <v>79</v>
      </c>
      <c r="G444" s="10" t="s">
        <v>59</v>
      </c>
      <c r="H444" s="10"/>
      <c r="I444" s="10"/>
      <c r="J444" s="10"/>
      <c r="K444" s="10"/>
      <c r="L444" t="s">
        <v>85</v>
      </c>
      <c r="M444" s="12">
        <f>100-M445</f>
        <v>90.75</v>
      </c>
      <c r="N444" s="10" t="s">
        <v>38</v>
      </c>
      <c r="O444" t="s">
        <v>71</v>
      </c>
      <c r="P444" s="8" t="s">
        <v>93</v>
      </c>
    </row>
    <row r="445" spans="1:16" x14ac:dyDescent="0.25">
      <c r="A445" s="10" t="s">
        <v>62</v>
      </c>
      <c r="B445" s="10"/>
      <c r="C445" s="10"/>
      <c r="D445" s="10"/>
      <c r="E445" s="10"/>
      <c r="F445" s="10" t="s">
        <v>79</v>
      </c>
      <c r="G445" s="10" t="s">
        <v>59</v>
      </c>
      <c r="H445" s="10" t="s">
        <v>60</v>
      </c>
      <c r="I445" s="10"/>
      <c r="J445" s="10"/>
      <c r="K445" s="10"/>
      <c r="L445" t="s">
        <v>86</v>
      </c>
      <c r="M445" s="12">
        <f>(0.042-0.005)/0.4*100</f>
        <v>9.2500000000000018</v>
      </c>
      <c r="N445" s="10" t="s">
        <v>38</v>
      </c>
      <c r="P445" s="8" t="s">
        <v>93</v>
      </c>
    </row>
    <row r="446" spans="1:16" x14ac:dyDescent="0.25">
      <c r="A446" s="10" t="s">
        <v>61</v>
      </c>
      <c r="B446" s="10"/>
      <c r="C446" s="10"/>
      <c r="D446" s="10"/>
      <c r="E446" s="10"/>
      <c r="F446" s="10" t="s">
        <v>79</v>
      </c>
      <c r="G446" s="10" t="s">
        <v>59</v>
      </c>
      <c r="H446" s="10"/>
      <c r="I446" s="10"/>
      <c r="J446" s="10"/>
      <c r="K446" s="10"/>
      <c r="L446" t="s">
        <v>85</v>
      </c>
      <c r="M446" s="12">
        <f>100-M447</f>
        <v>93.25</v>
      </c>
      <c r="N446" s="10" t="s">
        <v>38</v>
      </c>
      <c r="O446" t="s">
        <v>72</v>
      </c>
      <c r="P446" s="8" t="s">
        <v>93</v>
      </c>
    </row>
    <row r="447" spans="1:16" x14ac:dyDescent="0.25">
      <c r="A447" s="10" t="s">
        <v>61</v>
      </c>
      <c r="B447" s="10"/>
      <c r="C447" s="10"/>
      <c r="D447" s="10"/>
      <c r="E447" s="10"/>
      <c r="F447" s="10" t="s">
        <v>79</v>
      </c>
      <c r="G447" s="10" t="s">
        <v>59</v>
      </c>
      <c r="H447" s="10" t="s">
        <v>60</v>
      </c>
      <c r="I447" s="10"/>
      <c r="J447" s="10"/>
      <c r="K447" s="10"/>
      <c r="L447" t="s">
        <v>86</v>
      </c>
      <c r="M447" s="12">
        <f>(0.042-0.015)/0.4*100</f>
        <v>6.75</v>
      </c>
      <c r="N447" s="10" t="s">
        <v>38</v>
      </c>
      <c r="P447" s="8" t="s">
        <v>93</v>
      </c>
    </row>
    <row r="448" spans="1:16" x14ac:dyDescent="0.25">
      <c r="A448" s="10" t="s">
        <v>63</v>
      </c>
      <c r="B448" s="10"/>
      <c r="C448" s="10"/>
      <c r="D448" s="10"/>
      <c r="E448" s="10"/>
      <c r="F448" s="10" t="s">
        <v>79</v>
      </c>
      <c r="G448" s="10" t="s">
        <v>59</v>
      </c>
      <c r="H448" s="10"/>
      <c r="I448" s="10"/>
      <c r="J448" s="10"/>
      <c r="K448" s="10"/>
      <c r="L448" t="s">
        <v>85</v>
      </c>
      <c r="M448" s="12">
        <f>100-M449</f>
        <v>97</v>
      </c>
      <c r="N448" s="10" t="s">
        <v>38</v>
      </c>
      <c r="O448" t="s">
        <v>73</v>
      </c>
      <c r="P448" s="8" t="s">
        <v>93</v>
      </c>
    </row>
    <row r="449" spans="1:16" x14ac:dyDescent="0.25">
      <c r="A449" s="10" t="s">
        <v>63</v>
      </c>
      <c r="B449" s="10"/>
      <c r="C449" s="10"/>
      <c r="D449" s="10"/>
      <c r="E449" s="10"/>
      <c r="F449" s="10" t="s">
        <v>79</v>
      </c>
      <c r="G449" s="10" t="s">
        <v>59</v>
      </c>
      <c r="H449" s="10" t="s">
        <v>60</v>
      </c>
      <c r="I449" s="10"/>
      <c r="J449" s="10"/>
      <c r="K449" s="10"/>
      <c r="L449" t="s">
        <v>86</v>
      </c>
      <c r="M449" s="12">
        <f>(0.042-0.03)/0.4*100</f>
        <v>3.0000000000000009</v>
      </c>
      <c r="N449" s="10" t="s">
        <v>38</v>
      </c>
      <c r="P449" s="8" t="s">
        <v>93</v>
      </c>
    </row>
    <row r="450" spans="1:16" x14ac:dyDescent="0.25">
      <c r="A450" s="10" t="s">
        <v>64</v>
      </c>
      <c r="B450" s="10"/>
      <c r="C450" s="10"/>
      <c r="D450" s="10"/>
      <c r="E450" s="10"/>
      <c r="F450" s="10" t="s">
        <v>79</v>
      </c>
      <c r="G450" s="10" t="s">
        <v>59</v>
      </c>
      <c r="H450" s="10"/>
      <c r="I450" s="10"/>
      <c r="J450" s="10"/>
      <c r="K450" s="10"/>
      <c r="L450" t="s">
        <v>85</v>
      </c>
      <c r="M450" s="12">
        <f>(100-M451)*0.1</f>
        <v>9.7000000000000011</v>
      </c>
      <c r="N450" s="10" t="s">
        <v>38</v>
      </c>
      <c r="O450" t="s">
        <v>80</v>
      </c>
      <c r="P450" s="8" t="s">
        <v>93</v>
      </c>
    </row>
    <row r="451" spans="1:16" x14ac:dyDescent="0.25">
      <c r="A451" s="10" t="s">
        <v>64</v>
      </c>
      <c r="B451" s="10"/>
      <c r="C451" s="10"/>
      <c r="D451" s="10"/>
      <c r="E451" s="10"/>
      <c r="F451" s="10" t="s">
        <v>79</v>
      </c>
      <c r="G451" s="10" t="s">
        <v>59</v>
      </c>
      <c r="H451" s="10" t="s">
        <v>60</v>
      </c>
      <c r="I451" s="10"/>
      <c r="J451" s="10"/>
      <c r="K451" s="10"/>
      <c r="L451" t="s">
        <v>86</v>
      </c>
      <c r="M451" s="12">
        <f>(0.042-0.03)/0.4*100</f>
        <v>3.0000000000000009</v>
      </c>
      <c r="N451" s="10" t="s">
        <v>38</v>
      </c>
      <c r="P451" s="8" t="s">
        <v>93</v>
      </c>
    </row>
    <row r="452" spans="1:16" x14ac:dyDescent="0.25">
      <c r="A452" s="10" t="s">
        <v>64</v>
      </c>
      <c r="B452" s="10"/>
      <c r="C452" s="10"/>
      <c r="D452" s="10"/>
      <c r="E452" s="10"/>
      <c r="F452" s="10" t="s">
        <v>79</v>
      </c>
      <c r="G452" s="10" t="s">
        <v>59</v>
      </c>
      <c r="H452" s="10" t="s">
        <v>70</v>
      </c>
      <c r="I452" s="10"/>
      <c r="J452" s="10"/>
      <c r="K452" s="10"/>
      <c r="L452" t="s">
        <v>86</v>
      </c>
      <c r="M452" s="12">
        <f>(100-M451)*0.9</f>
        <v>87.3</v>
      </c>
      <c r="N452" s="10" t="s">
        <v>38</v>
      </c>
      <c r="P452" s="8" t="s">
        <v>93</v>
      </c>
    </row>
    <row r="453" spans="1:16" x14ac:dyDescent="0.25">
      <c r="A453" s="10" t="s">
        <v>68</v>
      </c>
      <c r="B453" s="10"/>
      <c r="C453" s="10"/>
      <c r="D453" s="10"/>
      <c r="E453" s="10"/>
      <c r="F453" s="10" t="s">
        <v>79</v>
      </c>
      <c r="G453" s="10" t="s">
        <v>60</v>
      </c>
      <c r="H453" s="10"/>
      <c r="I453" s="10"/>
      <c r="J453" s="10"/>
      <c r="K453" s="10"/>
      <c r="L453" t="s">
        <v>85</v>
      </c>
      <c r="M453" s="10">
        <f>1/(0.1/0.4)*100</f>
        <v>400</v>
      </c>
      <c r="N453" s="10" t="s">
        <v>38</v>
      </c>
      <c r="O453" t="s">
        <v>78</v>
      </c>
      <c r="P453" s="8" t="s">
        <v>93</v>
      </c>
    </row>
    <row r="454" spans="1:16" x14ac:dyDescent="0.25">
      <c r="A454" s="11" t="s">
        <v>69</v>
      </c>
      <c r="B454" s="10"/>
      <c r="C454" s="10"/>
      <c r="D454" s="10"/>
      <c r="E454" s="10"/>
      <c r="F454" s="10" t="s">
        <v>79</v>
      </c>
      <c r="G454" s="10" t="s">
        <v>60</v>
      </c>
      <c r="H454" s="10"/>
      <c r="I454" s="10"/>
      <c r="J454" s="10"/>
      <c r="K454" s="10"/>
      <c r="L454" t="s">
        <v>85</v>
      </c>
      <c r="M454" s="12">
        <f>1/(0.12/0.4)*100</f>
        <v>333.33333333333337</v>
      </c>
      <c r="N454" s="10" t="s">
        <v>38</v>
      </c>
      <c r="O454" t="s">
        <v>74</v>
      </c>
      <c r="P454" s="8" t="s">
        <v>93</v>
      </c>
    </row>
    <row r="455" spans="1:16" x14ac:dyDescent="0.25">
      <c r="A455" s="10" t="s">
        <v>66</v>
      </c>
      <c r="B455" s="10"/>
      <c r="C455" s="10"/>
      <c r="D455" s="10"/>
      <c r="E455" s="10"/>
      <c r="F455" s="10" t="s">
        <v>79</v>
      </c>
      <c r="G455" s="10" t="s">
        <v>60</v>
      </c>
      <c r="H455" s="10"/>
      <c r="I455" s="10"/>
      <c r="J455" s="10"/>
      <c r="K455" s="10"/>
      <c r="L455" t="s">
        <v>85</v>
      </c>
      <c r="M455" s="12">
        <f>1/(0.13/0.4)*100</f>
        <v>307.69230769230768</v>
      </c>
      <c r="N455" s="10" t="s">
        <v>38</v>
      </c>
      <c r="O455" t="s">
        <v>75</v>
      </c>
      <c r="P455" s="8" t="s">
        <v>93</v>
      </c>
    </row>
    <row r="456" spans="1:16" x14ac:dyDescent="0.25">
      <c r="A456" s="10" t="s">
        <v>67</v>
      </c>
      <c r="B456" s="10"/>
      <c r="C456" s="10"/>
      <c r="D456" s="10"/>
      <c r="E456" s="10"/>
      <c r="F456" s="10" t="s">
        <v>79</v>
      </c>
      <c r="G456" s="10" t="s">
        <v>60</v>
      </c>
      <c r="H456" s="10"/>
      <c r="I456" s="10"/>
      <c r="J456" s="10"/>
      <c r="K456" s="10"/>
      <c r="L456" t="s">
        <v>85</v>
      </c>
      <c r="M456" s="10">
        <f>1/(0.4/0.4)*100</f>
        <v>100</v>
      </c>
      <c r="N456" s="10" t="s">
        <v>38</v>
      </c>
      <c r="O456" t="s">
        <v>76</v>
      </c>
      <c r="P456" s="8" t="s">
        <v>93</v>
      </c>
    </row>
    <row r="457" spans="1:16" x14ac:dyDescent="0.25">
      <c r="A457" s="10" t="s">
        <v>65</v>
      </c>
      <c r="B457" s="10"/>
      <c r="C457" s="10"/>
      <c r="D457" s="10"/>
      <c r="E457" s="10"/>
      <c r="F457" s="10" t="s">
        <v>79</v>
      </c>
      <c r="G457" s="10" t="s">
        <v>60</v>
      </c>
      <c r="H457" s="10"/>
      <c r="I457" s="10"/>
      <c r="J457" s="10"/>
      <c r="K457" s="10"/>
      <c r="L457" t="s">
        <v>85</v>
      </c>
      <c r="M457" s="12">
        <f>1/((0.4-0.8)/(0.01-0.4)+1)*100</f>
        <v>49.367088607594937</v>
      </c>
      <c r="N457" s="10" t="s">
        <v>38</v>
      </c>
      <c r="O457" t="s">
        <v>77</v>
      </c>
      <c r="P457" s="8" t="s">
        <v>93</v>
      </c>
    </row>
    <row r="458" spans="1:16" x14ac:dyDescent="0.25">
      <c r="A458" s="10" t="s">
        <v>65</v>
      </c>
      <c r="B458" s="8"/>
      <c r="C458" s="8"/>
      <c r="D458" s="8"/>
      <c r="E458" s="8"/>
      <c r="F458" s="10" t="s">
        <v>79</v>
      </c>
      <c r="G458" s="10" t="s">
        <v>60</v>
      </c>
      <c r="H458" s="10" t="s">
        <v>82</v>
      </c>
      <c r="I458" s="8"/>
      <c r="J458" s="8"/>
      <c r="K458" s="8"/>
      <c r="L458" t="s">
        <v>86</v>
      </c>
      <c r="M458" s="14">
        <f>1/((0.01-0.4)/(0.4-0.8)+1)*100</f>
        <v>50.632911392405056</v>
      </c>
      <c r="N458" s="10" t="s">
        <v>38</v>
      </c>
      <c r="O458" s="8" t="s">
        <v>83</v>
      </c>
      <c r="P458" s="8" t="s">
        <v>93</v>
      </c>
    </row>
    <row r="459" spans="1:16" x14ac:dyDescent="0.25">
      <c r="A459" s="10" t="s">
        <v>427</v>
      </c>
      <c r="B459" s="8"/>
      <c r="C459" s="8"/>
      <c r="D459" s="8"/>
      <c r="E459" s="8"/>
      <c r="F459" s="10"/>
      <c r="G459" s="10"/>
      <c r="H459" s="10"/>
      <c r="I459" s="8"/>
      <c r="J459" s="8"/>
      <c r="K459" s="8"/>
      <c r="M459" s="14"/>
      <c r="N459" s="10"/>
      <c r="O459" s="8"/>
      <c r="P459" s="8"/>
    </row>
    <row r="460" spans="1:16" x14ac:dyDescent="0.25">
      <c r="A460" s="4" t="s">
        <v>23</v>
      </c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5"/>
      <c r="N460" s="5"/>
      <c r="O460" s="5"/>
      <c r="P460" s="5"/>
    </row>
    <row r="461" spans="1:16" x14ac:dyDescent="0.25">
      <c r="A461" s="8" t="s">
        <v>54</v>
      </c>
      <c r="B461" s="8"/>
      <c r="C461" s="8"/>
      <c r="D461" s="8"/>
      <c r="E461" s="8"/>
      <c r="F461" s="8" t="s">
        <v>57</v>
      </c>
      <c r="G461" s="8" t="s">
        <v>55</v>
      </c>
      <c r="H461" s="8"/>
      <c r="I461" s="8"/>
      <c r="J461" s="8"/>
      <c r="K461" s="8"/>
      <c r="L461" t="s">
        <v>85</v>
      </c>
      <c r="M461" s="11">
        <v>73.5</v>
      </c>
      <c r="N461" s="8" t="s">
        <v>38</v>
      </c>
      <c r="O461" s="46" t="s">
        <v>361</v>
      </c>
      <c r="P461" s="8" t="s">
        <v>92</v>
      </c>
    </row>
    <row r="462" spans="1:16" x14ac:dyDescent="0.25">
      <c r="A462" s="8" t="s">
        <v>54</v>
      </c>
      <c r="B462" s="8"/>
      <c r="C462" s="8"/>
      <c r="D462" s="8"/>
      <c r="E462" s="8"/>
      <c r="F462" s="8" t="s">
        <v>57</v>
      </c>
      <c r="G462" s="8" t="s">
        <v>55</v>
      </c>
      <c r="H462" s="8" t="s">
        <v>462</v>
      </c>
      <c r="I462" s="8"/>
      <c r="J462" s="8"/>
      <c r="K462" s="8"/>
      <c r="L462" t="s">
        <v>86</v>
      </c>
      <c r="M462" s="16">
        <f>(1/0.76)*4</f>
        <v>5.2631578947368425</v>
      </c>
      <c r="N462" s="8" t="s">
        <v>38</v>
      </c>
      <c r="O462" s="9" t="s">
        <v>96</v>
      </c>
      <c r="P462" s="8" t="s">
        <v>92</v>
      </c>
    </row>
    <row r="463" spans="1:16" x14ac:dyDescent="0.25">
      <c r="A463" s="8" t="s">
        <v>54</v>
      </c>
      <c r="B463" s="8"/>
      <c r="C463" s="8"/>
      <c r="D463" s="8"/>
      <c r="E463" s="8"/>
      <c r="F463" s="8" t="s">
        <v>57</v>
      </c>
      <c r="G463" s="8" t="s">
        <v>55</v>
      </c>
      <c r="H463" s="8" t="s">
        <v>117</v>
      </c>
      <c r="I463" s="8"/>
      <c r="J463" s="8"/>
      <c r="K463" s="8"/>
      <c r="L463" t="s">
        <v>86</v>
      </c>
      <c r="M463" s="16">
        <f>(1/0.76)*6</f>
        <v>7.8947368421052637</v>
      </c>
      <c r="N463" s="8" t="s">
        <v>38</v>
      </c>
      <c r="O463" s="9" t="s">
        <v>96</v>
      </c>
      <c r="P463" s="8" t="s">
        <v>92</v>
      </c>
    </row>
    <row r="464" spans="1:16" x14ac:dyDescent="0.25">
      <c r="A464" s="8" t="s">
        <v>54</v>
      </c>
      <c r="B464" s="8"/>
      <c r="C464" s="8"/>
      <c r="D464" s="8"/>
      <c r="E464" s="8"/>
      <c r="F464" s="8" t="s">
        <v>57</v>
      </c>
      <c r="G464" s="8" t="s">
        <v>55</v>
      </c>
      <c r="H464" s="8" t="s">
        <v>118</v>
      </c>
      <c r="I464" s="8"/>
      <c r="J464" s="8"/>
      <c r="K464" s="8"/>
      <c r="L464" t="s">
        <v>86</v>
      </c>
      <c r="M464" s="16">
        <f>(1/0.76)*5</f>
        <v>6.5789473684210531</v>
      </c>
      <c r="N464" s="8" t="s">
        <v>38</v>
      </c>
      <c r="O464" s="9" t="s">
        <v>96</v>
      </c>
      <c r="P464" s="8" t="s">
        <v>92</v>
      </c>
    </row>
    <row r="465" spans="1:16" x14ac:dyDescent="0.25">
      <c r="A465" s="8" t="s">
        <v>54</v>
      </c>
      <c r="B465" s="8"/>
      <c r="C465" s="8"/>
      <c r="D465" s="8"/>
      <c r="E465" s="8"/>
      <c r="F465" s="8" t="s">
        <v>57</v>
      </c>
      <c r="G465" s="8" t="s">
        <v>55</v>
      </c>
      <c r="H465" s="8" t="s">
        <v>119</v>
      </c>
      <c r="I465" s="8"/>
      <c r="J465" s="8"/>
      <c r="K465" s="8"/>
      <c r="L465" t="s">
        <v>86</v>
      </c>
      <c r="M465" s="9">
        <v>18</v>
      </c>
      <c r="N465" s="8" t="s">
        <v>38</v>
      </c>
      <c r="O465" s="8"/>
      <c r="P465" s="8" t="s">
        <v>92</v>
      </c>
    </row>
    <row r="466" spans="1:16" x14ac:dyDescent="0.25">
      <c r="A466" t="s">
        <v>95</v>
      </c>
      <c r="B466" s="8"/>
      <c r="C466" s="8"/>
      <c r="D466" s="8"/>
      <c r="E466" s="8"/>
      <c r="F466" s="9" t="s">
        <v>79</v>
      </c>
      <c r="G466" s="9" t="s">
        <v>55</v>
      </c>
      <c r="H466" s="8"/>
      <c r="I466" s="8"/>
      <c r="J466" s="8"/>
      <c r="K466" s="8"/>
      <c r="L466" t="s">
        <v>85</v>
      </c>
      <c r="M466" s="11">
        <v>77.7</v>
      </c>
      <c r="N466" s="9" t="s">
        <v>38</v>
      </c>
      <c r="O466" s="9" t="s">
        <v>362</v>
      </c>
      <c r="P466" s="8" t="s">
        <v>92</v>
      </c>
    </row>
    <row r="467" spans="1:16" x14ac:dyDescent="0.25">
      <c r="A467" t="s">
        <v>95</v>
      </c>
      <c r="B467" s="8"/>
      <c r="C467" s="8"/>
      <c r="D467" s="8"/>
      <c r="E467" s="8"/>
      <c r="F467" s="9" t="s">
        <v>79</v>
      </c>
      <c r="G467" s="9" t="s">
        <v>55</v>
      </c>
      <c r="H467" s="9" t="s">
        <v>462</v>
      </c>
      <c r="I467" s="8"/>
      <c r="J467" s="8"/>
      <c r="K467" s="8"/>
      <c r="L467" t="s">
        <v>86</v>
      </c>
      <c r="M467" s="16">
        <f>(1/0.52)*7</f>
        <v>13.46153846153846</v>
      </c>
      <c r="N467" s="9" t="s">
        <v>38</v>
      </c>
      <c r="O467" s="9" t="s">
        <v>97</v>
      </c>
      <c r="P467" s="8" t="s">
        <v>92</v>
      </c>
    </row>
    <row r="468" spans="1:16" x14ac:dyDescent="0.25">
      <c r="A468" t="s">
        <v>95</v>
      </c>
      <c r="B468" s="8"/>
      <c r="C468" s="8"/>
      <c r="D468" s="8"/>
      <c r="E468" s="8"/>
      <c r="F468" s="9" t="s">
        <v>79</v>
      </c>
      <c r="G468" s="9" t="s">
        <v>55</v>
      </c>
      <c r="H468" s="8" t="s">
        <v>120</v>
      </c>
      <c r="I468" s="8"/>
      <c r="J468" s="8"/>
      <c r="K468" s="8"/>
      <c r="L468" t="s">
        <v>86</v>
      </c>
      <c r="M468" s="16">
        <f>(1/0.52)*3</f>
        <v>5.7692307692307683</v>
      </c>
      <c r="N468" s="9" t="s">
        <v>38</v>
      </c>
      <c r="O468" s="9" t="s">
        <v>97</v>
      </c>
      <c r="P468" s="8" t="s">
        <v>92</v>
      </c>
    </row>
    <row r="469" spans="1:16" x14ac:dyDescent="0.25">
      <c r="A469" t="s">
        <v>95</v>
      </c>
      <c r="B469" s="8"/>
      <c r="C469" s="8"/>
      <c r="D469" s="8"/>
      <c r="E469" s="8"/>
      <c r="F469" s="9" t="s">
        <v>79</v>
      </c>
      <c r="G469" s="9" t="s">
        <v>55</v>
      </c>
      <c r="H469" s="9" t="s">
        <v>121</v>
      </c>
      <c r="I469" s="8"/>
      <c r="J469" s="8"/>
      <c r="K469" s="8"/>
      <c r="L469" t="s">
        <v>86</v>
      </c>
      <c r="M469" s="16">
        <f>(1/0.52)*6</f>
        <v>11.538461538461537</v>
      </c>
      <c r="N469" s="9" t="s">
        <v>38</v>
      </c>
      <c r="O469" s="9" t="s">
        <v>97</v>
      </c>
      <c r="P469" s="8" t="s">
        <v>92</v>
      </c>
    </row>
    <row r="470" spans="1:16" x14ac:dyDescent="0.25">
      <c r="A470" t="s">
        <v>95</v>
      </c>
      <c r="B470" s="8"/>
      <c r="C470" s="8"/>
      <c r="D470" s="8"/>
      <c r="E470" s="8"/>
      <c r="F470" s="9" t="s">
        <v>79</v>
      </c>
      <c r="G470" s="9" t="s">
        <v>55</v>
      </c>
      <c r="H470" s="8" t="s">
        <v>122</v>
      </c>
      <c r="I470" s="8"/>
      <c r="J470" s="8"/>
      <c r="K470" s="8"/>
      <c r="L470" t="s">
        <v>86</v>
      </c>
      <c r="M470" s="9">
        <v>12</v>
      </c>
      <c r="N470" s="9" t="s">
        <v>38</v>
      </c>
      <c r="O470" s="8"/>
      <c r="P470" s="8" t="s">
        <v>92</v>
      </c>
    </row>
    <row r="471" spans="1:16" x14ac:dyDescent="0.25">
      <c r="A471" t="s">
        <v>343</v>
      </c>
      <c r="B471" s="8"/>
      <c r="C471" s="8"/>
      <c r="D471" s="8"/>
      <c r="E471" s="8"/>
      <c r="F471" s="9" t="s">
        <v>346</v>
      </c>
      <c r="G471" s="9" t="s">
        <v>55</v>
      </c>
      <c r="H471" s="8"/>
      <c r="I471" s="8"/>
      <c r="J471" s="8"/>
      <c r="K471" s="8"/>
      <c r="L471" t="s">
        <v>85</v>
      </c>
      <c r="M471" s="11">
        <v>69</v>
      </c>
      <c r="N471" s="9" t="s">
        <v>38</v>
      </c>
      <c r="O471" s="9" t="s">
        <v>366</v>
      </c>
      <c r="P471" s="26" t="s">
        <v>347</v>
      </c>
    </row>
    <row r="472" spans="1:16" x14ac:dyDescent="0.25">
      <c r="A472" t="s">
        <v>343</v>
      </c>
      <c r="B472" s="8"/>
      <c r="C472" s="8"/>
      <c r="D472" s="8"/>
      <c r="E472" s="8"/>
      <c r="F472" s="9" t="s">
        <v>346</v>
      </c>
      <c r="G472" s="9" t="s">
        <v>55</v>
      </c>
      <c r="H472" s="26" t="s">
        <v>463</v>
      </c>
      <c r="I472" s="26"/>
      <c r="J472" s="26"/>
      <c r="K472" s="26"/>
      <c r="L472" t="s">
        <v>86</v>
      </c>
      <c r="M472" s="16">
        <f>(1/0.5)*8</f>
        <v>16</v>
      </c>
      <c r="N472" s="9" t="s">
        <v>38</v>
      </c>
      <c r="O472" s="9" t="s">
        <v>348</v>
      </c>
      <c r="P472" s="26" t="s">
        <v>347</v>
      </c>
    </row>
    <row r="473" spans="1:16" x14ac:dyDescent="0.25">
      <c r="A473" t="s">
        <v>343</v>
      </c>
      <c r="B473" s="8"/>
      <c r="C473" s="8"/>
      <c r="D473" s="8"/>
      <c r="E473" s="8"/>
      <c r="F473" s="9" t="s">
        <v>346</v>
      </c>
      <c r="G473" s="9" t="s">
        <v>55</v>
      </c>
      <c r="H473" s="26" t="s">
        <v>464</v>
      </c>
      <c r="I473" s="8"/>
      <c r="J473" s="8"/>
      <c r="K473" s="8"/>
      <c r="L473" t="s">
        <v>86</v>
      </c>
      <c r="M473" s="16">
        <f>(1/0.5)*3</f>
        <v>6</v>
      </c>
      <c r="N473" s="9" t="s">
        <v>38</v>
      </c>
      <c r="O473" s="9" t="s">
        <v>348</v>
      </c>
      <c r="P473" s="26" t="s">
        <v>347</v>
      </c>
    </row>
    <row r="474" spans="1:16" x14ac:dyDescent="0.25">
      <c r="A474" t="s">
        <v>343</v>
      </c>
      <c r="B474" s="8"/>
      <c r="C474" s="8"/>
      <c r="D474" s="8"/>
      <c r="E474" s="8"/>
      <c r="F474" s="9" t="s">
        <v>346</v>
      </c>
      <c r="G474" s="9" t="s">
        <v>55</v>
      </c>
      <c r="H474" s="26" t="s">
        <v>465</v>
      </c>
      <c r="I474" s="8"/>
      <c r="J474" s="8"/>
      <c r="K474" s="8"/>
      <c r="L474" t="s">
        <v>86</v>
      </c>
      <c r="M474" s="9">
        <f>(1/0.5)*8</f>
        <v>16</v>
      </c>
      <c r="N474" s="9" t="s">
        <v>38</v>
      </c>
      <c r="O474" s="9" t="s">
        <v>348</v>
      </c>
      <c r="P474" s="26" t="s">
        <v>347</v>
      </c>
    </row>
    <row r="475" spans="1:16" x14ac:dyDescent="0.25">
      <c r="A475" t="s">
        <v>265</v>
      </c>
      <c r="B475" s="8"/>
      <c r="C475" s="8"/>
      <c r="D475" s="8"/>
      <c r="E475" s="8"/>
      <c r="F475" s="9" t="s">
        <v>266</v>
      </c>
      <c r="G475" s="9" t="s">
        <v>55</v>
      </c>
      <c r="H475" s="8"/>
      <c r="I475" s="8"/>
      <c r="J475" s="8"/>
      <c r="K475" s="8"/>
      <c r="L475" t="s">
        <v>85</v>
      </c>
      <c r="M475" s="11">
        <v>90</v>
      </c>
      <c r="N475" s="9" t="s">
        <v>38</v>
      </c>
      <c r="O475" s="9" t="s">
        <v>364</v>
      </c>
      <c r="P475" s="47" t="s">
        <v>363</v>
      </c>
    </row>
    <row r="476" spans="1:16" x14ac:dyDescent="0.25">
      <c r="A476" s="6" t="s">
        <v>265</v>
      </c>
      <c r="B476" s="10"/>
      <c r="C476" s="10"/>
      <c r="D476" s="10"/>
      <c r="E476" s="10"/>
      <c r="F476" s="11" t="s">
        <v>266</v>
      </c>
      <c r="G476" s="11" t="s">
        <v>55</v>
      </c>
      <c r="H476" s="11" t="s">
        <v>267</v>
      </c>
      <c r="I476" s="8"/>
      <c r="J476" s="8"/>
      <c r="K476" s="8"/>
      <c r="M476" s="9"/>
      <c r="N476" s="9"/>
      <c r="O476" s="8"/>
      <c r="P476" s="8"/>
    </row>
    <row r="477" spans="1:16" x14ac:dyDescent="0.25">
      <c r="A477" t="s">
        <v>453</v>
      </c>
      <c r="H477" s="8" t="s">
        <v>462</v>
      </c>
      <c r="L477" t="s">
        <v>85</v>
      </c>
      <c r="M477">
        <v>100</v>
      </c>
      <c r="N477" t="s">
        <v>38</v>
      </c>
    </row>
    <row r="478" spans="1:16" x14ac:dyDescent="0.25">
      <c r="A478" t="s">
        <v>454</v>
      </c>
      <c r="H478" t="s">
        <v>461</v>
      </c>
      <c r="L478" t="s">
        <v>85</v>
      </c>
      <c r="M478">
        <v>100</v>
      </c>
      <c r="N478" t="s">
        <v>38</v>
      </c>
    </row>
    <row r="479" spans="1:16" x14ac:dyDescent="0.25">
      <c r="A479" s="4" t="s">
        <v>15</v>
      </c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5"/>
      <c r="M479" s="5"/>
      <c r="N479" s="5"/>
      <c r="O479" s="5"/>
      <c r="P479" s="5"/>
    </row>
    <row r="480" spans="1:16" x14ac:dyDescent="0.25">
      <c r="A480" t="s">
        <v>15</v>
      </c>
      <c r="B480" s="8"/>
      <c r="C480" s="8"/>
      <c r="D480" s="8"/>
      <c r="E480" s="8"/>
      <c r="F480" s="9" t="s">
        <v>266</v>
      </c>
      <c r="G480" s="9" t="s">
        <v>322</v>
      </c>
      <c r="H480" s="8"/>
      <c r="I480" s="8"/>
      <c r="J480" s="8"/>
      <c r="K480" s="8"/>
      <c r="L480" t="s">
        <v>85</v>
      </c>
      <c r="M480" s="9">
        <v>100</v>
      </c>
      <c r="N480" s="9" t="s">
        <v>38</v>
      </c>
      <c r="O480" s="8"/>
      <c r="P480" s="8"/>
    </row>
    <row r="481" spans="1:16" x14ac:dyDescent="0.25">
      <c r="A481" s="6" t="s">
        <v>378</v>
      </c>
      <c r="B481" s="10"/>
      <c r="C481" s="10"/>
      <c r="D481" s="10"/>
      <c r="E481" s="10"/>
      <c r="F481" s="11" t="s">
        <v>266</v>
      </c>
      <c r="G481" s="11" t="s">
        <v>322</v>
      </c>
      <c r="H481" s="10"/>
      <c r="I481" s="10"/>
      <c r="J481" s="10"/>
      <c r="K481" s="10"/>
      <c r="L481" s="6" t="s">
        <v>85</v>
      </c>
      <c r="M481" s="11">
        <v>100</v>
      </c>
      <c r="N481" s="11" t="s">
        <v>38</v>
      </c>
      <c r="O481" s="8"/>
      <c r="P481" s="8"/>
    </row>
    <row r="482" spans="1:16" x14ac:dyDescent="0.25">
      <c r="A482" s="4" t="s">
        <v>20</v>
      </c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5"/>
      <c r="M482" s="5"/>
      <c r="N482" s="5"/>
      <c r="O482" s="5"/>
      <c r="P482" s="5"/>
    </row>
    <row r="483" spans="1:16" x14ac:dyDescent="0.25">
      <c r="A483" t="s">
        <v>200</v>
      </c>
      <c r="D483" t="s">
        <v>209</v>
      </c>
      <c r="L483" t="s">
        <v>85</v>
      </c>
      <c r="M483">
        <v>100</v>
      </c>
      <c r="N483" t="s">
        <v>38</v>
      </c>
    </row>
    <row r="484" spans="1:16" x14ac:dyDescent="0.25">
      <c r="A484" s="26" t="s">
        <v>201</v>
      </c>
      <c r="D484" t="s">
        <v>210</v>
      </c>
      <c r="L484" t="s">
        <v>85</v>
      </c>
      <c r="M484">
        <v>100</v>
      </c>
      <c r="N484" t="s">
        <v>38</v>
      </c>
    </row>
    <row r="485" spans="1:16" x14ac:dyDescent="0.25">
      <c r="A485" s="26" t="s">
        <v>202</v>
      </c>
      <c r="D485" t="s">
        <v>211</v>
      </c>
      <c r="L485" t="s">
        <v>85</v>
      </c>
      <c r="M485">
        <v>100</v>
      </c>
      <c r="N485" t="s">
        <v>38</v>
      </c>
    </row>
    <row r="486" spans="1:16" x14ac:dyDescent="0.25">
      <c r="A486" s="6" t="s">
        <v>203</v>
      </c>
    </row>
    <row r="487" spans="1:16" s="17" customFormat="1" x14ac:dyDescent="0.25">
      <c r="A487" s="17" t="s">
        <v>204</v>
      </c>
      <c r="B487" s="19"/>
      <c r="C487" s="19"/>
      <c r="D487" s="19" t="s">
        <v>428</v>
      </c>
      <c r="E487" s="19"/>
      <c r="F487" s="18"/>
      <c r="G487" s="18"/>
      <c r="H487" s="19"/>
      <c r="I487" s="19"/>
      <c r="J487" s="19"/>
      <c r="K487" s="19"/>
      <c r="L487" s="17" t="s">
        <v>85</v>
      </c>
      <c r="M487" s="17">
        <v>100</v>
      </c>
      <c r="N487" s="17" t="s">
        <v>38</v>
      </c>
      <c r="O487" s="19"/>
      <c r="P487" s="19"/>
    </row>
    <row r="488" spans="1:16" s="17" customFormat="1" x14ac:dyDescent="0.25">
      <c r="A488" s="17" t="s">
        <v>380</v>
      </c>
      <c r="B488" s="19"/>
      <c r="C488" s="19"/>
      <c r="D488" s="19" t="s">
        <v>429</v>
      </c>
      <c r="E488" s="19"/>
      <c r="F488" s="18"/>
      <c r="G488" s="18"/>
      <c r="H488" s="19"/>
      <c r="I488" s="19"/>
      <c r="J488" s="19"/>
      <c r="K488" s="19"/>
      <c r="L488" s="17" t="s">
        <v>85</v>
      </c>
      <c r="M488" s="17">
        <v>100</v>
      </c>
      <c r="N488" s="17" t="s">
        <v>38</v>
      </c>
      <c r="O488" s="19"/>
      <c r="P488" s="19"/>
    </row>
    <row r="489" spans="1:16" s="17" customFormat="1" x14ac:dyDescent="0.25">
      <c r="A489" s="17" t="s">
        <v>381</v>
      </c>
      <c r="B489" s="19"/>
      <c r="C489" s="19"/>
      <c r="D489" s="19" t="s">
        <v>430</v>
      </c>
      <c r="E489" s="19"/>
      <c r="F489" s="18"/>
      <c r="G489" s="18"/>
      <c r="H489" s="19"/>
      <c r="I489" s="19"/>
      <c r="J489" s="19"/>
      <c r="K489" s="19"/>
      <c r="L489" s="17" t="s">
        <v>85</v>
      </c>
      <c r="M489" s="17">
        <v>100</v>
      </c>
      <c r="N489" s="17" t="s">
        <v>38</v>
      </c>
      <c r="O489" s="19"/>
      <c r="P489" s="19"/>
    </row>
    <row r="490" spans="1:16" x14ac:dyDescent="0.25">
      <c r="A490" s="4" t="s">
        <v>22</v>
      </c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5"/>
      <c r="M490" s="5"/>
      <c r="N490" s="5"/>
      <c r="O490" s="5"/>
      <c r="P490" s="5"/>
    </row>
    <row r="491" spans="1:16" x14ac:dyDescent="0.25">
      <c r="A491" t="s">
        <v>124</v>
      </c>
      <c r="D491" t="s">
        <v>126</v>
      </c>
      <c r="J491" t="s">
        <v>45</v>
      </c>
      <c r="L491" t="s">
        <v>85</v>
      </c>
      <c r="M491" s="21">
        <v>38</v>
      </c>
      <c r="N491" t="s">
        <v>38</v>
      </c>
      <c r="O491" s="11"/>
      <c r="P491" s="8" t="s">
        <v>92</v>
      </c>
    </row>
    <row r="492" spans="1:16" x14ac:dyDescent="0.25">
      <c r="A492" t="s">
        <v>124</v>
      </c>
      <c r="D492" t="s">
        <v>126</v>
      </c>
      <c r="H492" t="s">
        <v>127</v>
      </c>
      <c r="J492" t="s">
        <v>45</v>
      </c>
      <c r="L492" t="s">
        <v>86</v>
      </c>
      <c r="M492" s="21">
        <v>60</v>
      </c>
      <c r="N492" t="s">
        <v>38</v>
      </c>
      <c r="P492" s="8" t="s">
        <v>92</v>
      </c>
    </row>
    <row r="493" spans="1:16" x14ac:dyDescent="0.25">
      <c r="A493" t="s">
        <v>124</v>
      </c>
      <c r="D493" t="s">
        <v>126</v>
      </c>
      <c r="J493" t="s">
        <v>43</v>
      </c>
      <c r="L493" t="s">
        <v>85</v>
      </c>
      <c r="M493" s="21">
        <v>32</v>
      </c>
      <c r="N493" t="s">
        <v>38</v>
      </c>
      <c r="O493" t="s">
        <v>129</v>
      </c>
      <c r="P493" s="8"/>
    </row>
    <row r="494" spans="1:16" x14ac:dyDescent="0.25">
      <c r="A494" t="s">
        <v>124</v>
      </c>
      <c r="D494" t="s">
        <v>126</v>
      </c>
      <c r="H494" t="s">
        <v>128</v>
      </c>
      <c r="J494" t="s">
        <v>43</v>
      </c>
      <c r="L494" t="s">
        <v>86</v>
      </c>
      <c r="M494" s="21">
        <v>68</v>
      </c>
      <c r="N494" t="s">
        <v>38</v>
      </c>
      <c r="P494" s="8"/>
    </row>
    <row r="495" spans="1:16" s="17" customFormat="1" x14ac:dyDescent="0.25">
      <c r="A495" s="17" t="s">
        <v>388</v>
      </c>
      <c r="D495" s="17" t="s">
        <v>126</v>
      </c>
      <c r="J495" s="17" t="s">
        <v>45</v>
      </c>
      <c r="L495" s="17" t="s">
        <v>85</v>
      </c>
      <c r="M495" s="15">
        <v>38</v>
      </c>
      <c r="N495" s="17" t="s">
        <v>38</v>
      </c>
      <c r="P495" s="19"/>
    </row>
    <row r="496" spans="1:16" s="17" customFormat="1" x14ac:dyDescent="0.25">
      <c r="A496" s="17" t="s">
        <v>388</v>
      </c>
      <c r="D496" s="17" t="s">
        <v>126</v>
      </c>
      <c r="H496" s="17" t="s">
        <v>127</v>
      </c>
      <c r="J496" s="17" t="s">
        <v>45</v>
      </c>
      <c r="L496" s="17" t="s">
        <v>86</v>
      </c>
      <c r="M496" s="15">
        <v>60</v>
      </c>
      <c r="N496" s="17" t="s">
        <v>38</v>
      </c>
      <c r="P496" s="19"/>
    </row>
    <row r="497" spans="1:16" s="17" customFormat="1" x14ac:dyDescent="0.25">
      <c r="A497" s="17" t="s">
        <v>388</v>
      </c>
      <c r="D497" s="17" t="s">
        <v>126</v>
      </c>
      <c r="J497" s="17" t="s">
        <v>43</v>
      </c>
      <c r="L497" s="17" t="s">
        <v>85</v>
      </c>
      <c r="M497" s="15">
        <v>32</v>
      </c>
      <c r="N497" s="17" t="s">
        <v>38</v>
      </c>
      <c r="P497" s="19"/>
    </row>
    <row r="498" spans="1:16" s="17" customFormat="1" x14ac:dyDescent="0.25">
      <c r="A498" s="17" t="s">
        <v>388</v>
      </c>
      <c r="D498" s="17" t="s">
        <v>126</v>
      </c>
      <c r="H498" s="17" t="s">
        <v>128</v>
      </c>
      <c r="J498" s="17" t="s">
        <v>43</v>
      </c>
      <c r="L498" s="17" t="s">
        <v>86</v>
      </c>
      <c r="M498" s="15">
        <v>68</v>
      </c>
      <c r="N498" s="17" t="s">
        <v>38</v>
      </c>
      <c r="P498" s="19"/>
    </row>
    <row r="499" spans="1:16" s="17" customFormat="1" x14ac:dyDescent="0.25">
      <c r="A499" s="17" t="s">
        <v>131</v>
      </c>
      <c r="D499" s="17" t="s">
        <v>431</v>
      </c>
      <c r="L499" s="17" t="s">
        <v>85</v>
      </c>
      <c r="M499" s="15">
        <v>43</v>
      </c>
      <c r="N499" s="17" t="s">
        <v>38</v>
      </c>
      <c r="O499" s="17" t="s">
        <v>432</v>
      </c>
      <c r="P499" s="19"/>
    </row>
    <row r="500" spans="1:16" s="17" customFormat="1" x14ac:dyDescent="0.25">
      <c r="A500" s="17" t="s">
        <v>131</v>
      </c>
      <c r="D500" s="17" t="s">
        <v>431</v>
      </c>
      <c r="H500" s="17" t="s">
        <v>466</v>
      </c>
      <c r="L500" s="17" t="s">
        <v>86</v>
      </c>
      <c r="M500" s="15">
        <v>47</v>
      </c>
      <c r="N500" s="17" t="s">
        <v>38</v>
      </c>
      <c r="P500" s="19"/>
    </row>
    <row r="501" spans="1:16" x14ac:dyDescent="0.25">
      <c r="A501" s="4" t="s">
        <v>24</v>
      </c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5"/>
      <c r="M501" s="5"/>
      <c r="N501" s="5"/>
      <c r="O501" s="5"/>
      <c r="P501" s="5"/>
    </row>
    <row r="502" spans="1:16" x14ac:dyDescent="0.25">
      <c r="A502" t="s">
        <v>215</v>
      </c>
      <c r="D502" t="s">
        <v>222</v>
      </c>
      <c r="L502" t="s">
        <v>85</v>
      </c>
      <c r="M502" s="22">
        <f>161/1000*100</f>
        <v>16.100000000000001</v>
      </c>
      <c r="N502" t="s">
        <v>38</v>
      </c>
      <c r="O502" t="s">
        <v>333</v>
      </c>
      <c r="P502" s="17" t="s">
        <v>335</v>
      </c>
    </row>
    <row r="503" spans="1:16" x14ac:dyDescent="0.25">
      <c r="A503" t="s">
        <v>215</v>
      </c>
      <c r="D503" t="s">
        <v>222</v>
      </c>
      <c r="H503" t="s">
        <v>223</v>
      </c>
      <c r="L503" t="s">
        <v>86</v>
      </c>
      <c r="M503" s="22">
        <f>(6.4+25.2)/1000/0.9*100</f>
        <v>3.5111111111111115</v>
      </c>
      <c r="N503" t="s">
        <v>38</v>
      </c>
      <c r="O503" t="s">
        <v>336</v>
      </c>
      <c r="P503" s="17" t="s">
        <v>335</v>
      </c>
    </row>
    <row r="504" spans="1:16" x14ac:dyDescent="0.25">
      <c r="A504" t="s">
        <v>215</v>
      </c>
      <c r="D504" t="s">
        <v>222</v>
      </c>
      <c r="H504" t="s">
        <v>224</v>
      </c>
      <c r="L504" t="s">
        <v>86</v>
      </c>
      <c r="M504" s="22">
        <f>19/1000/0.76*100</f>
        <v>2.5</v>
      </c>
      <c r="N504" t="s">
        <v>38</v>
      </c>
      <c r="O504" t="s">
        <v>337</v>
      </c>
      <c r="P504" s="17" t="s">
        <v>335</v>
      </c>
    </row>
    <row r="505" spans="1:16" x14ac:dyDescent="0.25">
      <c r="A505" t="s">
        <v>217</v>
      </c>
      <c r="D505" t="s">
        <v>222</v>
      </c>
      <c r="L505" t="s">
        <v>85</v>
      </c>
      <c r="M505" s="43">
        <f>M502/0.8</f>
        <v>20.125</v>
      </c>
      <c r="N505" t="s">
        <v>38</v>
      </c>
      <c r="O505" s="17" t="s">
        <v>338</v>
      </c>
    </row>
    <row r="506" spans="1:16" x14ac:dyDescent="0.25">
      <c r="A506" t="s">
        <v>217</v>
      </c>
      <c r="D506" t="s">
        <v>222</v>
      </c>
      <c r="H506" t="s">
        <v>223</v>
      </c>
      <c r="L506" t="s">
        <v>86</v>
      </c>
      <c r="M506" s="43">
        <f>M503</f>
        <v>3.5111111111111115</v>
      </c>
      <c r="N506" t="s">
        <v>38</v>
      </c>
    </row>
    <row r="507" spans="1:16" x14ac:dyDescent="0.25">
      <c r="A507" t="s">
        <v>217</v>
      </c>
      <c r="D507" t="s">
        <v>222</v>
      </c>
      <c r="H507" t="s">
        <v>224</v>
      </c>
      <c r="L507" t="s">
        <v>86</v>
      </c>
      <c r="M507" s="43">
        <f>M504</f>
        <v>2.5</v>
      </c>
      <c r="N507" t="s">
        <v>38</v>
      </c>
    </row>
    <row r="508" spans="1:16" x14ac:dyDescent="0.25">
      <c r="A508" s="6" t="s">
        <v>216</v>
      </c>
    </row>
    <row r="509" spans="1:16" x14ac:dyDescent="0.25">
      <c r="A509" s="4" t="s">
        <v>29</v>
      </c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5"/>
      <c r="M509" s="5"/>
      <c r="N509" s="5"/>
      <c r="O509" s="5"/>
      <c r="P509" s="5"/>
    </row>
    <row r="510" spans="1:16" x14ac:dyDescent="0.25">
      <c r="A510" t="s">
        <v>225</v>
      </c>
      <c r="B510" s="10"/>
      <c r="C510" s="10"/>
      <c r="D510" s="8" t="s">
        <v>235</v>
      </c>
      <c r="E510" s="8"/>
      <c r="F510" s="10"/>
      <c r="G510" s="10"/>
      <c r="H510" s="10"/>
      <c r="I510" s="10"/>
      <c r="J510" s="10"/>
      <c r="K510" s="10"/>
      <c r="L510" t="s">
        <v>85</v>
      </c>
      <c r="M510" s="20">
        <v>70</v>
      </c>
      <c r="N510" s="9" t="s">
        <v>38</v>
      </c>
      <c r="O510" s="8"/>
      <c r="P510" s="8" t="s">
        <v>92</v>
      </c>
    </row>
    <row r="511" spans="1:16" x14ac:dyDescent="0.25">
      <c r="A511" t="s">
        <v>228</v>
      </c>
      <c r="B511" s="10"/>
      <c r="C511" s="10"/>
      <c r="D511" s="8" t="s">
        <v>48</v>
      </c>
      <c r="E511" s="8"/>
      <c r="F511" s="10"/>
      <c r="G511" s="10"/>
      <c r="H511" s="10"/>
      <c r="I511" s="10"/>
      <c r="J511" s="10"/>
      <c r="K511" s="10"/>
      <c r="L511" t="s">
        <v>85</v>
      </c>
      <c r="M511" s="20">
        <f>655*0.7</f>
        <v>458.49999999999994</v>
      </c>
      <c r="N511" s="9" t="s">
        <v>38</v>
      </c>
      <c r="O511" s="8"/>
      <c r="P511" s="8" t="s">
        <v>92</v>
      </c>
    </row>
    <row r="512" spans="1:16" x14ac:dyDescent="0.25">
      <c r="A512" t="s">
        <v>228</v>
      </c>
      <c r="B512" s="10"/>
      <c r="C512" s="10"/>
      <c r="D512" s="8" t="s">
        <v>48</v>
      </c>
      <c r="E512" s="8"/>
      <c r="F512" s="10"/>
      <c r="G512" s="10"/>
      <c r="H512" s="19" t="s">
        <v>123</v>
      </c>
      <c r="I512" s="10"/>
      <c r="J512" s="10"/>
      <c r="K512" s="10"/>
      <c r="L512" t="s">
        <v>86</v>
      </c>
      <c r="M512" s="20">
        <f>1*(M511/100)*0.2*100</f>
        <v>91.699999999999989</v>
      </c>
      <c r="N512" s="9" t="s">
        <v>38</v>
      </c>
      <c r="O512" s="8" t="s">
        <v>115</v>
      </c>
      <c r="P512" s="8" t="s">
        <v>114</v>
      </c>
    </row>
    <row r="513" spans="1:16" x14ac:dyDescent="0.25">
      <c r="B513" s="10"/>
      <c r="C513" s="10"/>
      <c r="D513" s="8"/>
      <c r="E513" s="8"/>
      <c r="F513" s="10"/>
      <c r="G513" s="10"/>
      <c r="H513" s="10" t="s">
        <v>174</v>
      </c>
      <c r="I513" s="10"/>
      <c r="J513" s="10"/>
      <c r="K513" s="10"/>
      <c r="M513" s="20"/>
      <c r="N513" s="9"/>
      <c r="O513" s="10" t="s">
        <v>175</v>
      </c>
      <c r="P513" s="8"/>
    </row>
    <row r="514" spans="1:16" x14ac:dyDescent="0.25">
      <c r="A514" t="s">
        <v>226</v>
      </c>
      <c r="B514" s="10"/>
      <c r="C514" s="10"/>
      <c r="D514" s="9" t="s">
        <v>236</v>
      </c>
      <c r="E514" s="9"/>
      <c r="F514" s="10"/>
      <c r="G514" s="10"/>
      <c r="H514" s="19"/>
      <c r="I514" s="10"/>
      <c r="J514" s="10"/>
      <c r="K514" s="10"/>
      <c r="L514" t="s">
        <v>85</v>
      </c>
      <c r="M514" s="20">
        <v>65</v>
      </c>
      <c r="N514" s="9" t="s">
        <v>38</v>
      </c>
      <c r="O514" s="8"/>
      <c r="P514" s="8" t="s">
        <v>92</v>
      </c>
    </row>
    <row r="515" spans="1:16" x14ac:dyDescent="0.25">
      <c r="A515" t="s">
        <v>226</v>
      </c>
      <c r="B515" s="10"/>
      <c r="C515" s="10"/>
      <c r="D515" s="9" t="s">
        <v>236</v>
      </c>
      <c r="E515" s="9"/>
      <c r="F515" s="10"/>
      <c r="G515" s="10"/>
      <c r="H515" s="19" t="s">
        <v>237</v>
      </c>
      <c r="I515" s="10"/>
      <c r="J515" s="10"/>
      <c r="K515" s="10"/>
      <c r="L515" t="s">
        <v>86</v>
      </c>
      <c r="M515" s="20">
        <v>35</v>
      </c>
      <c r="N515" s="9" t="s">
        <v>38</v>
      </c>
      <c r="O515" s="8"/>
      <c r="P515" s="8" t="s">
        <v>92</v>
      </c>
    </row>
    <row r="516" spans="1:16" x14ac:dyDescent="0.25">
      <c r="A516" t="s">
        <v>229</v>
      </c>
      <c r="B516" s="10"/>
      <c r="C516" s="10"/>
      <c r="D516" s="9" t="s">
        <v>37</v>
      </c>
      <c r="E516" s="9"/>
      <c r="F516" s="10"/>
      <c r="G516" s="10"/>
      <c r="H516" s="19"/>
      <c r="I516" s="10"/>
      <c r="J516" s="10"/>
      <c r="K516" s="10"/>
      <c r="L516" t="s">
        <v>85</v>
      </c>
      <c r="M516" s="20">
        <v>30</v>
      </c>
      <c r="N516" s="9" t="s">
        <v>38</v>
      </c>
      <c r="O516" s="8"/>
      <c r="P516" s="8" t="s">
        <v>92</v>
      </c>
    </row>
    <row r="517" spans="1:16" x14ac:dyDescent="0.25">
      <c r="A517" t="s">
        <v>229</v>
      </c>
      <c r="B517" s="10"/>
      <c r="C517" s="10"/>
      <c r="D517" s="9" t="s">
        <v>37</v>
      </c>
      <c r="E517" s="9"/>
      <c r="F517" s="10"/>
      <c r="G517" s="10"/>
      <c r="H517" s="10" t="s">
        <v>238</v>
      </c>
      <c r="I517" s="10"/>
      <c r="J517" s="10"/>
      <c r="K517" s="10"/>
      <c r="L517" s="6" t="s">
        <v>86</v>
      </c>
      <c r="M517" s="12">
        <v>11</v>
      </c>
      <c r="N517" s="11" t="s">
        <v>38</v>
      </c>
      <c r="O517" s="10" t="s">
        <v>327</v>
      </c>
      <c r="P517" s="10" t="s">
        <v>92</v>
      </c>
    </row>
    <row r="518" spans="1:16" x14ac:dyDescent="0.25">
      <c r="A518" s="4" t="s">
        <v>33</v>
      </c>
      <c r="B518" s="4"/>
      <c r="C518" s="4"/>
      <c r="D518" s="4"/>
      <c r="E518" s="48"/>
      <c r="F518" s="4"/>
      <c r="G518" s="4"/>
      <c r="H518" s="4"/>
      <c r="I518" s="4"/>
      <c r="J518" s="4"/>
      <c r="K518" s="4"/>
      <c r="L518" s="5"/>
      <c r="M518" s="5"/>
      <c r="N518" s="5"/>
      <c r="O518" s="5"/>
      <c r="P518" s="5"/>
    </row>
    <row r="519" spans="1:16" s="17" customFormat="1" x14ac:dyDescent="0.25">
      <c r="A519" s="58" t="s">
        <v>390</v>
      </c>
      <c r="B519" s="58"/>
      <c r="C519" s="58"/>
      <c r="D519" s="58" t="s">
        <v>209</v>
      </c>
      <c r="E519" s="58"/>
      <c r="F519" s="59"/>
      <c r="G519" s="59"/>
      <c r="H519" s="59"/>
      <c r="I519" s="59"/>
      <c r="J519" s="58"/>
      <c r="K519" s="59"/>
      <c r="L519" s="17" t="s">
        <v>85</v>
      </c>
      <c r="M519" s="52">
        <v>94</v>
      </c>
      <c r="N519" s="58" t="s">
        <v>38</v>
      </c>
      <c r="O519" s="58"/>
      <c r="P519" s="19"/>
    </row>
    <row r="520" spans="1:16" s="17" customFormat="1" x14ac:dyDescent="0.25">
      <c r="A520" s="58" t="s">
        <v>390</v>
      </c>
      <c r="B520" s="58"/>
      <c r="C520" s="58"/>
      <c r="D520" s="58" t="s">
        <v>209</v>
      </c>
      <c r="E520" s="58"/>
      <c r="F520" s="59"/>
      <c r="G520" s="59"/>
      <c r="H520" s="58" t="s">
        <v>433</v>
      </c>
      <c r="I520" s="59"/>
      <c r="J520" s="58"/>
      <c r="K520" s="59"/>
      <c r="L520" s="17" t="s">
        <v>86</v>
      </c>
      <c r="M520" s="29">
        <f>11*0.94</f>
        <v>10.34</v>
      </c>
      <c r="N520" s="58" t="s">
        <v>38</v>
      </c>
      <c r="O520" s="58" t="s">
        <v>434</v>
      </c>
      <c r="P520" s="19"/>
    </row>
    <row r="521" spans="1:16" s="17" customFormat="1" x14ac:dyDescent="0.25">
      <c r="A521" s="58" t="s">
        <v>394</v>
      </c>
      <c r="B521" s="58"/>
      <c r="C521" s="58"/>
      <c r="D521" s="58" t="s">
        <v>37</v>
      </c>
      <c r="E521" s="58"/>
      <c r="F521" s="58"/>
      <c r="G521" s="58"/>
      <c r="H521" s="58"/>
      <c r="I521" s="58"/>
      <c r="J521" s="58"/>
      <c r="K521" s="58"/>
      <c r="L521" s="17" t="s">
        <v>85</v>
      </c>
      <c r="M521" s="17">
        <v>31</v>
      </c>
      <c r="N521" s="58" t="s">
        <v>38</v>
      </c>
      <c r="O521" s="58" t="s">
        <v>418</v>
      </c>
      <c r="P521" s="19"/>
    </row>
    <row r="522" spans="1:16" s="17" customFormat="1" x14ac:dyDescent="0.25">
      <c r="A522" s="58" t="s">
        <v>394</v>
      </c>
      <c r="B522" s="58"/>
      <c r="C522" s="58"/>
      <c r="D522" s="58" t="s">
        <v>37</v>
      </c>
      <c r="E522" s="58"/>
      <c r="F522" s="58"/>
      <c r="G522" s="58"/>
      <c r="H522" s="58" t="s">
        <v>435</v>
      </c>
      <c r="I522" s="58"/>
      <c r="J522" s="58"/>
      <c r="K522" s="58"/>
      <c r="L522" s="17" t="s">
        <v>86</v>
      </c>
      <c r="M522" s="29">
        <f>69*0.31</f>
        <v>21.39</v>
      </c>
      <c r="N522" s="58" t="s">
        <v>38</v>
      </c>
      <c r="O522" s="58"/>
      <c r="P522" s="19"/>
    </row>
    <row r="523" spans="1:16" s="17" customFormat="1" x14ac:dyDescent="0.25">
      <c r="A523" s="58" t="s">
        <v>394</v>
      </c>
      <c r="B523" s="58"/>
      <c r="C523" s="58"/>
      <c r="D523" s="58" t="s">
        <v>37</v>
      </c>
      <c r="E523" s="58"/>
      <c r="F523" s="58"/>
      <c r="G523" s="58"/>
      <c r="H523" s="58" t="s">
        <v>436</v>
      </c>
      <c r="I523" s="58"/>
      <c r="J523" s="58"/>
      <c r="K523" s="58"/>
      <c r="L523" s="17" t="s">
        <v>86</v>
      </c>
      <c r="M523" s="29">
        <f>1.9*0.31</f>
        <v>0.58899999999999997</v>
      </c>
      <c r="N523" s="58" t="s">
        <v>38</v>
      </c>
      <c r="O523" s="58"/>
      <c r="P523" s="19"/>
    </row>
    <row r="524" spans="1:16" s="17" customFormat="1" x14ac:dyDescent="0.25">
      <c r="A524" s="58" t="s">
        <v>395</v>
      </c>
      <c r="B524" s="58"/>
      <c r="C524" s="58"/>
      <c r="D524" s="58" t="s">
        <v>91</v>
      </c>
      <c r="E524" s="58"/>
      <c r="F524" s="58"/>
      <c r="G524" s="58"/>
      <c r="H524" s="58"/>
      <c r="I524" s="58"/>
      <c r="J524" s="58"/>
      <c r="K524" s="58"/>
      <c r="L524" s="17" t="s">
        <v>85</v>
      </c>
      <c r="M524" s="17">
        <v>769</v>
      </c>
      <c r="N524" s="58" t="s">
        <v>38</v>
      </c>
      <c r="O524" s="58"/>
      <c r="P524" s="19"/>
    </row>
    <row r="525" spans="1:16" s="17" customFormat="1" x14ac:dyDescent="0.25">
      <c r="A525" s="58" t="s">
        <v>395</v>
      </c>
      <c r="B525" s="58"/>
      <c r="C525" s="58"/>
      <c r="D525" s="58" t="s">
        <v>91</v>
      </c>
      <c r="E525" s="58"/>
      <c r="F525" s="58"/>
      <c r="G525" s="58"/>
      <c r="H525" s="58" t="s">
        <v>437</v>
      </c>
      <c r="I525" s="58"/>
      <c r="J525" s="58"/>
      <c r="K525" s="58"/>
      <c r="L525" s="17" t="s">
        <v>86</v>
      </c>
      <c r="M525" s="29">
        <f>1.5*7.69</f>
        <v>11.535</v>
      </c>
      <c r="N525" s="58" t="s">
        <v>38</v>
      </c>
      <c r="O525" s="58"/>
      <c r="P525" s="19"/>
    </row>
    <row r="526" spans="1:16" s="17" customFormat="1" x14ac:dyDescent="0.25">
      <c r="A526" s="58" t="s">
        <v>397</v>
      </c>
      <c r="B526" s="58"/>
      <c r="C526" s="58"/>
      <c r="D526" s="58" t="s">
        <v>222</v>
      </c>
      <c r="E526" s="58"/>
      <c r="F526" s="59"/>
      <c r="G526" s="59"/>
      <c r="H526" s="59"/>
      <c r="I526" s="59"/>
      <c r="J526" s="58"/>
      <c r="K526" s="59"/>
      <c r="L526" s="17" t="s">
        <v>85</v>
      </c>
      <c r="M526" s="29">
        <f>M502*0.55</f>
        <v>8.8550000000000022</v>
      </c>
      <c r="N526" s="58" t="s">
        <v>38</v>
      </c>
      <c r="O526" s="58"/>
      <c r="P526" s="19"/>
    </row>
    <row r="527" spans="1:16" s="17" customFormat="1" x14ac:dyDescent="0.25">
      <c r="A527" s="58" t="s">
        <v>397</v>
      </c>
      <c r="B527" s="58"/>
      <c r="C527" s="58"/>
      <c r="D527" s="58" t="s">
        <v>222</v>
      </c>
      <c r="E527" s="58"/>
      <c r="F527" s="59"/>
      <c r="G527" s="59"/>
      <c r="H527" s="17" t="s">
        <v>223</v>
      </c>
      <c r="I527" s="59"/>
      <c r="J527" s="58"/>
      <c r="K527" s="59"/>
      <c r="L527" s="17" t="s">
        <v>86</v>
      </c>
      <c r="M527" s="29">
        <f>M503*0.55</f>
        <v>1.9311111111111114</v>
      </c>
      <c r="N527" s="58" t="s">
        <v>38</v>
      </c>
      <c r="O527" s="58"/>
      <c r="P527" s="19"/>
    </row>
    <row r="528" spans="1:16" s="17" customFormat="1" x14ac:dyDescent="0.25">
      <c r="A528" s="58" t="s">
        <v>397</v>
      </c>
      <c r="B528" s="58"/>
      <c r="C528" s="58"/>
      <c r="D528" s="58" t="s">
        <v>222</v>
      </c>
      <c r="E528" s="58"/>
      <c r="F528" s="59"/>
      <c r="G528" s="59"/>
      <c r="H528" s="17" t="s">
        <v>224</v>
      </c>
      <c r="I528" s="59"/>
      <c r="J528" s="58"/>
      <c r="K528" s="59"/>
      <c r="L528" s="17" t="s">
        <v>86</v>
      </c>
      <c r="M528" s="29">
        <f>M504*0.55</f>
        <v>1.375</v>
      </c>
      <c r="N528" s="58" t="s">
        <v>38</v>
      </c>
      <c r="O528" s="58"/>
      <c r="P528" s="19"/>
    </row>
    <row r="529" spans="1:16" s="17" customFormat="1" x14ac:dyDescent="0.25">
      <c r="A529" s="58" t="s">
        <v>398</v>
      </c>
      <c r="B529" s="58"/>
      <c r="C529" s="58"/>
      <c r="D529" s="58" t="s">
        <v>222</v>
      </c>
      <c r="E529" s="58"/>
      <c r="F529" s="59"/>
      <c r="G529" s="59"/>
      <c r="H529" s="59"/>
      <c r="I529" s="59"/>
      <c r="J529" s="58"/>
      <c r="K529" s="59"/>
      <c r="L529" s="17" t="s">
        <v>85</v>
      </c>
      <c r="M529" s="29">
        <f>M502*1.09</f>
        <v>17.549000000000003</v>
      </c>
      <c r="N529" s="58" t="s">
        <v>38</v>
      </c>
      <c r="O529" s="58"/>
      <c r="P529" s="19"/>
    </row>
    <row r="530" spans="1:16" s="17" customFormat="1" x14ac:dyDescent="0.25">
      <c r="A530" s="58" t="s">
        <v>398</v>
      </c>
      <c r="B530" s="58"/>
      <c r="C530" s="58"/>
      <c r="D530" s="58" t="s">
        <v>222</v>
      </c>
      <c r="E530" s="58"/>
      <c r="F530" s="59"/>
      <c r="G530" s="59"/>
      <c r="H530" s="17" t="s">
        <v>223</v>
      </c>
      <c r="I530" s="59"/>
      <c r="J530" s="58"/>
      <c r="K530" s="59"/>
      <c r="L530" s="17" t="s">
        <v>86</v>
      </c>
      <c r="M530" s="29">
        <f t="shared" ref="M530:M531" si="1">M503*1.09</f>
        <v>3.8271111111111118</v>
      </c>
      <c r="N530" s="58" t="s">
        <v>38</v>
      </c>
      <c r="O530" s="58"/>
      <c r="P530" s="19"/>
    </row>
    <row r="531" spans="1:16" s="17" customFormat="1" x14ac:dyDescent="0.25">
      <c r="A531" s="58" t="s">
        <v>398</v>
      </c>
      <c r="B531" s="58"/>
      <c r="C531" s="58"/>
      <c r="D531" s="58" t="s">
        <v>222</v>
      </c>
      <c r="E531" s="58"/>
      <c r="F531" s="59"/>
      <c r="G531" s="59"/>
      <c r="H531" s="17" t="s">
        <v>224</v>
      </c>
      <c r="I531" s="59"/>
      <c r="J531" s="58"/>
      <c r="K531" s="59"/>
      <c r="L531" s="17" t="s">
        <v>86</v>
      </c>
      <c r="M531" s="29">
        <f t="shared" si="1"/>
        <v>2.7250000000000001</v>
      </c>
      <c r="N531" s="58" t="s">
        <v>38</v>
      </c>
      <c r="O531" s="58"/>
      <c r="P531" s="19"/>
    </row>
    <row r="532" spans="1:16" s="17" customFormat="1" x14ac:dyDescent="0.25">
      <c r="A532" s="58" t="s">
        <v>399</v>
      </c>
      <c r="B532" s="58"/>
      <c r="C532" s="58"/>
      <c r="D532" s="58" t="s">
        <v>222</v>
      </c>
      <c r="E532" s="58"/>
      <c r="F532" s="59"/>
      <c r="G532" s="59"/>
      <c r="H532" s="59"/>
      <c r="I532" s="59"/>
      <c r="J532" s="58"/>
      <c r="K532" s="59"/>
      <c r="L532" s="17" t="s">
        <v>85</v>
      </c>
      <c r="M532" s="29">
        <f>M502*0.67</f>
        <v>10.787000000000001</v>
      </c>
      <c r="N532" s="58" t="s">
        <v>38</v>
      </c>
      <c r="O532" s="58"/>
      <c r="P532" s="19"/>
    </row>
    <row r="533" spans="1:16" s="17" customFormat="1" x14ac:dyDescent="0.25">
      <c r="A533" s="58" t="s">
        <v>399</v>
      </c>
      <c r="B533" s="58"/>
      <c r="C533" s="58"/>
      <c r="D533" s="58" t="s">
        <v>222</v>
      </c>
      <c r="E533" s="58"/>
      <c r="F533" s="59"/>
      <c r="G533" s="59"/>
      <c r="H533" s="17" t="s">
        <v>223</v>
      </c>
      <c r="I533" s="59"/>
      <c r="J533" s="58"/>
      <c r="K533" s="59"/>
      <c r="L533" s="17" t="s">
        <v>86</v>
      </c>
      <c r="M533" s="29">
        <f t="shared" ref="M533:M534" si="2">M503*0.67</f>
        <v>2.352444444444445</v>
      </c>
      <c r="N533" s="58" t="s">
        <v>38</v>
      </c>
      <c r="O533" s="58"/>
      <c r="P533" s="19"/>
    </row>
    <row r="534" spans="1:16" s="17" customFormat="1" x14ac:dyDescent="0.25">
      <c r="A534" s="58" t="s">
        <v>399</v>
      </c>
      <c r="B534" s="58"/>
      <c r="C534" s="58"/>
      <c r="D534" s="58" t="s">
        <v>222</v>
      </c>
      <c r="E534" s="58"/>
      <c r="F534" s="59"/>
      <c r="G534" s="59"/>
      <c r="H534" s="17" t="s">
        <v>224</v>
      </c>
      <c r="I534" s="59"/>
      <c r="J534" s="58"/>
      <c r="K534" s="59"/>
      <c r="L534" s="17" t="s">
        <v>86</v>
      </c>
      <c r="M534" s="29">
        <f t="shared" si="2"/>
        <v>1.675</v>
      </c>
      <c r="N534" s="58" t="s">
        <v>38</v>
      </c>
      <c r="O534" s="58"/>
      <c r="P534" s="19"/>
    </row>
    <row r="535" spans="1:16" s="17" customFormat="1" x14ac:dyDescent="0.25">
      <c r="A535" s="58" t="s">
        <v>400</v>
      </c>
      <c r="B535" s="58"/>
      <c r="C535" s="58"/>
      <c r="D535" s="58" t="s">
        <v>210</v>
      </c>
      <c r="E535" s="58"/>
      <c r="F535" s="59"/>
      <c r="G535" s="59"/>
      <c r="H535" s="59"/>
      <c r="I535" s="59"/>
      <c r="J535" s="58"/>
      <c r="K535" s="59"/>
      <c r="L535" s="17" t="s">
        <v>85</v>
      </c>
      <c r="M535" s="17">
        <v>150</v>
      </c>
      <c r="N535" s="58" t="s">
        <v>38</v>
      </c>
      <c r="O535" s="58"/>
      <c r="P535" s="19"/>
    </row>
    <row r="536" spans="1:16" s="17" customFormat="1" x14ac:dyDescent="0.25">
      <c r="A536" s="58" t="s">
        <v>401</v>
      </c>
      <c r="B536" s="58"/>
      <c r="C536" s="58"/>
      <c r="D536" s="58" t="s">
        <v>210</v>
      </c>
      <c r="E536" s="58"/>
      <c r="F536" s="59"/>
      <c r="G536" s="59"/>
      <c r="H536" s="59"/>
      <c r="I536" s="59"/>
      <c r="J536" s="58"/>
      <c r="K536" s="59"/>
      <c r="L536" s="17" t="s">
        <v>85</v>
      </c>
      <c r="M536" s="17">
        <v>100</v>
      </c>
      <c r="N536" s="58" t="s">
        <v>38</v>
      </c>
      <c r="O536" s="58"/>
      <c r="P536" s="19"/>
    </row>
    <row r="537" spans="1:16" s="17" customFormat="1" x14ac:dyDescent="0.25">
      <c r="A537" s="58" t="s">
        <v>401</v>
      </c>
      <c r="B537" s="58"/>
      <c r="C537" s="58"/>
      <c r="D537" s="58" t="s">
        <v>210</v>
      </c>
      <c r="E537" s="58"/>
      <c r="F537" s="59"/>
      <c r="G537" s="59"/>
      <c r="H537" s="58" t="s">
        <v>438</v>
      </c>
      <c r="I537" s="59"/>
      <c r="J537" s="58"/>
      <c r="K537" s="59"/>
      <c r="L537" s="17" t="s">
        <v>86</v>
      </c>
      <c r="M537" s="17">
        <v>22</v>
      </c>
      <c r="N537" s="58" t="s">
        <v>38</v>
      </c>
      <c r="O537" s="58"/>
      <c r="P537" s="19"/>
    </row>
    <row r="538" spans="1:16" s="17" customFormat="1" x14ac:dyDescent="0.25">
      <c r="A538" s="58" t="s">
        <v>402</v>
      </c>
      <c r="B538" s="58"/>
      <c r="C538" s="58"/>
      <c r="D538" s="58" t="s">
        <v>222</v>
      </c>
      <c r="E538" s="58"/>
      <c r="F538" s="59"/>
      <c r="G538" s="59"/>
      <c r="H538" s="59"/>
      <c r="I538" s="59"/>
      <c r="J538" s="58"/>
      <c r="K538" s="59"/>
      <c r="L538" s="17" t="s">
        <v>85</v>
      </c>
      <c r="M538" s="29">
        <v>8.9</v>
      </c>
      <c r="N538" s="58" t="s">
        <v>38</v>
      </c>
      <c r="O538" s="58"/>
      <c r="P538" s="19"/>
    </row>
    <row r="539" spans="1:16" s="17" customFormat="1" x14ac:dyDescent="0.25">
      <c r="A539" s="58" t="s">
        <v>402</v>
      </c>
      <c r="B539" s="58"/>
      <c r="C539" s="58"/>
      <c r="D539" s="58" t="s">
        <v>222</v>
      </c>
      <c r="E539" s="58"/>
      <c r="F539" s="59"/>
      <c r="G539" s="59"/>
      <c r="H539" s="17" t="s">
        <v>223</v>
      </c>
      <c r="I539" s="59"/>
      <c r="J539" s="58"/>
      <c r="K539" s="59"/>
      <c r="L539" s="17" t="s">
        <v>86</v>
      </c>
      <c r="M539" s="29">
        <v>1.9</v>
      </c>
      <c r="N539" s="58" t="s">
        <v>38</v>
      </c>
      <c r="O539" s="58"/>
      <c r="P539" s="19"/>
    </row>
    <row r="540" spans="1:16" s="17" customFormat="1" x14ac:dyDescent="0.25">
      <c r="A540" s="58" t="s">
        <v>402</v>
      </c>
      <c r="B540" s="58"/>
      <c r="C540" s="58"/>
      <c r="D540" s="58" t="s">
        <v>222</v>
      </c>
      <c r="E540" s="58"/>
      <c r="F540" s="59"/>
      <c r="G540" s="59"/>
      <c r="H540" s="17" t="s">
        <v>224</v>
      </c>
      <c r="I540" s="59"/>
      <c r="J540" s="58"/>
      <c r="K540" s="59"/>
      <c r="L540" s="17" t="s">
        <v>86</v>
      </c>
      <c r="M540" s="29">
        <v>1.4</v>
      </c>
      <c r="N540" s="58" t="s">
        <v>38</v>
      </c>
      <c r="O540" s="58"/>
      <c r="P540" s="19"/>
    </row>
    <row r="541" spans="1:16" s="17" customFormat="1" x14ac:dyDescent="0.25">
      <c r="A541" s="58" t="s">
        <v>403</v>
      </c>
      <c r="B541" s="58"/>
      <c r="C541" s="58"/>
      <c r="D541" s="59"/>
      <c r="E541" s="59"/>
      <c r="F541" s="59"/>
      <c r="G541" s="59"/>
      <c r="H541" s="59"/>
      <c r="I541" s="59"/>
      <c r="J541" s="58"/>
      <c r="K541" s="59"/>
      <c r="M541" s="58"/>
      <c r="N541" s="58"/>
      <c r="O541" s="58"/>
      <c r="P541" s="19"/>
    </row>
    <row r="542" spans="1:16" s="17" customFormat="1" x14ac:dyDescent="0.25">
      <c r="A542" s="58" t="s">
        <v>404</v>
      </c>
      <c r="B542" s="58"/>
      <c r="C542" s="58"/>
      <c r="D542" s="58" t="s">
        <v>222</v>
      </c>
      <c r="E542" s="58"/>
      <c r="F542" s="59"/>
      <c r="G542" s="59"/>
      <c r="H542" s="59"/>
      <c r="I542" s="59"/>
      <c r="J542" s="58"/>
      <c r="K542" s="59"/>
      <c r="L542" s="17" t="s">
        <v>85</v>
      </c>
      <c r="M542" s="29">
        <v>4.83</v>
      </c>
      <c r="N542" s="58" t="s">
        <v>38</v>
      </c>
      <c r="O542" s="58"/>
      <c r="P542" s="19"/>
    </row>
    <row r="543" spans="1:16" s="17" customFormat="1" x14ac:dyDescent="0.25">
      <c r="A543" s="58" t="s">
        <v>404</v>
      </c>
      <c r="B543" s="58"/>
      <c r="C543" s="58"/>
      <c r="D543" s="58" t="s">
        <v>222</v>
      </c>
      <c r="E543" s="58"/>
      <c r="F543" s="59"/>
      <c r="G543" s="59"/>
      <c r="H543" s="17" t="s">
        <v>223</v>
      </c>
      <c r="I543" s="59"/>
      <c r="J543" s="58"/>
      <c r="K543" s="59"/>
      <c r="L543" s="17" t="s">
        <v>86</v>
      </c>
      <c r="M543" s="61">
        <v>1.0533300000000001</v>
      </c>
      <c r="N543" s="58" t="s">
        <v>38</v>
      </c>
      <c r="O543" s="58"/>
      <c r="P543" s="19"/>
    </row>
    <row r="544" spans="1:16" s="17" customFormat="1" x14ac:dyDescent="0.25">
      <c r="A544" s="58" t="s">
        <v>404</v>
      </c>
      <c r="B544" s="58"/>
      <c r="C544" s="58"/>
      <c r="D544" s="58" t="s">
        <v>222</v>
      </c>
      <c r="E544" s="58"/>
      <c r="F544" s="59"/>
      <c r="G544" s="59"/>
      <c r="H544" s="17" t="s">
        <v>224</v>
      </c>
      <c r="I544" s="59"/>
      <c r="J544" s="58"/>
      <c r="K544" s="59"/>
      <c r="L544" s="17" t="s">
        <v>86</v>
      </c>
      <c r="M544" s="17">
        <v>0.75</v>
      </c>
      <c r="N544" s="58" t="s">
        <v>38</v>
      </c>
      <c r="O544" s="58"/>
      <c r="P544" s="19"/>
    </row>
    <row r="545" spans="1:16" s="17" customFormat="1" x14ac:dyDescent="0.25">
      <c r="A545" s="58" t="s">
        <v>405</v>
      </c>
      <c r="B545" s="58"/>
      <c r="C545" s="58"/>
      <c r="D545" s="58" t="s">
        <v>222</v>
      </c>
      <c r="E545" s="58"/>
      <c r="L545" s="17" t="s">
        <v>85</v>
      </c>
      <c r="M545" s="29">
        <v>6.9</v>
      </c>
      <c r="N545" s="58" t="s">
        <v>38</v>
      </c>
      <c r="O545" s="58"/>
      <c r="P545" s="19"/>
    </row>
    <row r="546" spans="1:16" s="17" customFormat="1" x14ac:dyDescent="0.25">
      <c r="A546" s="58" t="s">
        <v>405</v>
      </c>
      <c r="B546" s="58"/>
      <c r="C546" s="58"/>
      <c r="D546" s="58" t="s">
        <v>222</v>
      </c>
      <c r="E546" s="58"/>
      <c r="H546" s="17" t="s">
        <v>223</v>
      </c>
      <c r="L546" s="17" t="s">
        <v>86</v>
      </c>
      <c r="M546" s="29">
        <v>1.5</v>
      </c>
      <c r="N546" s="58" t="s">
        <v>38</v>
      </c>
      <c r="O546" s="58"/>
      <c r="P546" s="19"/>
    </row>
    <row r="547" spans="1:16" s="17" customFormat="1" x14ac:dyDescent="0.25">
      <c r="A547" s="58" t="s">
        <v>405</v>
      </c>
      <c r="B547" s="58"/>
      <c r="C547" s="58"/>
      <c r="D547" s="58" t="s">
        <v>222</v>
      </c>
      <c r="E547" s="58"/>
      <c r="H547" s="17" t="s">
        <v>224</v>
      </c>
      <c r="L547" s="17" t="s">
        <v>86</v>
      </c>
      <c r="M547" s="29">
        <v>1.1000000000000001</v>
      </c>
      <c r="N547" s="58" t="s">
        <v>38</v>
      </c>
      <c r="O547" s="58"/>
      <c r="P547" s="19"/>
    </row>
    <row r="548" spans="1:16" x14ac:dyDescent="0.25">
      <c r="A548" s="4" t="s">
        <v>197</v>
      </c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5"/>
      <c r="M548" s="5"/>
      <c r="N548" s="5"/>
      <c r="O548" s="5"/>
      <c r="P548" s="5"/>
    </row>
    <row r="549" spans="1:16" x14ac:dyDescent="0.25">
      <c r="A549" t="s">
        <v>193</v>
      </c>
      <c r="B549" s="10"/>
      <c r="C549" s="10"/>
      <c r="D549" t="s">
        <v>126</v>
      </c>
      <c r="L549" t="s">
        <v>85</v>
      </c>
      <c r="M549" s="21">
        <v>38</v>
      </c>
      <c r="N549" t="s">
        <v>38</v>
      </c>
      <c r="O549" s="11" t="s">
        <v>199</v>
      </c>
      <c r="P549" s="8" t="s">
        <v>92</v>
      </c>
    </row>
    <row r="550" spans="1:16" x14ac:dyDescent="0.25">
      <c r="A550" t="s">
        <v>193</v>
      </c>
      <c r="B550" s="10"/>
      <c r="C550" s="10"/>
      <c r="D550" t="s">
        <v>126</v>
      </c>
      <c r="H550" t="s">
        <v>127</v>
      </c>
      <c r="L550" t="s">
        <v>86</v>
      </c>
      <c r="M550" s="21">
        <v>60</v>
      </c>
      <c r="N550" t="s">
        <v>38</v>
      </c>
      <c r="P550" s="8" t="s">
        <v>92</v>
      </c>
    </row>
    <row r="551" spans="1:16" x14ac:dyDescent="0.25">
      <c r="A551" s="17" t="s">
        <v>192</v>
      </c>
      <c r="B551" s="10"/>
      <c r="C551" s="10"/>
      <c r="D551" t="s">
        <v>37</v>
      </c>
      <c r="L551" t="s">
        <v>85</v>
      </c>
      <c r="M551" s="15">
        <f>(1*0.766) / (2.1/0.86) * 100</f>
        <v>31.369523809523809</v>
      </c>
      <c r="N551" s="17" t="s">
        <v>38</v>
      </c>
      <c r="O551" s="17" t="s">
        <v>332</v>
      </c>
      <c r="P551" s="9" t="s">
        <v>329</v>
      </c>
    </row>
    <row r="552" spans="1:16" x14ac:dyDescent="0.25">
      <c r="A552" s="17" t="s">
        <v>192</v>
      </c>
      <c r="B552" s="10"/>
      <c r="C552" s="10"/>
      <c r="D552" t="s">
        <v>37</v>
      </c>
      <c r="H552" t="s">
        <v>308</v>
      </c>
      <c r="L552" t="s">
        <v>86</v>
      </c>
      <c r="M552" s="15">
        <f>(0.8/0.9) / (2.1/0.86) * 100</f>
        <v>36.402116402116405</v>
      </c>
      <c r="N552" s="17" t="s">
        <v>38</v>
      </c>
      <c r="O552" s="42" t="s">
        <v>328</v>
      </c>
      <c r="P552" s="9" t="s">
        <v>330</v>
      </c>
    </row>
    <row r="553" spans="1:16" x14ac:dyDescent="0.25">
      <c r="A553" s="6"/>
      <c r="B553" s="10"/>
      <c r="C553" s="10"/>
      <c r="H553" s="6" t="s">
        <v>307</v>
      </c>
      <c r="M553" s="23"/>
      <c r="N553" s="6"/>
      <c r="O553" s="6" t="s">
        <v>309</v>
      </c>
      <c r="P553" s="9"/>
    </row>
    <row r="554" spans="1:16" s="17" customFormat="1" x14ac:dyDescent="0.25">
      <c r="A554" s="17" t="s">
        <v>406</v>
      </c>
      <c r="B554" s="19"/>
      <c r="C554" s="19"/>
      <c r="E554" s="17" t="s">
        <v>439</v>
      </c>
      <c r="L554" s="17" t="s">
        <v>85</v>
      </c>
      <c r="M554" s="15">
        <f>((7.8762418/27)/(1/0.86))*100</f>
        <v>25.087288696296294</v>
      </c>
      <c r="N554" s="17" t="s">
        <v>38</v>
      </c>
      <c r="O554" s="17" t="s">
        <v>440</v>
      </c>
      <c r="P554" s="18"/>
    </row>
    <row r="555" spans="1:16" s="17" customFormat="1" x14ac:dyDescent="0.25">
      <c r="A555" s="6" t="s">
        <v>406</v>
      </c>
      <c r="B555" s="10"/>
      <c r="C555" s="10"/>
      <c r="D555" s="6"/>
      <c r="E555" s="6" t="s">
        <v>439</v>
      </c>
      <c r="F555" s="6"/>
      <c r="G555" s="6"/>
      <c r="H555" s="6" t="s">
        <v>441</v>
      </c>
      <c r="I555" s="6"/>
      <c r="J555" s="6"/>
      <c r="K555" s="6"/>
      <c r="L555" s="6" t="s">
        <v>86</v>
      </c>
      <c r="M555" s="13">
        <f>((0.4565/55)/(1/0.86))*100</f>
        <v>0.71379999999999999</v>
      </c>
      <c r="N555" s="6" t="s">
        <v>38</v>
      </c>
      <c r="O555" s="6" t="s">
        <v>442</v>
      </c>
      <c r="P555" s="18"/>
    </row>
    <row r="556" spans="1:16" x14ac:dyDescent="0.25">
      <c r="A556" s="17" t="s">
        <v>373</v>
      </c>
      <c r="B556" s="10"/>
      <c r="C556" s="10"/>
      <c r="D556" t="s">
        <v>372</v>
      </c>
      <c r="H556" s="6"/>
      <c r="L556" t="s">
        <v>85</v>
      </c>
      <c r="M556" s="15">
        <v>100</v>
      </c>
      <c r="N556" s="17" t="s">
        <v>38</v>
      </c>
      <c r="O556" s="6"/>
      <c r="P556" s="9"/>
    </row>
    <row r="557" spans="1:16" x14ac:dyDescent="0.25">
      <c r="A557" s="4" t="s">
        <v>297</v>
      </c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5"/>
      <c r="M557" s="38" t="s">
        <v>310</v>
      </c>
      <c r="N557" s="5"/>
      <c r="O557" s="5"/>
      <c r="P557" s="5"/>
    </row>
    <row r="558" spans="1:16" x14ac:dyDescent="0.25">
      <c r="A558" t="s">
        <v>270</v>
      </c>
      <c r="B558" s="10"/>
      <c r="C558" s="10"/>
      <c r="D558" s="10"/>
      <c r="E558" s="10"/>
      <c r="F558" s="19" t="s">
        <v>268</v>
      </c>
      <c r="G558" s="19" t="s">
        <v>269</v>
      </c>
      <c r="H558" s="10"/>
      <c r="I558" s="10"/>
      <c r="J558" s="10"/>
      <c r="K558" s="10"/>
      <c r="L558" t="s">
        <v>85</v>
      </c>
      <c r="M558" s="19">
        <v>100</v>
      </c>
      <c r="N558" s="8" t="s">
        <v>38</v>
      </c>
      <c r="O558" s="8"/>
      <c r="P558" s="8"/>
    </row>
    <row r="559" spans="1:16" x14ac:dyDescent="0.25">
      <c r="A559" t="s">
        <v>344</v>
      </c>
      <c r="B559" s="10"/>
      <c r="C559" s="10"/>
      <c r="D559" s="10"/>
      <c r="E559" s="10"/>
      <c r="F559" s="19" t="s">
        <v>346</v>
      </c>
      <c r="G559" s="19" t="s">
        <v>269</v>
      </c>
      <c r="H559" s="10"/>
      <c r="I559" s="10"/>
      <c r="J559" s="10"/>
      <c r="K559" s="10"/>
      <c r="L559" t="s">
        <v>85</v>
      </c>
      <c r="M559" s="19">
        <v>100</v>
      </c>
      <c r="N559" s="8" t="s">
        <v>38</v>
      </c>
      <c r="O559" s="8"/>
      <c r="P559" s="8"/>
    </row>
    <row r="560" spans="1:16" x14ac:dyDescent="0.25">
      <c r="B560" s="10"/>
      <c r="C560" s="10"/>
      <c r="D560" s="10"/>
      <c r="E560" s="10"/>
      <c r="F560" s="19"/>
      <c r="G560" s="19"/>
      <c r="H560" s="10"/>
      <c r="I560" s="10"/>
      <c r="J560" s="10"/>
      <c r="K560" s="10"/>
      <c r="M560" s="19"/>
      <c r="N560" s="8"/>
      <c r="O560" s="8"/>
      <c r="P560" s="8"/>
    </row>
    <row r="561" spans="1:16" x14ac:dyDescent="0.25">
      <c r="A561" s="2" t="s">
        <v>312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spans="1:16" x14ac:dyDescent="0.25">
      <c r="A562" s="6" t="s">
        <v>313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150</v>
      </c>
    </row>
    <row r="9" spans="5:5" x14ac:dyDescent="0.25">
      <c r="E9" t="s">
        <v>153</v>
      </c>
    </row>
    <row r="10" spans="5:5" x14ac:dyDescent="0.25">
      <c r="E10" t="s">
        <v>151</v>
      </c>
    </row>
    <row r="11" spans="5:5" x14ac:dyDescent="0.25">
      <c r="E11" t="s">
        <v>152</v>
      </c>
    </row>
    <row r="12" spans="5:5" x14ac:dyDescent="0.25">
      <c r="E12" t="s">
        <v>155</v>
      </c>
    </row>
    <row r="13" spans="5:5" x14ac:dyDescent="0.25">
      <c r="E13" t="s">
        <v>154</v>
      </c>
    </row>
    <row r="15" spans="5:5" x14ac:dyDescent="0.25">
      <c r="E15" s="25" t="s">
        <v>156</v>
      </c>
    </row>
    <row r="16" spans="5:5" x14ac:dyDescent="0.25">
      <c r="E16" t="s">
        <v>157</v>
      </c>
    </row>
    <row r="17" spans="5:5" x14ac:dyDescent="0.25">
      <c r="E17" t="s">
        <v>158</v>
      </c>
    </row>
    <row r="19" spans="5:5" x14ac:dyDescent="0.25">
      <c r="E19" s="25" t="s">
        <v>159</v>
      </c>
    </row>
    <row r="20" spans="5:5" x14ac:dyDescent="0.25">
      <c r="E20" t="s">
        <v>161</v>
      </c>
    </row>
    <row r="21" spans="5:5" x14ac:dyDescent="0.25">
      <c r="E21" t="s">
        <v>160</v>
      </c>
    </row>
    <row r="23" spans="5:5" x14ac:dyDescent="0.25">
      <c r="E23" s="25" t="s">
        <v>162</v>
      </c>
    </row>
    <row r="24" spans="5:5" x14ac:dyDescent="0.25">
      <c r="E24" t="s">
        <v>163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T10" sqref="T10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274</v>
      </c>
    </row>
    <row r="2" spans="1:20" x14ac:dyDescent="0.25">
      <c r="A2" t="s">
        <v>276</v>
      </c>
      <c r="F2" s="31" t="s">
        <v>275</v>
      </c>
    </row>
    <row r="3" spans="1:20" x14ac:dyDescent="0.25">
      <c r="A3" t="s">
        <v>285</v>
      </c>
      <c r="F3" s="31" t="s">
        <v>284</v>
      </c>
    </row>
    <row r="4" spans="1:20" x14ac:dyDescent="0.25">
      <c r="F4" s="31"/>
    </row>
    <row r="5" spans="1:20" x14ac:dyDescent="0.25">
      <c r="C5" s="25" t="s">
        <v>299</v>
      </c>
    </row>
    <row r="6" spans="1:20" x14ac:dyDescent="0.25">
      <c r="C6" s="1" t="s">
        <v>273</v>
      </c>
      <c r="I6" s="1" t="s">
        <v>277</v>
      </c>
      <c r="O6" s="1" t="s">
        <v>286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280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280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280</v>
      </c>
    </row>
    <row r="8" spans="1:20" x14ac:dyDescent="0.25">
      <c r="A8" t="s">
        <v>159</v>
      </c>
      <c r="B8" t="s">
        <v>278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302</v>
      </c>
      <c r="B9" t="s">
        <v>279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303</v>
      </c>
      <c r="B10" t="s">
        <v>281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304</v>
      </c>
      <c r="B11" t="s">
        <v>282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305</v>
      </c>
      <c r="B12" t="s">
        <v>283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300</v>
      </c>
    </row>
    <row r="15" spans="1:20" x14ac:dyDescent="0.25">
      <c r="C15" s="1" t="s">
        <v>273</v>
      </c>
      <c r="I15" s="1" t="s">
        <v>277</v>
      </c>
      <c r="O15" s="1" t="s">
        <v>286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280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280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280</v>
      </c>
    </row>
    <row r="17" spans="1:20" x14ac:dyDescent="0.25">
      <c r="A17" t="s">
        <v>301</v>
      </c>
      <c r="B17" t="s">
        <v>200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311</v>
      </c>
    </row>
    <row r="2" spans="1:1" x14ac:dyDescent="0.25">
      <c r="A2" t="s">
        <v>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2024-09-16T13:54:17Z</dcterms:modified>
</cp:coreProperties>
</file>