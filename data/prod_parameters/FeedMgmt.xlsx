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5100"/>
  </bookViews>
  <sheets>
    <sheet name="default" sheetId="1" r:id="rId1"/>
    <sheet name="feed pars" sheetId="2" r:id="rId2"/>
    <sheet name="pigs" sheetId="3" r:id="rId3"/>
    <sheet name="cattl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7" i="1" l="1"/>
  <c r="K83" i="1"/>
  <c r="K93" i="1"/>
  <c r="K88" i="1"/>
  <c r="K80" i="1"/>
  <c r="K29" i="1"/>
  <c r="C25" i="2"/>
  <c r="L25" i="2"/>
  <c r="M25" i="2"/>
  <c r="L26" i="2"/>
  <c r="M26" i="2"/>
  <c r="K25" i="2"/>
  <c r="K23" i="1"/>
  <c r="L17" i="2"/>
  <c r="C17" i="2" s="1"/>
  <c r="K14" i="1" s="1"/>
  <c r="C31" i="2"/>
  <c r="K17" i="2"/>
  <c r="M17" i="2" s="1"/>
  <c r="E17" i="2"/>
  <c r="K150" i="1" l="1"/>
  <c r="K34" i="1"/>
  <c r="K9" i="1"/>
  <c r="K8" i="1"/>
  <c r="K5" i="1"/>
  <c r="K6" i="1"/>
  <c r="K7" i="1"/>
  <c r="K4" i="1"/>
  <c r="K71" i="1"/>
  <c r="K72" i="1"/>
  <c r="K73" i="1"/>
  <c r="K74" i="1"/>
  <c r="K70" i="1"/>
  <c r="E23" i="2"/>
  <c r="H23" i="2" s="1"/>
  <c r="K113" i="1" s="1"/>
  <c r="K36" i="2"/>
  <c r="L36" i="2" s="1"/>
  <c r="C36" i="2" s="1"/>
  <c r="F23" i="2" l="1"/>
  <c r="C23" i="2" s="1"/>
  <c r="K20" i="1" s="1"/>
  <c r="G23" i="2"/>
  <c r="K140" i="1" s="1"/>
  <c r="M36" i="2"/>
  <c r="K96" i="1" s="1"/>
  <c r="K39" i="2" l="1"/>
  <c r="M39" i="2" s="1"/>
  <c r="K99" i="1" s="1"/>
  <c r="K14" i="2"/>
  <c r="L14" i="2" s="1"/>
  <c r="K15" i="2"/>
  <c r="L15" i="2" s="1"/>
  <c r="K16" i="2"/>
  <c r="L16" i="2" s="1"/>
  <c r="K18" i="2"/>
  <c r="M18" i="2" s="1"/>
  <c r="K81" i="1" s="1"/>
  <c r="K19" i="2"/>
  <c r="L19" i="2" s="1"/>
  <c r="K21" i="2"/>
  <c r="L21" i="2" s="1"/>
  <c r="K22" i="2"/>
  <c r="L22" i="2" s="1"/>
  <c r="K24" i="2"/>
  <c r="M24" i="2" s="1"/>
  <c r="K86" i="1" s="1"/>
  <c r="K26" i="2"/>
  <c r="K28" i="2"/>
  <c r="L28" i="2" s="1"/>
  <c r="K29" i="2"/>
  <c r="L29" i="2" s="1"/>
  <c r="K30" i="2"/>
  <c r="M30" i="2" s="1"/>
  <c r="K92" i="1" s="1"/>
  <c r="K32" i="2"/>
  <c r="L32" i="2" s="1"/>
  <c r="K34" i="2"/>
  <c r="L34" i="2" s="1"/>
  <c r="K37" i="2"/>
  <c r="L37" i="2" s="1"/>
  <c r="K38" i="2"/>
  <c r="M38" i="2" s="1"/>
  <c r="K98" i="1" s="1"/>
  <c r="K41" i="2"/>
  <c r="L41" i="2" s="1"/>
  <c r="K13" i="2"/>
  <c r="M13" i="2" s="1"/>
  <c r="K76" i="1" s="1"/>
  <c r="E13" i="2"/>
  <c r="L39" i="2" l="1"/>
  <c r="M34" i="2"/>
  <c r="K95" i="1" s="1"/>
  <c r="M28" i="2"/>
  <c r="K90" i="1" s="1"/>
  <c r="M21" i="2"/>
  <c r="K84" i="1" s="1"/>
  <c r="L13" i="2"/>
  <c r="M15" i="2"/>
  <c r="K78" i="1" s="1"/>
  <c r="L38" i="2"/>
  <c r="L30" i="2"/>
  <c r="L24" i="2"/>
  <c r="C24" i="2" s="1"/>
  <c r="K22" i="1" s="1"/>
  <c r="L18" i="2"/>
  <c r="M41" i="2"/>
  <c r="K100" i="1" s="1"/>
  <c r="M37" i="2"/>
  <c r="K97" i="1" s="1"/>
  <c r="M32" i="2"/>
  <c r="K94" i="1" s="1"/>
  <c r="M29" i="2"/>
  <c r="K91" i="1" s="1"/>
  <c r="K89" i="1"/>
  <c r="M22" i="2"/>
  <c r="K85" i="1" s="1"/>
  <c r="M19" i="2"/>
  <c r="K82" i="1" s="1"/>
  <c r="M16" i="2"/>
  <c r="K79" i="1" s="1"/>
  <c r="M14" i="2"/>
  <c r="K77" i="1" s="1"/>
  <c r="E42" i="2"/>
  <c r="H42" i="2" s="1"/>
  <c r="K129" i="1" s="1"/>
  <c r="E14" i="2"/>
  <c r="F14" i="2" s="1"/>
  <c r="C14" i="2" s="1"/>
  <c r="K11" i="1" s="1"/>
  <c r="E15" i="2"/>
  <c r="G15" i="2" s="1"/>
  <c r="K133" i="1" s="1"/>
  <c r="E16" i="2"/>
  <c r="H16" i="2" s="1"/>
  <c r="K107" i="1" s="1"/>
  <c r="E18" i="2"/>
  <c r="F18" i="2" s="1"/>
  <c r="E19" i="2"/>
  <c r="F19" i="2" s="1"/>
  <c r="C19" i="2" s="1"/>
  <c r="K16" i="1" s="1"/>
  <c r="E20" i="2"/>
  <c r="G20" i="2" s="1"/>
  <c r="K137" i="1" s="1"/>
  <c r="E21" i="2"/>
  <c r="H21" i="2" s="1"/>
  <c r="K111" i="1" s="1"/>
  <c r="E22" i="2"/>
  <c r="F22" i="2" s="1"/>
  <c r="C22" i="2" s="1"/>
  <c r="K19" i="1" s="1"/>
  <c r="E26" i="2"/>
  <c r="F26" i="2" s="1"/>
  <c r="C26" i="2" s="1"/>
  <c r="K24" i="1" s="1"/>
  <c r="E27" i="2"/>
  <c r="G27" i="2" s="1"/>
  <c r="K142" i="1" s="1"/>
  <c r="E28" i="2"/>
  <c r="H28" i="2" s="1"/>
  <c r="K116" i="1" s="1"/>
  <c r="E29" i="2"/>
  <c r="F29" i="2" s="1"/>
  <c r="C29" i="2" s="1"/>
  <c r="K27" i="1" s="1"/>
  <c r="E30" i="2"/>
  <c r="F30" i="2" s="1"/>
  <c r="E32" i="2"/>
  <c r="G32" i="2" s="1"/>
  <c r="K146" i="1" s="1"/>
  <c r="E33" i="2"/>
  <c r="H33" i="2" s="1"/>
  <c r="K120" i="1" s="1"/>
  <c r="E34" i="2"/>
  <c r="F34" i="2" s="1"/>
  <c r="C34" i="2" s="1"/>
  <c r="E35" i="2"/>
  <c r="F35" i="2" s="1"/>
  <c r="C35" i="2" s="1"/>
  <c r="E37" i="2"/>
  <c r="G37" i="2" s="1"/>
  <c r="K151" i="1" s="1"/>
  <c r="E38" i="2"/>
  <c r="H38" i="2" s="1"/>
  <c r="K125" i="1" s="1"/>
  <c r="E39" i="2"/>
  <c r="F39" i="2" s="1"/>
  <c r="E40" i="2"/>
  <c r="F40" i="2" s="1"/>
  <c r="C40" i="2" s="1"/>
  <c r="E41" i="2"/>
  <c r="G41" i="2" s="1"/>
  <c r="K155" i="1" s="1"/>
  <c r="G13" i="2"/>
  <c r="K131" i="1" s="1"/>
  <c r="K33" i="1" l="1"/>
  <c r="K32" i="1" s="1"/>
  <c r="C30" i="2"/>
  <c r="K28" i="1" s="1"/>
  <c r="C39" i="2"/>
  <c r="C18" i="2"/>
  <c r="K15" i="1" s="1"/>
  <c r="F41" i="2"/>
  <c r="C41" i="2" s="1"/>
  <c r="K39" i="1" s="1"/>
  <c r="F37" i="2"/>
  <c r="C37" i="2" s="1"/>
  <c r="K35" i="1" s="1"/>
  <c r="F32" i="2"/>
  <c r="C32" i="2" s="1"/>
  <c r="K30" i="1" s="1"/>
  <c r="F27" i="2"/>
  <c r="C27" i="2" s="1"/>
  <c r="K25" i="1" s="1"/>
  <c r="F20" i="2"/>
  <c r="C20" i="2" s="1"/>
  <c r="K17" i="1" s="1"/>
  <c r="F15" i="2"/>
  <c r="C15" i="2" s="1"/>
  <c r="K12" i="1" s="1"/>
  <c r="H40" i="2"/>
  <c r="K127" i="1" s="1"/>
  <c r="H35" i="2"/>
  <c r="K122" i="1" s="1"/>
  <c r="H30" i="2"/>
  <c r="K118" i="1" s="1"/>
  <c r="H26" i="2"/>
  <c r="K114" i="1" s="1"/>
  <c r="H19" i="2"/>
  <c r="K109" i="1" s="1"/>
  <c r="H14" i="2"/>
  <c r="K105" i="1" s="1"/>
  <c r="G42" i="2"/>
  <c r="K156" i="1" s="1"/>
  <c r="H39" i="2"/>
  <c r="K126" i="1" s="1"/>
  <c r="H34" i="2"/>
  <c r="H29" i="2"/>
  <c r="K117" i="1" s="1"/>
  <c r="H22" i="2"/>
  <c r="K112" i="1" s="1"/>
  <c r="H18" i="2"/>
  <c r="K108" i="1" s="1"/>
  <c r="F42" i="2"/>
  <c r="C42" i="2" s="1"/>
  <c r="K40" i="1" s="1"/>
  <c r="G39" i="2"/>
  <c r="K153" i="1" s="1"/>
  <c r="G34" i="2"/>
  <c r="K148" i="1" s="1"/>
  <c r="G29" i="2"/>
  <c r="K144" i="1" s="1"/>
  <c r="G22" i="2"/>
  <c r="K139" i="1" s="1"/>
  <c r="G18" i="2"/>
  <c r="K135" i="1" s="1"/>
  <c r="F13" i="2"/>
  <c r="C13" i="2" s="1"/>
  <c r="K10" i="1" s="1"/>
  <c r="G38" i="2"/>
  <c r="K152" i="1" s="1"/>
  <c r="F38" i="2"/>
  <c r="C38" i="2" s="1"/>
  <c r="K36" i="1" s="1"/>
  <c r="F21" i="2"/>
  <c r="C21" i="2" s="1"/>
  <c r="K18" i="1" s="1"/>
  <c r="G33" i="2"/>
  <c r="K147" i="1" s="1"/>
  <c r="G16" i="2"/>
  <c r="K134" i="1" s="1"/>
  <c r="H13" i="2"/>
  <c r="K104" i="1" s="1"/>
  <c r="F16" i="2"/>
  <c r="C16" i="2" s="1"/>
  <c r="K13" i="1" s="1"/>
  <c r="H41" i="2"/>
  <c r="K128" i="1" s="1"/>
  <c r="G40" i="2"/>
  <c r="K154" i="1" s="1"/>
  <c r="H37" i="2"/>
  <c r="K124" i="1" s="1"/>
  <c r="G35" i="2"/>
  <c r="K149" i="1" s="1"/>
  <c r="H32" i="2"/>
  <c r="K119" i="1" s="1"/>
  <c r="G30" i="2"/>
  <c r="K145" i="1" s="1"/>
  <c r="H27" i="2"/>
  <c r="K115" i="1" s="1"/>
  <c r="G26" i="2"/>
  <c r="K141" i="1" s="1"/>
  <c r="H20" i="2"/>
  <c r="K110" i="1" s="1"/>
  <c r="G19" i="2"/>
  <c r="K136" i="1" s="1"/>
  <c r="H15" i="2"/>
  <c r="K106" i="1" s="1"/>
  <c r="G14" i="2"/>
  <c r="K132" i="1" s="1"/>
  <c r="G28" i="2"/>
  <c r="K143" i="1" s="1"/>
  <c r="G21" i="2"/>
  <c r="K138" i="1" s="1"/>
  <c r="F33" i="2"/>
  <c r="C33" i="2" s="1"/>
  <c r="K31" i="1" s="1"/>
  <c r="F28" i="2"/>
  <c r="C28" i="2" s="1"/>
  <c r="K26" i="1" s="1"/>
  <c r="K121" i="1" l="1"/>
  <c r="H36" i="2"/>
  <c r="K123" i="1" s="1"/>
  <c r="K37" i="1"/>
  <c r="K38" i="1" s="1"/>
</calcChain>
</file>

<file path=xl/sharedStrings.xml><?xml version="1.0" encoding="utf-8"?>
<sst xmlns="http://schemas.openxmlformats.org/spreadsheetml/2006/main" count="934" uniqueCount="337">
  <si>
    <t>f_feed</t>
  </si>
  <si>
    <t>f_crop_prod</t>
  </si>
  <si>
    <t>hay</t>
  </si>
  <si>
    <t>parameter</t>
  </si>
  <si>
    <t>value</t>
  </si>
  <si>
    <t>unit</t>
  </si>
  <si>
    <t>description</t>
  </si>
  <si>
    <t>source</t>
  </si>
  <si>
    <t>Products to feeds</t>
  </si>
  <si>
    <t>f_by_prod</t>
  </si>
  <si>
    <t>fodder</t>
  </si>
  <si>
    <t>maize fodder</t>
  </si>
  <si>
    <t>maize silage</t>
  </si>
  <si>
    <t>f_prod_system</t>
  </si>
  <si>
    <t>f_breed</t>
  </si>
  <si>
    <t>f_sub_system</t>
  </si>
  <si>
    <t>f_animal</t>
  </si>
  <si>
    <t>wheat</t>
  </si>
  <si>
    <t>feed_par_E</t>
  </si>
  <si>
    <t>MJ ME/kg DM</t>
  </si>
  <si>
    <t>Cattle</t>
  </si>
  <si>
    <t>Pigs</t>
  </si>
  <si>
    <t>MJ NEv/kg DM</t>
  </si>
  <si>
    <t>f_species</t>
  </si>
  <si>
    <t>cattle</t>
  </si>
  <si>
    <t>pigs</t>
  </si>
  <si>
    <t>Feed nutritional parameters</t>
  </si>
  <si>
    <t>share_regional</t>
  </si>
  <si>
    <t>%</t>
  </si>
  <si>
    <t>Share of crop and by-products that must be produced regionally</t>
  </si>
  <si>
    <t>Share of crop and by-products that are imported</t>
  </si>
  <si>
    <t>share_imported</t>
  </si>
  <si>
    <t>feed_to_prod</t>
  </si>
  <si>
    <t>grazing</t>
  </si>
  <si>
    <t>fallback</t>
  </si>
  <si>
    <t>rapeseed</t>
  </si>
  <si>
    <t>rapeseed meal</t>
  </si>
  <si>
    <t>barley</t>
  </si>
  <si>
    <t>oats</t>
  </si>
  <si>
    <t>triticale</t>
  </si>
  <si>
    <t>maize</t>
  </si>
  <si>
    <t>peas</t>
  </si>
  <si>
    <t>broad beans</t>
  </si>
  <si>
    <t>linseed</t>
  </si>
  <si>
    <t>soybean meal</t>
  </si>
  <si>
    <t>soybean protein concentrate</t>
  </si>
  <si>
    <t>sunflower seed meal</t>
  </si>
  <si>
    <t>palm kernel expeller</t>
  </si>
  <si>
    <t>wheat bran</t>
  </si>
  <si>
    <t>wheat bran, fine</t>
  </si>
  <si>
    <t>wheat distillers grain, dry</t>
  </si>
  <si>
    <t>wheat distillers grain, wet</t>
  </si>
  <si>
    <t>sugar beet molasses</t>
  </si>
  <si>
    <t>sugar beet pulp</t>
  </si>
  <si>
    <t>whey</t>
  </si>
  <si>
    <t>whey powder</t>
  </si>
  <si>
    <t>potatoe protein</t>
  </si>
  <si>
    <t>fish meal</t>
  </si>
  <si>
    <t>feed</t>
  </si>
  <si>
    <t>%DM</t>
  </si>
  <si>
    <t>Fetter, animala</t>
  </si>
  <si>
    <t>Agrodrank10</t>
  </si>
  <si>
    <t>Agrodrank27</t>
  </si>
  <si>
    <t>Agrodrank90</t>
  </si>
  <si>
    <t>Betfiber, omelasserad</t>
  </si>
  <si>
    <t>Drank SBI</t>
  </si>
  <si>
    <t>Fiskmjöl</t>
  </si>
  <si>
    <t>Foderkalk</t>
  </si>
  <si>
    <t>Gräsmjöl</t>
  </si>
  <si>
    <t>Halm, vete</t>
  </si>
  <si>
    <t>Havre</t>
  </si>
  <si>
    <t>Havre, skalad</t>
  </si>
  <si>
    <t>Korn</t>
  </si>
  <si>
    <t>Linfrö</t>
  </si>
  <si>
    <t>Linfröexpeller</t>
  </si>
  <si>
    <t>Lupin, vit</t>
  </si>
  <si>
    <t>Lusernmjöl</t>
  </si>
  <si>
    <t>Lysin, L-HCL</t>
  </si>
  <si>
    <t>Majs</t>
  </si>
  <si>
    <t>Majsdrank</t>
  </si>
  <si>
    <t>Majsglutenfoder</t>
  </si>
  <si>
    <t>Majsglutenmjöl</t>
  </si>
  <si>
    <t>Melass, bet</t>
  </si>
  <si>
    <t>Melass, rör</t>
  </si>
  <si>
    <t>Metionin</t>
  </si>
  <si>
    <t>Metioninhydroxyanalog</t>
  </si>
  <si>
    <t>Monokalciumfosfat</t>
  </si>
  <si>
    <t>Oljor, vegetabila</t>
  </si>
  <si>
    <t>Palmkärnkaka</t>
  </si>
  <si>
    <t>Permeatvassle</t>
  </si>
  <si>
    <t>Potatisproteinkoncentrat</t>
  </si>
  <si>
    <t>Potatispulpa</t>
  </si>
  <si>
    <t>Rapsfrö</t>
  </si>
  <si>
    <t>Rapskaka</t>
  </si>
  <si>
    <t>Rapskaka, kallpressad</t>
  </si>
  <si>
    <t>Rapsmjöl</t>
  </si>
  <si>
    <t>Ris, knäckt</t>
  </si>
  <si>
    <t>Råg</t>
  </si>
  <si>
    <t>Rågvete</t>
  </si>
  <si>
    <t>Salt</t>
  </si>
  <si>
    <t>Skummjölkspulver</t>
  </si>
  <si>
    <t>Sojamjöl, 43% Rp i vara</t>
  </si>
  <si>
    <t>Sojamjöl, 45% Rp i vara</t>
  </si>
  <si>
    <t>Sojamjöl, 47% Rp i vara</t>
  </si>
  <si>
    <t>Sojaprotein-Hamlet 310</t>
  </si>
  <si>
    <t>Solrosmjöl</t>
  </si>
  <si>
    <t>Sorgum</t>
  </si>
  <si>
    <t>Treonin, L</t>
  </si>
  <si>
    <t>Tryptofan, L</t>
  </si>
  <si>
    <t>Vassle</t>
  </si>
  <si>
    <t>Vasslepulver, sur vassle</t>
  </si>
  <si>
    <t>Vasslepulver, söt vassle</t>
  </si>
  <si>
    <t>Vete</t>
  </si>
  <si>
    <t>Vetefodermjöl</t>
  </si>
  <si>
    <t>Vetekli</t>
  </si>
  <si>
    <t>Ärter</t>
  </si>
  <si>
    <t>Åkerböna, vitblommig</t>
  </si>
  <si>
    <t>Öljäst</t>
  </si>
  <si>
    <t xml:space="preserve">http://www2.freefarm.se/fodertabell/ </t>
  </si>
  <si>
    <t>Source:</t>
  </si>
  <si>
    <t>MJ NEv</t>
  </si>
  <si>
    <t>MJ NEs</t>
  </si>
  <si>
    <t>OEsv, MJ</t>
  </si>
  <si>
    <t>NEs, MJ</t>
  </si>
  <si>
    <t>NEv, MJ</t>
  </si>
  <si>
    <t>Nr</t>
  </si>
  <si>
    <t>NDF, g</t>
  </si>
  <si>
    <t>ADF, g</t>
  </si>
  <si>
    <t>Fodermedel                         </t>
  </si>
  <si>
    <t>Ts, %</t>
  </si>
  <si>
    <t>Råprotein, g</t>
  </si>
  <si>
    <t>Råfett, g</t>
  </si>
  <si>
    <t>Växttråd, g</t>
  </si>
  <si>
    <t>Stärkelse, g</t>
  </si>
  <si>
    <t>Socker, g</t>
  </si>
  <si>
    <t>Aska, g</t>
  </si>
  <si>
    <t>Lysin, g</t>
  </si>
  <si>
    <t>Treonin, g</t>
  </si>
  <si>
    <t>Metionin, g</t>
  </si>
  <si>
    <t>Cystin, g</t>
  </si>
  <si>
    <t>Met+Cys, g</t>
  </si>
  <si>
    <t>Tryptofan, g</t>
  </si>
  <si>
    <t>Valin, g</t>
  </si>
  <si>
    <t>sisLys, g</t>
  </si>
  <si>
    <t>sisTreo, g</t>
  </si>
  <si>
    <t>sisMet, g</t>
  </si>
  <si>
    <t>sisCys, g</t>
  </si>
  <si>
    <t>sisMetCys, g</t>
  </si>
  <si>
    <t>sisTry, g</t>
  </si>
  <si>
    <t>sisVal, g</t>
  </si>
  <si>
    <t>sisRp, g</t>
  </si>
  <si>
    <t>Ca, g</t>
  </si>
  <si>
    <t>P, g</t>
  </si>
  <si>
    <t>Mg, g</t>
  </si>
  <si>
    <t>K, g</t>
  </si>
  <si>
    <t>Na, g</t>
  </si>
  <si>
    <t>Mn, mg</t>
  </si>
  <si>
    <t>Se, mg</t>
  </si>
  <si>
    <t>Cu, mg</t>
  </si>
  <si>
    <t>Zn, mg</t>
  </si>
  <si>
    <t>Smb P, Pellets %</t>
  </si>
  <si>
    <t>Smb P, Mjöl %</t>
  </si>
  <si>
    <t>Asp, bark</t>
  </si>
  <si>
    <t>Asp, löv</t>
  </si>
  <si>
    <t>Babassu, kaka</t>
  </si>
  <si>
    <t>Babassu, mjöl</t>
  </si>
  <si>
    <t>Blandsäd, kärna havre/korn</t>
  </si>
  <si>
    <t>Blaster, diverse blaster, ensilerade</t>
  </si>
  <si>
    <t>Bok, ollon</t>
  </si>
  <si>
    <t>Bomull, expeller, ej välskalade</t>
  </si>
  <si>
    <t>Bomull, expeller, välskalade</t>
  </si>
  <si>
    <t>Bomull, frö</t>
  </si>
  <si>
    <t>Bomull, mjöl, oskalat frö</t>
  </si>
  <si>
    <t>Bomull, mjöl, skalat frö</t>
  </si>
  <si>
    <t>Citruspulpa</t>
  </si>
  <si>
    <t>Fett, vegetabiliskt</t>
  </si>
  <si>
    <t>Foderbeta, rotfrukt</t>
  </si>
  <si>
    <t>Fodercellulosa</t>
  </si>
  <si>
    <t>Fodermärgkål, hela plantan, ensilerad</t>
  </si>
  <si>
    <t>Fodersockerbeta</t>
  </si>
  <si>
    <t>Halm, baljväxt</t>
  </si>
  <si>
    <t>Halm, gräs</t>
  </si>
  <si>
    <t>Halm, stråsäd, NH3-behandlad</t>
  </si>
  <si>
    <t>Halm, stråsäd, ej behandlad</t>
  </si>
  <si>
    <t>Halm, stråsäd, torrlutad</t>
  </si>
  <si>
    <t>Halm, stråsäd, våtlutad</t>
  </si>
  <si>
    <t>Hamp, frö</t>
  </si>
  <si>
    <t>Havre, hela plantan, ensilerad</t>
  </si>
  <si>
    <t>Havre, kli</t>
  </si>
  <si>
    <t>Havre, kärna</t>
  </si>
  <si>
    <t>Havre, skal</t>
  </si>
  <si>
    <t>Hästkastanj, kastanjer</t>
  </si>
  <si>
    <t>Johannesbröd</t>
  </si>
  <si>
    <t>Jäst, bryggerijäst</t>
  </si>
  <si>
    <t>Kasein</t>
  </si>
  <si>
    <t>Kokos, expeller</t>
  </si>
  <si>
    <t>Kokos, mjöl</t>
  </si>
  <si>
    <t>Korn, drank</t>
  </si>
  <si>
    <t>Korn, drav, 24 % rp</t>
  </si>
  <si>
    <t>Korn, drav, 28 % rp</t>
  </si>
  <si>
    <t>Korn, hela plantan, ensilerad</t>
  </si>
  <si>
    <t>Korn, kli</t>
  </si>
  <si>
    <t>Korn, kärna</t>
  </si>
  <si>
    <t>Korn, maltgroddar</t>
  </si>
  <si>
    <t>Kålrot, rotfrukt</t>
  </si>
  <si>
    <t>Lin, frö</t>
  </si>
  <si>
    <t>Lin, fröexpeller</t>
  </si>
  <si>
    <t>Lin, frömjöl</t>
  </si>
  <si>
    <t>Lupin (gul), frö</t>
  </si>
  <si>
    <t>Lupin (gul), hela plantan, blomning, ensilerad</t>
  </si>
  <si>
    <t>Majs, gluten</t>
  </si>
  <si>
    <t>Majs, hela plantan, ensilerad</t>
  </si>
  <si>
    <t>Majs, kolvkross</t>
  </si>
  <si>
    <t>Majs, kärna</t>
  </si>
  <si>
    <t>Mjölk, helmjölk</t>
  </si>
  <si>
    <t>Mjölk, kärnmjölk, färsk</t>
  </si>
  <si>
    <t>Mjölk, skummjölk, färsk</t>
  </si>
  <si>
    <t>Mjölk, vassle, färsk</t>
  </si>
  <si>
    <t>Mjölk, vassle, permeat</t>
  </si>
  <si>
    <t>Morot, rotfrukt</t>
  </si>
  <si>
    <t>Oljepalm, kärnexpeller</t>
  </si>
  <si>
    <t>Oljepalm, kärnmjöl</t>
  </si>
  <si>
    <t>Potatis, drank</t>
  </si>
  <si>
    <t>Potatis, knöl</t>
  </si>
  <si>
    <t>Potatis, pulpa</t>
  </si>
  <si>
    <t>Potatisprotein</t>
  </si>
  <si>
    <t>Raps, expeller, enkellåg</t>
  </si>
  <si>
    <t>Raps, expeller, värmebehandlad, dubbellåg</t>
  </si>
  <si>
    <t>Raps, hela plantan</t>
  </si>
  <si>
    <t>Raps, mjöl, dubbellågt</t>
  </si>
  <si>
    <t>Raps, mjöl, värmebehandlat, dubbellågt</t>
  </si>
  <si>
    <t>Raps/rybs, frö</t>
  </si>
  <si>
    <t>Renlav</t>
  </si>
  <si>
    <t>Ris, kärna, rå</t>
  </si>
  <si>
    <t>Ris, kärna, skalad</t>
  </si>
  <si>
    <t>Rova, rotfrukt</t>
  </si>
  <si>
    <t>Råg, kli</t>
  </si>
  <si>
    <t>Råg, kärna</t>
  </si>
  <si>
    <t>Rågvete, kärna</t>
  </si>
  <si>
    <t>Rörsocker, melass</t>
  </si>
  <si>
    <t>Senap, frö</t>
  </si>
  <si>
    <t>Sesam, expeller</t>
  </si>
  <si>
    <t>Sesam, frö</t>
  </si>
  <si>
    <t>Sesam, mjöl</t>
  </si>
  <si>
    <t>Sheanöt, expeller</t>
  </si>
  <si>
    <t>Sockerbeta, beta</t>
  </si>
  <si>
    <t>Sockerbeta, betmassa, ensilerad</t>
  </si>
  <si>
    <t>Sockerbeta, betmassa, ensilerad, hårdpressad</t>
  </si>
  <si>
    <t>Sockerbeta, betmelass</t>
  </si>
  <si>
    <t>Sockerbeta, blast</t>
  </si>
  <si>
    <t>Sockerbeta, melasserad betfiber</t>
  </si>
  <si>
    <t>Sockerbeta, omelasserad betfiber</t>
  </si>
  <si>
    <t>Soja, böna</t>
  </si>
  <si>
    <t>Soja, mjöl</t>
  </si>
  <si>
    <t>Soja, mjöl, behandlat</t>
  </si>
  <si>
    <t>Solros, expeller, ej välskalad</t>
  </si>
  <si>
    <t>Solros, expeller, välskalad</t>
  </si>
  <si>
    <t>Solros, frö</t>
  </si>
  <si>
    <t>Solros, mjöl, oskalade frön</t>
  </si>
  <si>
    <t>Solros, mjöl, skalade frön</t>
  </si>
  <si>
    <t>Sorghum (milo), kärna</t>
  </si>
  <si>
    <t>Tall, bark</t>
  </si>
  <si>
    <t>Tapioka, mjöl</t>
  </si>
  <si>
    <t>Trä, melass</t>
  </si>
  <si>
    <t>Tång, mjöl</t>
  </si>
  <si>
    <t>Urea</t>
  </si>
  <si>
    <t>Vallmo, frö</t>
  </si>
  <si>
    <t>Vallmo, mjöl</t>
  </si>
  <si>
    <t>Vass, sommarskördad</t>
  </si>
  <si>
    <t>Vete, drank</t>
  </si>
  <si>
    <t>Vete, groddar</t>
  </si>
  <si>
    <t>Vete, kli</t>
  </si>
  <si>
    <t>Vete, kärna</t>
  </si>
  <si>
    <t>Vicker, kärna</t>
  </si>
  <si>
    <t>Ärter, hela plantan, fullmatad balja, ensilerad</t>
  </si>
  <si>
    <t>Ärter, kärna, mat/foderärt</t>
  </si>
  <si>
    <t>Ärter/Vicker, hela pantan, blomning</t>
  </si>
  <si>
    <t>Ärter/Vicker/Havre, hela plantan, axgång till blomning, ensilerad</t>
  </si>
  <si>
    <t>Åkerböna, hela plantan, blomning, ensilerad</t>
  </si>
  <si>
    <t>Oms energi, MJ</t>
  </si>
  <si>
    <t>AAT, g</t>
  </si>
  <si>
    <t>PBV, g</t>
  </si>
  <si>
    <t>Smb råprot, g</t>
  </si>
  <si>
    <t>Smb energi, MJ</t>
  </si>
  <si>
    <t>Råprot, g</t>
  </si>
  <si>
    <t>NFE, g</t>
  </si>
  <si>
    <t>Råprotein smb.koeff</t>
  </si>
  <si>
    <t>Råfett smb.koeff</t>
  </si>
  <si>
    <t>Växttråd smb.koeff</t>
  </si>
  <si>
    <t>NFE smb.koeff</t>
  </si>
  <si>
    <t>Org subst smb.koeff</t>
  </si>
  <si>
    <t>EFD smb.koeff</t>
  </si>
  <si>
    <t>EPD smb.koeff</t>
  </si>
  <si>
    <t>Protein i tarm smb.koeff</t>
  </si>
  <si>
    <t>Pektin, g</t>
  </si>
  <si>
    <t>Lignin, g</t>
  </si>
  <si>
    <t>CAB, meq</t>
  </si>
  <si>
    <t>col</t>
  </si>
  <si>
    <t>row</t>
  </si>
  <si>
    <t>sows</t>
  </si>
  <si>
    <t>MJ NEs/kg DM</t>
  </si>
  <si>
    <t>wheat distillers grain</t>
  </si>
  <si>
    <t>kg DM feed/kg product</t>
  </si>
  <si>
    <t>see feed pars sheet</t>
  </si>
  <si>
    <t>include as crop??</t>
  </si>
  <si>
    <t>straw</t>
  </si>
  <si>
    <t>MJ ME</t>
  </si>
  <si>
    <t>general</t>
  </si>
  <si>
    <t>rapeseed cake</t>
  </si>
  <si>
    <t>need to align with DM in products and by-products</t>
  </si>
  <si>
    <t>ley silage, 1st cut</t>
  </si>
  <si>
    <t>ley silage, regrowth</t>
  </si>
  <si>
    <t>other silage</t>
  </si>
  <si>
    <t>barley brewers grain</t>
  </si>
  <si>
    <t>vegetable oils</t>
  </si>
  <si>
    <t>feed_to_by_prod</t>
  </si>
  <si>
    <t>https://www.feedipedia.org/node/74</t>
  </si>
  <si>
    <t>rye</t>
  </si>
  <si>
    <t>soybeans</t>
  </si>
  <si>
    <t>luzern meal</t>
  </si>
  <si>
    <t xml:space="preserve">https://www.feedipedia.org/node/11744 </t>
  </si>
  <si>
    <t>add by-prod generation calculation method!</t>
  </si>
  <si>
    <t>https://www.feedipedia.org/node/12799</t>
  </si>
  <si>
    <t>https://www.feedtables.com/content/rapeseed-oil</t>
  </si>
  <si>
    <t>minerals</t>
  </si>
  <si>
    <t>f_crop</t>
  </si>
  <si>
    <t>dairy</t>
  </si>
  <si>
    <t>cows</t>
  </si>
  <si>
    <t>calves</t>
  </si>
  <si>
    <t>bulls</t>
  </si>
  <si>
    <t>heifers</t>
  </si>
  <si>
    <t>steers</t>
  </si>
  <si>
    <t>breeding bulls</t>
  </si>
  <si>
    <t>beef</t>
  </si>
  <si>
    <t>Semi-natural pastures</t>
  </si>
  <si>
    <t>max_crop_in_crop_prod</t>
  </si>
  <si>
    <r>
      <t>Maximum contribution of crop to crop product demand for feed</t>
    </r>
    <r>
      <rPr>
        <sz val="11"/>
        <color theme="1"/>
        <rFont val="Calibri"/>
        <family val="2"/>
        <scheme val="minor"/>
      </rPr>
      <t xml:space="preserve"> (Primarily used to limit semi-natural pastures in grazing)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</si>
</sst>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3D6FF"/>
        <bgColor indexed="64"/>
      </patternFill>
    </fill>
    <fill>
      <patternFill patternType="solid">
        <fgColor rgb="FFE2E4FF"/>
        <bgColor indexed="64"/>
      </patternFill>
    </fill>
    <fill>
      <patternFill patternType="solid">
        <fgColor rgb="FFEAEBFF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Fill="1"/>
    <xf numFmtId="0" fontId="0" fillId="3" borderId="0" xfId="0" applyFill="1"/>
    <xf numFmtId="0" fontId="3" fillId="3" borderId="0" xfId="0" applyFont="1" applyFill="1"/>
    <xf numFmtId="0" fontId="3" fillId="4" borderId="0" xfId="0" applyFont="1" applyFill="1"/>
    <xf numFmtId="0" fontId="0" fillId="4" borderId="0" xfId="0" applyFill="1"/>
    <xf numFmtId="0" fontId="4" fillId="0" borderId="0" xfId="0" applyFont="1"/>
    <xf numFmtId="0" fontId="5" fillId="0" borderId="0" xfId="1"/>
    <xf numFmtId="0" fontId="6" fillId="5" borderId="0" xfId="0" applyFont="1" applyFill="1" applyAlignment="1">
      <alignment vertical="center" wrapText="1"/>
    </xf>
    <xf numFmtId="0" fontId="5" fillId="6" borderId="0" xfId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5" fillId="8" borderId="0" xfId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2" fontId="2" fillId="0" borderId="0" xfId="0" applyNumberFormat="1" applyFont="1"/>
    <xf numFmtId="2" fontId="4" fillId="0" borderId="0" xfId="0" applyNumberFormat="1" applyFont="1"/>
    <xf numFmtId="2" fontId="8" fillId="0" borderId="0" xfId="0" applyNumberFormat="1" applyFont="1"/>
    <xf numFmtId="1" fontId="0" fillId="0" borderId="0" xfId="0" applyNumberFormat="1"/>
    <xf numFmtId="0" fontId="2" fillId="2" borderId="0" xfId="0" applyFont="1" applyFill="1"/>
    <xf numFmtId="164" fontId="2" fillId="0" borderId="0" xfId="0" applyNumberFormat="1" applyFont="1"/>
    <xf numFmtId="164" fontId="8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edipedia.org/node/11744" TargetMode="External"/><Relationship Id="rId2" Type="http://schemas.openxmlformats.org/officeDocument/2006/relationships/hyperlink" Target="https://www.feedipedia.org/node/74" TargetMode="External"/><Relationship Id="rId1" Type="http://schemas.openxmlformats.org/officeDocument/2006/relationships/hyperlink" Target="http://www2.freefarm.se/fodertabell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lu.se/globalassets/ew/org/inst/huv/verktyg/fodertabeller/gristabell/Linfro.pdf" TargetMode="External"/><Relationship Id="rId18" Type="http://schemas.openxmlformats.org/officeDocument/2006/relationships/hyperlink" Target="https://www.slu.se/globalassets/ew/org/inst/huv/verktyg/fodertabeller/gristabell/Majs.pdf" TargetMode="External"/><Relationship Id="rId26" Type="http://schemas.openxmlformats.org/officeDocument/2006/relationships/hyperlink" Target="https://www.slu.se/globalassets/ew/org/inst/huv/verktyg/fodertabeller/gristabell/Monokalciumfosfat.pdf" TargetMode="External"/><Relationship Id="rId39" Type="http://schemas.openxmlformats.org/officeDocument/2006/relationships/hyperlink" Target="https://www.slu.se/globalassets/ew/org/inst/huv/verktyg/fodertabeller/gristabell/Salt.pdf" TargetMode="External"/><Relationship Id="rId21" Type="http://schemas.openxmlformats.org/officeDocument/2006/relationships/hyperlink" Target="https://www.slu.se/globalassets/ew/org/inst/huv/verktyg/fodertabeller/gristabell/Majsglutenmjol.pdf" TargetMode="External"/><Relationship Id="rId34" Type="http://schemas.openxmlformats.org/officeDocument/2006/relationships/hyperlink" Target="https://www.slu.se/globalassets/ew/org/inst/huv/verktyg/fodertabeller/gristabell/Rapskaka_kallpressad.pdf" TargetMode="External"/><Relationship Id="rId42" Type="http://schemas.openxmlformats.org/officeDocument/2006/relationships/hyperlink" Target="https://www.slu.se/globalassets/ew/org/inst/huv/verktyg/fodertabeller/gristabell/Sojamjol45Rp.pdf" TargetMode="External"/><Relationship Id="rId47" Type="http://schemas.openxmlformats.org/officeDocument/2006/relationships/hyperlink" Target="https://www.slu.se/globalassets/ew/org/inst/huv/verktyg/fodertabeller/gristabell/Treonin_L.pdf" TargetMode="External"/><Relationship Id="rId50" Type="http://schemas.openxmlformats.org/officeDocument/2006/relationships/hyperlink" Target="https://www.slu.se/globalassets/ew/org/inst/huv/verktyg/fodertabeller/gristabell/Vasslepulver_sur_vassle.pdf" TargetMode="External"/><Relationship Id="rId55" Type="http://schemas.openxmlformats.org/officeDocument/2006/relationships/hyperlink" Target="https://www.slu.se/globalassets/ew/org/inst/huv/verktyg/fodertabeller/gristabell/Arter.pdf" TargetMode="External"/><Relationship Id="rId7" Type="http://schemas.openxmlformats.org/officeDocument/2006/relationships/hyperlink" Target="https://www.slu.se/globalassets/ew/org/inst/huv/verktyg/fodertabeller/gristabell/Foderkalk.pdf" TargetMode="External"/><Relationship Id="rId2" Type="http://schemas.openxmlformats.org/officeDocument/2006/relationships/hyperlink" Target="https://www.slu.se/globalassets/ew/org/inst/huv/verktyg/fodertabeller/gristabell/Agrodrank90.pdf" TargetMode="External"/><Relationship Id="rId16" Type="http://schemas.openxmlformats.org/officeDocument/2006/relationships/hyperlink" Target="https://www.slu.se/globalassets/ew/org/inst/huv/verktyg/fodertabeller/gristabell/Lusernmjol.pdf" TargetMode="External"/><Relationship Id="rId29" Type="http://schemas.openxmlformats.org/officeDocument/2006/relationships/hyperlink" Target="https://www.slu.se/globalassets/ew/org/inst/huv/verktyg/fodertabeller/gristabell/Permeatvassle.pdf" TargetMode="External"/><Relationship Id="rId11" Type="http://schemas.openxmlformats.org/officeDocument/2006/relationships/hyperlink" Target="https://www.slu.se/globalassets/ew/org/inst/huv/verktyg/fodertabeller/gristabell/Havre_skalad.pdf" TargetMode="External"/><Relationship Id="rId24" Type="http://schemas.openxmlformats.org/officeDocument/2006/relationships/hyperlink" Target="https://www.slu.se/globalassets/ew/org/inst/huv/verktyg/fodertabeller/gristabell/Metionin.pdf" TargetMode="External"/><Relationship Id="rId32" Type="http://schemas.openxmlformats.org/officeDocument/2006/relationships/hyperlink" Target="https://www.slu.se/globalassets/ew/org/inst/huv/verktyg/fodertabeller/gristabell/Rapsfro.pdf" TargetMode="External"/><Relationship Id="rId37" Type="http://schemas.openxmlformats.org/officeDocument/2006/relationships/hyperlink" Target="https://www.slu.se/globalassets/ew/org/inst/huv/verktyg/fodertabeller/gristabell/Rag.pdf" TargetMode="External"/><Relationship Id="rId40" Type="http://schemas.openxmlformats.org/officeDocument/2006/relationships/hyperlink" Target="https://www.slu.se/globalassets/ew/org/inst/huv/verktyg/fodertabeller/gristabell/Skummjolkspulver.pdf" TargetMode="External"/><Relationship Id="rId45" Type="http://schemas.openxmlformats.org/officeDocument/2006/relationships/hyperlink" Target="https://www.slu.se/globalassets/ew/org/inst/huv/verktyg/fodertabeller/gristabell/Solrosmjol.pdf" TargetMode="External"/><Relationship Id="rId53" Type="http://schemas.openxmlformats.org/officeDocument/2006/relationships/hyperlink" Target="https://www.slu.se/globalassets/ew/org/inst/huv/verktyg/fodertabeller/gristabell/Vetefodermjol.pdf" TargetMode="External"/><Relationship Id="rId58" Type="http://schemas.openxmlformats.org/officeDocument/2006/relationships/hyperlink" Target="https://www.slu.se/globalassets/ew/org/inst/huv/verktyg/fodertabeller/gristabell/Agrodrank10.pdf" TargetMode="External"/><Relationship Id="rId5" Type="http://schemas.openxmlformats.org/officeDocument/2006/relationships/hyperlink" Target="https://www.slu.se/globalassets/ew/org/inst/huv/verktyg/fodertabeller/gristabell/Fetter_animala.pdf" TargetMode="External"/><Relationship Id="rId19" Type="http://schemas.openxmlformats.org/officeDocument/2006/relationships/hyperlink" Target="https://www.slu.se/globalassets/ew/org/inst/huv/verktyg/fodertabeller/gristabell/Majsdrank.pdf" TargetMode="External"/><Relationship Id="rId4" Type="http://schemas.openxmlformats.org/officeDocument/2006/relationships/hyperlink" Target="https://www.slu.se/globalassets/ew/org/inst/huv/verktyg/fodertabeller/gristabell/Drank_SBI.pdf" TargetMode="External"/><Relationship Id="rId9" Type="http://schemas.openxmlformats.org/officeDocument/2006/relationships/hyperlink" Target="https://www.slu.se/globalassets/ew/org/inst/huv/verktyg/fodertabeller/gristabell/Halm_vete.pdf" TargetMode="External"/><Relationship Id="rId14" Type="http://schemas.openxmlformats.org/officeDocument/2006/relationships/hyperlink" Target="https://www.slu.se/globalassets/ew/org/inst/huv/verktyg/fodertabeller/gristabell/Linfroexpeller.pdf" TargetMode="External"/><Relationship Id="rId22" Type="http://schemas.openxmlformats.org/officeDocument/2006/relationships/hyperlink" Target="https://www.slu.se/globalassets/ew/org/inst/huv/verktyg/fodertabeller/gristabell/Melass_bet.pdf" TargetMode="External"/><Relationship Id="rId27" Type="http://schemas.openxmlformats.org/officeDocument/2006/relationships/hyperlink" Target="https://www.slu.se/globalassets/ew/org/inst/huv/verktyg/fodertabeller/gristabell/Oljor_vegetabila.pdf" TargetMode="External"/><Relationship Id="rId30" Type="http://schemas.openxmlformats.org/officeDocument/2006/relationships/hyperlink" Target="https://www.slu.se/globalassets/ew/org/inst/huv/verktyg/fodertabeller/gristabell/Potatisproteinkoncentrat.pdf" TargetMode="External"/><Relationship Id="rId35" Type="http://schemas.openxmlformats.org/officeDocument/2006/relationships/hyperlink" Target="https://www.slu.se/globalassets/ew/org/inst/huv/verktyg/fodertabeller/gristabell/Rapsmjol.pdf" TargetMode="External"/><Relationship Id="rId43" Type="http://schemas.openxmlformats.org/officeDocument/2006/relationships/hyperlink" Target="https://www.slu.se/globalassets/ew/org/inst/huv/verktyg/fodertabeller/gristabell/Sojamjol47Rp.pdf" TargetMode="External"/><Relationship Id="rId48" Type="http://schemas.openxmlformats.org/officeDocument/2006/relationships/hyperlink" Target="https://www.slu.se/globalassets/ew/org/inst/huv/verktyg/fodertabeller/gristabell/Tryptofan_L.pdf" TargetMode="External"/><Relationship Id="rId56" Type="http://schemas.openxmlformats.org/officeDocument/2006/relationships/hyperlink" Target="https://www.slu.se/globalassets/ew/org/inst/huv/verktyg/fodertabeller/gristabell/Akerbona_vitblommig.pdf" TargetMode="External"/><Relationship Id="rId8" Type="http://schemas.openxmlformats.org/officeDocument/2006/relationships/hyperlink" Target="https://www.slu.se/globalassets/ew/org/inst/huv/verktyg/fodertabeller/gristabell/Grasmjol.pdf" TargetMode="External"/><Relationship Id="rId51" Type="http://schemas.openxmlformats.org/officeDocument/2006/relationships/hyperlink" Target="https://www.slu.se/globalassets/ew/org/inst/huv/verktyg/fodertabeller/gristabell/Vasslepulver_sot_vassle.pdf" TargetMode="External"/><Relationship Id="rId3" Type="http://schemas.openxmlformats.org/officeDocument/2006/relationships/hyperlink" Target="https://www.slu.se/globalassets/ew/org/inst/huv/verktyg/fodertabeller/gristabell/Betfiber_omelasserad.pdf" TargetMode="External"/><Relationship Id="rId12" Type="http://schemas.openxmlformats.org/officeDocument/2006/relationships/hyperlink" Target="https://www.slu.se/globalassets/ew/org/inst/huv/verktyg/fodertabeller/gristabell/Korn.pdf" TargetMode="External"/><Relationship Id="rId17" Type="http://schemas.openxmlformats.org/officeDocument/2006/relationships/hyperlink" Target="https://www.slu.se/globalassets/ew/org/inst/huv/verktyg/fodertabeller/gristabell/Lysin_L-HCL.pdf" TargetMode="External"/><Relationship Id="rId25" Type="http://schemas.openxmlformats.org/officeDocument/2006/relationships/hyperlink" Target="https://www.slu.se/globalassets/ew/org/inst/huv/verktyg/fodertabeller/gristabell/Metioninhydroxyanalog.pdf" TargetMode="External"/><Relationship Id="rId33" Type="http://schemas.openxmlformats.org/officeDocument/2006/relationships/hyperlink" Target="https://www.slu.se/globalassets/ew/org/inst/huv/verktyg/fodertabeller/gristabell/Rapskaka.pdf" TargetMode="External"/><Relationship Id="rId38" Type="http://schemas.openxmlformats.org/officeDocument/2006/relationships/hyperlink" Target="https://www.slu.se/globalassets/ew/org/inst/huv/verktyg/fodertabeller/gristabell/Ragvete.pdf" TargetMode="External"/><Relationship Id="rId46" Type="http://schemas.openxmlformats.org/officeDocument/2006/relationships/hyperlink" Target="https://www.slu.se/globalassets/ew/org/inst/huv/verktyg/fodertabeller/gristabell/Sorgum.pdf" TargetMode="External"/><Relationship Id="rId20" Type="http://schemas.openxmlformats.org/officeDocument/2006/relationships/hyperlink" Target="https://www.slu.se/globalassets/ew/org/inst/huv/verktyg/fodertabeller/gristabell/Majsglutenfoder.pdf" TargetMode="External"/><Relationship Id="rId41" Type="http://schemas.openxmlformats.org/officeDocument/2006/relationships/hyperlink" Target="https://www.slu.se/globalassets/ew/org/inst/huv/verktyg/fodertabeller/gristabell/Sojamjol43Rp.pdf" TargetMode="External"/><Relationship Id="rId54" Type="http://schemas.openxmlformats.org/officeDocument/2006/relationships/hyperlink" Target="https://www.slu.se/globalassets/ew/org/inst/huv/verktyg/fodertabeller/gristabell/Vetekli.pdf" TargetMode="External"/><Relationship Id="rId1" Type="http://schemas.openxmlformats.org/officeDocument/2006/relationships/hyperlink" Target="https://www.slu.se/globalassets/ew/org/inst/huv/verktyg/fodertabeller/gristabell/Agrodrank27.pdf" TargetMode="External"/><Relationship Id="rId6" Type="http://schemas.openxmlformats.org/officeDocument/2006/relationships/hyperlink" Target="https://www.slu.se/globalassets/ew/org/inst/huv/verktyg/fodertabeller/gristabell/Fiskmjol.pdf" TargetMode="External"/><Relationship Id="rId15" Type="http://schemas.openxmlformats.org/officeDocument/2006/relationships/hyperlink" Target="https://www.slu.se/globalassets/ew/org/inst/huv/verktyg/fodertabeller/gristabell/Lupin_vit.pdf" TargetMode="External"/><Relationship Id="rId23" Type="http://schemas.openxmlformats.org/officeDocument/2006/relationships/hyperlink" Target="https://www.slu.se/globalassets/ew/org/inst/huv/verktyg/fodertabeller/gristabell/Melass_ror.pdf" TargetMode="External"/><Relationship Id="rId28" Type="http://schemas.openxmlformats.org/officeDocument/2006/relationships/hyperlink" Target="https://www.slu.se/globalassets/ew/org/inst/huv/verktyg/fodertabeller/gristabell/Palmkarnkaka.pdf" TargetMode="External"/><Relationship Id="rId36" Type="http://schemas.openxmlformats.org/officeDocument/2006/relationships/hyperlink" Target="https://www.slu.se/globalassets/ew/org/inst/huv/verktyg/fodertabeller/gristabell/Ris_knackt.pdf" TargetMode="External"/><Relationship Id="rId49" Type="http://schemas.openxmlformats.org/officeDocument/2006/relationships/hyperlink" Target="https://www.slu.se/globalassets/ew/org/inst/huv/verktyg/fodertabeller/gristabell/Vassle.pdf" TargetMode="External"/><Relationship Id="rId57" Type="http://schemas.openxmlformats.org/officeDocument/2006/relationships/hyperlink" Target="https://www.slu.se/globalassets/ew/org/inst/huv/verktyg/fodertabeller/gristabell/Oljast.pdf" TargetMode="External"/><Relationship Id="rId10" Type="http://schemas.openxmlformats.org/officeDocument/2006/relationships/hyperlink" Target="https://www.slu.se/globalassets/ew/org/inst/huv/verktyg/fodertabeller/gristabell/Havre.pdf" TargetMode="External"/><Relationship Id="rId31" Type="http://schemas.openxmlformats.org/officeDocument/2006/relationships/hyperlink" Target="https://www.slu.se/globalassets/ew/org/inst/huv/verktyg/fodertabeller/gristabell/Potatispulpa.pdf" TargetMode="External"/><Relationship Id="rId44" Type="http://schemas.openxmlformats.org/officeDocument/2006/relationships/hyperlink" Target="https://www.slu.se/globalassets/ew/org/inst/huv/verktyg/fodertabeller/gristabell/Sojaprotein-Hamlet_310.pdf" TargetMode="External"/><Relationship Id="rId52" Type="http://schemas.openxmlformats.org/officeDocument/2006/relationships/hyperlink" Target="https://www.slu.se/globalassets/ew/org/inst/huv/verktyg/fodertabeller/gristabell/Vet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6"/>
  <sheetViews>
    <sheetView tabSelected="1" zoomScale="80" zoomScaleNormal="80" workbookViewId="0">
      <pane ySplit="1" topLeftCell="A18" activePane="bottomLeft" state="frozen"/>
      <selection pane="bottomLeft" activeCell="N57" sqref="N57"/>
    </sheetView>
  </sheetViews>
  <sheetFormatPr defaultRowHeight="15" x14ac:dyDescent="0.25"/>
  <cols>
    <col min="6" max="7" width="20.28515625" customWidth="1"/>
    <col min="8" max="8" width="19.5703125" bestFit="1" customWidth="1"/>
    <col min="9" max="9" width="20.140625" customWidth="1"/>
    <col min="10" max="10" width="16.42578125" bestFit="1" customWidth="1"/>
    <col min="12" max="12" width="12.7109375" bestFit="1" customWidth="1"/>
    <col min="13" max="13" width="38.140625" customWidth="1"/>
    <col min="14" max="14" width="58" customWidth="1"/>
  </cols>
  <sheetData>
    <row r="1" spans="1:15" x14ac:dyDescent="0.25">
      <c r="A1" s="4" t="s">
        <v>23</v>
      </c>
      <c r="B1" s="4" t="s">
        <v>14</v>
      </c>
      <c r="C1" s="4" t="s">
        <v>13</v>
      </c>
      <c r="D1" s="4" t="s">
        <v>15</v>
      </c>
      <c r="E1" s="4" t="s">
        <v>16</v>
      </c>
      <c r="F1" s="4" t="s">
        <v>0</v>
      </c>
      <c r="G1" s="4" t="s">
        <v>325</v>
      </c>
      <c r="H1" s="4" t="s">
        <v>1</v>
      </c>
      <c r="I1" s="4" t="s">
        <v>9</v>
      </c>
      <c r="J1" s="4" t="s">
        <v>3</v>
      </c>
      <c r="K1" s="4" t="s">
        <v>4</v>
      </c>
      <c r="L1" s="4" t="s">
        <v>5</v>
      </c>
      <c r="M1" s="4" t="s">
        <v>6</v>
      </c>
      <c r="N1" s="4" t="s">
        <v>7</v>
      </c>
    </row>
    <row r="2" spans="1:15" x14ac:dyDescent="0.25">
      <c r="A2" s="1" t="s">
        <v>8</v>
      </c>
      <c r="B2" s="1"/>
      <c r="C2" s="1"/>
      <c r="D2" s="1"/>
      <c r="E2" s="1"/>
      <c r="F2" s="1"/>
      <c r="G2" s="1"/>
      <c r="H2" s="1"/>
      <c r="I2" s="1"/>
      <c r="J2" s="2"/>
      <c r="K2" s="2"/>
      <c r="L2" s="2" t="s">
        <v>302</v>
      </c>
      <c r="M2" s="24" t="s">
        <v>309</v>
      </c>
      <c r="N2" s="2"/>
      <c r="O2" s="5"/>
    </row>
    <row r="3" spans="1:15" x14ac:dyDescent="0.25">
      <c r="J3" s="10" t="s">
        <v>32</v>
      </c>
      <c r="K3" s="21">
        <v>0</v>
      </c>
      <c r="L3" s="10"/>
      <c r="M3" s="10" t="s">
        <v>34</v>
      </c>
    </row>
    <row r="4" spans="1:15" x14ac:dyDescent="0.25">
      <c r="F4" t="s">
        <v>310</v>
      </c>
      <c r="H4" t="s">
        <v>10</v>
      </c>
      <c r="J4" t="s">
        <v>32</v>
      </c>
      <c r="K4" s="22">
        <f>1/INDEX('feed pars'!C$6:C$42/100,MATCH(F4,'feed pars'!B$6:B$42,0))</f>
        <v>1</v>
      </c>
    </row>
    <row r="5" spans="1:15" x14ac:dyDescent="0.25">
      <c r="F5" t="s">
        <v>311</v>
      </c>
      <c r="H5" t="s">
        <v>10</v>
      </c>
      <c r="J5" t="s">
        <v>32</v>
      </c>
      <c r="K5" s="22">
        <f>1/INDEX('feed pars'!C$6:C$42/100,MATCH(F5,'feed pars'!B$6:B$42,0))</f>
        <v>1</v>
      </c>
    </row>
    <row r="6" spans="1:15" x14ac:dyDescent="0.25">
      <c r="F6" t="s">
        <v>312</v>
      </c>
      <c r="H6" t="s">
        <v>10</v>
      </c>
      <c r="J6" t="s">
        <v>32</v>
      </c>
      <c r="K6" s="22">
        <f>1/INDEX('feed pars'!C$6:C$42/100,MATCH(F6,'feed pars'!B$6:B$42,0))</f>
        <v>1</v>
      </c>
    </row>
    <row r="7" spans="1:15" x14ac:dyDescent="0.25">
      <c r="F7" t="s">
        <v>2</v>
      </c>
      <c r="H7" t="s">
        <v>10</v>
      </c>
      <c r="J7" t="s">
        <v>32</v>
      </c>
      <c r="K7" s="22">
        <f>1/INDEX('feed pars'!C$6:C$42/100,MATCH(F7,'feed pars'!B$6:B$42,0))</f>
        <v>1</v>
      </c>
    </row>
    <row r="8" spans="1:15" x14ac:dyDescent="0.25">
      <c r="F8" t="s">
        <v>12</v>
      </c>
      <c r="H8" t="s">
        <v>11</v>
      </c>
      <c r="J8" t="s">
        <v>32</v>
      </c>
      <c r="K8" s="22">
        <f>1/INDEX('feed pars'!C$6:C$42/100,MATCH(F8,'feed pars'!B$6:B$42,0))</f>
        <v>1</v>
      </c>
    </row>
    <row r="9" spans="1:15" x14ac:dyDescent="0.25">
      <c r="F9" t="s">
        <v>33</v>
      </c>
      <c r="H9" t="s">
        <v>33</v>
      </c>
      <c r="J9" t="s">
        <v>32</v>
      </c>
      <c r="K9" s="22">
        <f>1/INDEX('feed pars'!C$6:C$42/100,MATCH(F9,'feed pars'!B$6:B$42,0))</f>
        <v>1</v>
      </c>
    </row>
    <row r="10" spans="1:15" x14ac:dyDescent="0.25">
      <c r="F10" t="s">
        <v>17</v>
      </c>
      <c r="H10" t="s">
        <v>17</v>
      </c>
      <c r="J10" t="s">
        <v>32</v>
      </c>
      <c r="K10" s="22">
        <f>1/INDEX('feed pars'!C$6:C$42/100,MATCH(F10,'feed pars'!B$6:B$42,0))</f>
        <v>1.1494252873563218</v>
      </c>
    </row>
    <row r="11" spans="1:15" x14ac:dyDescent="0.25">
      <c r="F11" t="s">
        <v>37</v>
      </c>
      <c r="H11" t="s">
        <v>37</v>
      </c>
      <c r="J11" t="s">
        <v>32</v>
      </c>
      <c r="K11" s="22">
        <f>1/INDEX('feed pars'!C$6:C$42/100,MATCH(F11,'feed pars'!B$6:B$42,0))</f>
        <v>1.1494252873563218</v>
      </c>
    </row>
    <row r="12" spans="1:15" x14ac:dyDescent="0.25">
      <c r="F12" t="s">
        <v>38</v>
      </c>
      <c r="H12" t="s">
        <v>38</v>
      </c>
      <c r="J12" t="s">
        <v>32</v>
      </c>
      <c r="K12" s="22">
        <f>1/INDEX('feed pars'!C$6:C$42/100,MATCH(F12,'feed pars'!B$6:B$42,0))</f>
        <v>1.1627906976744187</v>
      </c>
    </row>
    <row r="13" spans="1:15" x14ac:dyDescent="0.25">
      <c r="F13" t="s">
        <v>39</v>
      </c>
      <c r="H13" t="s">
        <v>39</v>
      </c>
      <c r="J13" t="s">
        <v>32</v>
      </c>
      <c r="K13" s="22">
        <f>1/INDEX('feed pars'!C$6:C$42/100,MATCH(F13,'feed pars'!B$6:B$42,0))</f>
        <v>1.1494252873563218</v>
      </c>
    </row>
    <row r="14" spans="1:15" x14ac:dyDescent="0.25">
      <c r="F14" t="s">
        <v>317</v>
      </c>
      <c r="H14" t="s">
        <v>317</v>
      </c>
      <c r="J14" t="s">
        <v>32</v>
      </c>
      <c r="K14" s="22">
        <f>1/INDEX('feed pars'!C$6:C$42/100,MATCH(F14,'feed pars'!B$6:B$42,0))</f>
        <v>1.1494252873563218</v>
      </c>
    </row>
    <row r="15" spans="1:15" x14ac:dyDescent="0.25">
      <c r="F15" t="s">
        <v>40</v>
      </c>
      <c r="H15" t="s">
        <v>40</v>
      </c>
      <c r="J15" t="s">
        <v>32</v>
      </c>
      <c r="K15" s="22">
        <f>1/INDEX('feed pars'!C$6:C$42/100,MATCH(F15,'feed pars'!B$6:B$42,0))</f>
        <v>1.4814814814814814</v>
      </c>
    </row>
    <row r="16" spans="1:15" x14ac:dyDescent="0.25">
      <c r="F16" t="s">
        <v>41</v>
      </c>
      <c r="H16" t="s">
        <v>41</v>
      </c>
      <c r="J16" t="s">
        <v>32</v>
      </c>
      <c r="K16" s="22">
        <f>1/INDEX('feed pars'!C$6:C$42/100,MATCH(F16,'feed pars'!B$6:B$42,0))</f>
        <v>1.1494252873563218</v>
      </c>
    </row>
    <row r="17" spans="6:13" x14ac:dyDescent="0.25">
      <c r="F17" t="s">
        <v>42</v>
      </c>
      <c r="H17" t="s">
        <v>42</v>
      </c>
      <c r="J17" t="s">
        <v>32</v>
      </c>
      <c r="K17" s="22">
        <f>1/INDEX('feed pars'!C$6:C$42/100,MATCH(F17,'feed pars'!B$6:B$42,0))</f>
        <v>1.1520737327188941</v>
      </c>
    </row>
    <row r="18" spans="6:13" x14ac:dyDescent="0.25">
      <c r="F18" t="s">
        <v>35</v>
      </c>
      <c r="H18" t="s">
        <v>35</v>
      </c>
      <c r="J18" t="s">
        <v>32</v>
      </c>
      <c r="K18" s="22">
        <f>1/INDEX('feed pars'!C$6:C$42/100,MATCH(F18,'feed pars'!B$6:B$42,0))</f>
        <v>1.0810810810810809</v>
      </c>
    </row>
    <row r="19" spans="6:13" x14ac:dyDescent="0.25">
      <c r="F19" t="s">
        <v>43</v>
      </c>
      <c r="H19" t="s">
        <v>43</v>
      </c>
      <c r="J19" t="s">
        <v>32</v>
      </c>
      <c r="K19" s="22">
        <f>1/INDEX('feed pars'!C$6:C$42/100,MATCH(F19,'feed pars'!B$6:B$42,0))</f>
        <v>1.0869565217391304</v>
      </c>
    </row>
    <row r="20" spans="6:13" x14ac:dyDescent="0.25">
      <c r="F20" s="3" t="s">
        <v>314</v>
      </c>
      <c r="G20" s="3"/>
      <c r="H20" s="3" t="s">
        <v>35</v>
      </c>
      <c r="I20" s="3"/>
      <c r="J20" s="3" t="s">
        <v>32</v>
      </c>
      <c r="K20" s="20">
        <f>1/INDEX('feed pars'!C$6:C$42/100,MATCH(F20,'feed pars'!B$6:B$42,0))*1/0.38</f>
        <v>2.6315789473684212</v>
      </c>
    </row>
    <row r="21" spans="6:13" x14ac:dyDescent="0.25">
      <c r="F21" s="3" t="s">
        <v>314</v>
      </c>
      <c r="G21" s="3"/>
      <c r="H21" s="3" t="s">
        <v>35</v>
      </c>
      <c r="I21" s="3" t="s">
        <v>36</v>
      </c>
      <c r="J21" s="3" t="s">
        <v>315</v>
      </c>
      <c r="K21" s="22"/>
      <c r="M21" s="3" t="s">
        <v>321</v>
      </c>
    </row>
    <row r="22" spans="6:13" x14ac:dyDescent="0.25">
      <c r="F22" t="s">
        <v>305</v>
      </c>
      <c r="I22" t="s">
        <v>305</v>
      </c>
      <c r="J22" t="s">
        <v>32</v>
      </c>
      <c r="K22" s="22">
        <f>1/INDEX('feed pars'!C$6:C$42/100,MATCH(F22,'feed pars'!B$6:B$42,0))</f>
        <v>1.1764705882352942</v>
      </c>
    </row>
    <row r="23" spans="6:13" x14ac:dyDescent="0.25">
      <c r="F23" t="s">
        <v>318</v>
      </c>
      <c r="I23" t="s">
        <v>318</v>
      </c>
      <c r="J23" t="s">
        <v>32</v>
      </c>
      <c r="K23" s="22">
        <f>1/INDEX('feed pars'!C$6:C$42/100,MATCH(F23,'feed pars'!B$6:B$42,0))</f>
        <v>1.1494252873563218</v>
      </c>
    </row>
    <row r="24" spans="6:13" x14ac:dyDescent="0.25">
      <c r="F24" t="s">
        <v>44</v>
      </c>
      <c r="I24" t="s">
        <v>44</v>
      </c>
      <c r="J24" t="s">
        <v>32</v>
      </c>
      <c r="K24" s="22">
        <f>1/INDEX('feed pars'!C$6:C$42/100,MATCH(F24,'feed pars'!B$6:B$42,0))</f>
        <v>1.1428571428571428</v>
      </c>
    </row>
    <row r="25" spans="6:13" x14ac:dyDescent="0.25">
      <c r="F25" t="s">
        <v>45</v>
      </c>
      <c r="I25" t="s">
        <v>45</v>
      </c>
      <c r="J25" t="s">
        <v>32</v>
      </c>
      <c r="K25" s="22">
        <f>1/INDEX('feed pars'!C$6:C$42/100,MATCH(F25,'feed pars'!B$6:B$42,0))</f>
        <v>1.1494252873563218</v>
      </c>
    </row>
    <row r="26" spans="6:13" x14ac:dyDescent="0.25">
      <c r="F26" t="s">
        <v>36</v>
      </c>
      <c r="I26" t="s">
        <v>36</v>
      </c>
      <c r="J26" t="s">
        <v>32</v>
      </c>
      <c r="K26" s="22">
        <f>1/INDEX('feed pars'!C$6:C$42/100,MATCH(F26,'feed pars'!B$6:B$42,0))</f>
        <v>1.1173184357541899</v>
      </c>
    </row>
    <row r="27" spans="6:13" x14ac:dyDescent="0.25">
      <c r="F27" t="s">
        <v>46</v>
      </c>
      <c r="I27" t="s">
        <v>46</v>
      </c>
      <c r="J27" t="s">
        <v>32</v>
      </c>
      <c r="K27" s="22">
        <f>1/INDEX('feed pars'!C$6:C$42/100,MATCH(F27,'feed pars'!B$6:B$42,0))</f>
        <v>1.0989010989010988</v>
      </c>
    </row>
    <row r="28" spans="6:13" x14ac:dyDescent="0.25">
      <c r="F28" t="s">
        <v>47</v>
      </c>
      <c r="I28" t="s">
        <v>47</v>
      </c>
      <c r="J28" t="s">
        <v>32</v>
      </c>
      <c r="K28" s="22">
        <f>1/INDEX('feed pars'!C$6:C$42/100,MATCH(F28,'feed pars'!B$6:B$42,0))</f>
        <v>1.0989010989010988</v>
      </c>
    </row>
    <row r="29" spans="6:13" x14ac:dyDescent="0.25">
      <c r="F29" t="s">
        <v>319</v>
      </c>
      <c r="I29" t="s">
        <v>319</v>
      </c>
      <c r="J29" t="s">
        <v>32</v>
      </c>
      <c r="K29" s="22">
        <f>1/INDEX('feed pars'!C$6:C$42/100,MATCH(F29,'feed pars'!B$6:B$42,0))</f>
        <v>1.1111111111111112</v>
      </c>
    </row>
    <row r="30" spans="6:13" x14ac:dyDescent="0.25">
      <c r="F30" t="s">
        <v>48</v>
      </c>
      <c r="I30" t="s">
        <v>48</v>
      </c>
      <c r="J30" t="s">
        <v>32</v>
      </c>
      <c r="K30" s="22">
        <f>1/INDEX('feed pars'!C$6:C$42/100,MATCH(F30,'feed pars'!B$6:B$42,0))</f>
        <v>1.1494252873563218</v>
      </c>
    </row>
    <row r="31" spans="6:13" x14ac:dyDescent="0.25">
      <c r="F31" t="s">
        <v>49</v>
      </c>
      <c r="I31" t="s">
        <v>48</v>
      </c>
      <c r="J31" t="s">
        <v>32</v>
      </c>
      <c r="K31" s="22">
        <f>1/INDEX('feed pars'!C$6:C$42/100,MATCH(F31,'feed pars'!B$6:B$42,0))</f>
        <v>1.1363636363636365</v>
      </c>
    </row>
    <row r="32" spans="6:13" x14ac:dyDescent="0.25">
      <c r="F32" t="s">
        <v>50</v>
      </c>
      <c r="I32" t="s">
        <v>301</v>
      </c>
      <c r="J32" t="s">
        <v>32</v>
      </c>
      <c r="K32" s="20">
        <f>K33</f>
        <v>9.0909090909090917</v>
      </c>
    </row>
    <row r="33" spans="1:14" x14ac:dyDescent="0.25">
      <c r="F33" t="s">
        <v>51</v>
      </c>
      <c r="I33" t="s">
        <v>301</v>
      </c>
      <c r="J33" t="s">
        <v>32</v>
      </c>
      <c r="K33" s="22">
        <f>1/INDEX('feed pars'!C$6:C$42/100,MATCH(F33,'feed pars'!B$6:B$42,0))</f>
        <v>9.0909090909090917</v>
      </c>
    </row>
    <row r="34" spans="1:14" x14ac:dyDescent="0.25">
      <c r="F34" t="s">
        <v>313</v>
      </c>
      <c r="I34" t="s">
        <v>313</v>
      </c>
      <c r="J34" t="s">
        <v>32</v>
      </c>
      <c r="K34" s="20">
        <f>1/0.25</f>
        <v>4</v>
      </c>
    </row>
    <row r="35" spans="1:14" x14ac:dyDescent="0.25">
      <c r="F35" t="s">
        <v>52</v>
      </c>
      <c r="I35" t="s">
        <v>52</v>
      </c>
      <c r="J35" t="s">
        <v>32</v>
      </c>
      <c r="K35" s="22">
        <f>1/INDEX('feed pars'!C$6:C$42/100,MATCH(F35,'feed pars'!B$6:B$42,0))</f>
        <v>1.3245033112582782</v>
      </c>
    </row>
    <row r="36" spans="1:14" x14ac:dyDescent="0.25">
      <c r="F36" t="s">
        <v>53</v>
      </c>
      <c r="I36" t="s">
        <v>53</v>
      </c>
      <c r="J36" t="s">
        <v>32</v>
      </c>
      <c r="K36" s="22">
        <f>1/INDEX('feed pars'!C$6:C$42/100,MATCH(F36,'feed pars'!B$6:B$42,0))</f>
        <v>1.1173184357541899</v>
      </c>
    </row>
    <row r="37" spans="1:14" x14ac:dyDescent="0.25">
      <c r="F37" t="s">
        <v>54</v>
      </c>
      <c r="I37" t="s">
        <v>54</v>
      </c>
      <c r="J37" t="s">
        <v>32</v>
      </c>
      <c r="K37" s="22">
        <f>1/INDEX('feed pars'!C$6:C$42/100,MATCH(F37,'feed pars'!B$6:B$42,0))</f>
        <v>16</v>
      </c>
    </row>
    <row r="38" spans="1:14" x14ac:dyDescent="0.25">
      <c r="F38" t="s">
        <v>55</v>
      </c>
      <c r="I38" t="s">
        <v>54</v>
      </c>
      <c r="J38" t="s">
        <v>32</v>
      </c>
      <c r="K38" s="20">
        <f>K37</f>
        <v>16</v>
      </c>
    </row>
    <row r="39" spans="1:14" x14ac:dyDescent="0.25">
      <c r="F39" t="s">
        <v>56</v>
      </c>
      <c r="I39" t="s">
        <v>56</v>
      </c>
      <c r="J39" t="s">
        <v>32</v>
      </c>
      <c r="K39" s="22">
        <f>1/INDEX('feed pars'!C$6:C$42/100,MATCH(F39,'feed pars'!B$6:B$42,0))</f>
        <v>1.0989010989010988</v>
      </c>
    </row>
    <row r="40" spans="1:14" x14ac:dyDescent="0.25">
      <c r="F40" t="s">
        <v>57</v>
      </c>
      <c r="I40" t="s">
        <v>57</v>
      </c>
      <c r="J40" t="s">
        <v>32</v>
      </c>
      <c r="K40" s="22">
        <f>1/INDEX('feed pars'!C$6:C$42/100,MATCH(F40,'feed pars'!B$6:B$42,0))</f>
        <v>1.0869565217391304</v>
      </c>
    </row>
    <row r="41" spans="1:14" x14ac:dyDescent="0.25">
      <c r="A41" s="1" t="s">
        <v>29</v>
      </c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5">
      <c r="J42" s="10" t="s">
        <v>27</v>
      </c>
      <c r="K42" s="10">
        <v>0</v>
      </c>
      <c r="L42" s="10"/>
      <c r="M42" s="10" t="s">
        <v>34</v>
      </c>
    </row>
    <row r="43" spans="1:14" x14ac:dyDescent="0.25">
      <c r="H43" t="s">
        <v>10</v>
      </c>
      <c r="J43" t="s">
        <v>27</v>
      </c>
      <c r="K43" s="3">
        <v>95</v>
      </c>
      <c r="L43" t="s">
        <v>28</v>
      </c>
    </row>
    <row r="44" spans="1:14" x14ac:dyDescent="0.25">
      <c r="H44" t="s">
        <v>11</v>
      </c>
      <c r="J44" t="s">
        <v>27</v>
      </c>
      <c r="K44" s="3">
        <v>95</v>
      </c>
      <c r="L44" t="s">
        <v>28</v>
      </c>
    </row>
    <row r="45" spans="1:14" x14ac:dyDescent="0.25">
      <c r="H45" t="s">
        <v>33</v>
      </c>
      <c r="J45" t="s">
        <v>27</v>
      </c>
      <c r="K45" s="3">
        <v>95</v>
      </c>
      <c r="L45" t="s">
        <v>28</v>
      </c>
    </row>
    <row r="46" spans="1:14" x14ac:dyDescent="0.25">
      <c r="A46" s="1" t="s">
        <v>30</v>
      </c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J47" s="10" t="s">
        <v>31</v>
      </c>
      <c r="K47" s="10">
        <v>0</v>
      </c>
      <c r="L47" s="10"/>
      <c r="M47" s="10" t="s">
        <v>34</v>
      </c>
    </row>
    <row r="48" spans="1:14" x14ac:dyDescent="0.25">
      <c r="I48" t="s">
        <v>318</v>
      </c>
      <c r="J48" t="s">
        <v>31</v>
      </c>
      <c r="K48" s="29">
        <v>100</v>
      </c>
      <c r="L48" s="29" t="s">
        <v>28</v>
      </c>
      <c r="M48" s="10"/>
    </row>
    <row r="49" spans="1:14" x14ac:dyDescent="0.25">
      <c r="I49" t="s">
        <v>44</v>
      </c>
      <c r="J49" t="s">
        <v>31</v>
      </c>
      <c r="K49" s="29">
        <v>100</v>
      </c>
      <c r="L49" s="29" t="s">
        <v>28</v>
      </c>
      <c r="M49" s="10"/>
    </row>
    <row r="50" spans="1:14" x14ac:dyDescent="0.25">
      <c r="I50" t="s">
        <v>36</v>
      </c>
      <c r="J50" t="s">
        <v>31</v>
      </c>
      <c r="K50" s="29">
        <v>61</v>
      </c>
      <c r="L50" t="s">
        <v>28</v>
      </c>
    </row>
    <row r="51" spans="1:14" x14ac:dyDescent="0.25">
      <c r="H51" t="s">
        <v>43</v>
      </c>
      <c r="J51" t="s">
        <v>31</v>
      </c>
      <c r="K51" s="3">
        <v>100</v>
      </c>
      <c r="L51" t="s">
        <v>28</v>
      </c>
      <c r="M51" s="3" t="s">
        <v>304</v>
      </c>
    </row>
    <row r="52" spans="1:14" x14ac:dyDescent="0.25">
      <c r="A52" s="1" t="s">
        <v>336</v>
      </c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t="s">
        <v>24</v>
      </c>
      <c r="B53" t="s">
        <v>326</v>
      </c>
      <c r="E53" t="s">
        <v>327</v>
      </c>
      <c r="G53" t="s">
        <v>334</v>
      </c>
      <c r="H53" t="s">
        <v>33</v>
      </c>
      <c r="J53" t="s">
        <v>335</v>
      </c>
      <c r="K53" s="3">
        <v>5</v>
      </c>
      <c r="L53" t="s">
        <v>28</v>
      </c>
      <c r="M53" s="3"/>
    </row>
    <row r="54" spans="1:14" x14ac:dyDescent="0.25">
      <c r="A54" t="s">
        <v>24</v>
      </c>
      <c r="B54" t="s">
        <v>326</v>
      </c>
      <c r="E54" t="s">
        <v>328</v>
      </c>
      <c r="G54" t="s">
        <v>334</v>
      </c>
      <c r="H54" t="s">
        <v>33</v>
      </c>
      <c r="J54" t="s">
        <v>335</v>
      </c>
      <c r="K54" s="3">
        <v>5</v>
      </c>
      <c r="L54" t="s">
        <v>28</v>
      </c>
      <c r="M54" s="3"/>
    </row>
    <row r="55" spans="1:14" x14ac:dyDescent="0.25">
      <c r="A55" t="s">
        <v>24</v>
      </c>
      <c r="B55" t="s">
        <v>326</v>
      </c>
      <c r="E55" t="s">
        <v>329</v>
      </c>
      <c r="G55" t="s">
        <v>334</v>
      </c>
      <c r="H55" t="s">
        <v>33</v>
      </c>
      <c r="J55" t="s">
        <v>335</v>
      </c>
      <c r="K55" s="3">
        <v>0</v>
      </c>
      <c r="L55" t="s">
        <v>28</v>
      </c>
      <c r="M55" s="3"/>
    </row>
    <row r="56" spans="1:14" x14ac:dyDescent="0.25">
      <c r="A56" t="s">
        <v>24</v>
      </c>
      <c r="B56" t="s">
        <v>326</v>
      </c>
      <c r="E56" t="s">
        <v>330</v>
      </c>
      <c r="G56" t="s">
        <v>334</v>
      </c>
      <c r="H56" t="s">
        <v>33</v>
      </c>
      <c r="J56" t="s">
        <v>335</v>
      </c>
      <c r="K56" s="3">
        <v>90</v>
      </c>
      <c r="L56" t="s">
        <v>28</v>
      </c>
      <c r="M56" s="3"/>
    </row>
    <row r="57" spans="1:14" x14ac:dyDescent="0.25">
      <c r="A57" t="s">
        <v>24</v>
      </c>
      <c r="B57" t="s">
        <v>326</v>
      </c>
      <c r="E57" t="s">
        <v>331</v>
      </c>
      <c r="G57" t="s">
        <v>334</v>
      </c>
      <c r="H57" t="s">
        <v>33</v>
      </c>
      <c r="J57" t="s">
        <v>335</v>
      </c>
      <c r="K57" s="3">
        <v>90</v>
      </c>
      <c r="L57" t="s">
        <v>28</v>
      </c>
      <c r="M57" s="3"/>
    </row>
    <row r="58" spans="1:14" x14ac:dyDescent="0.25">
      <c r="A58" t="s">
        <v>24</v>
      </c>
      <c r="B58" t="s">
        <v>326</v>
      </c>
      <c r="E58" t="s">
        <v>332</v>
      </c>
      <c r="G58" t="s">
        <v>334</v>
      </c>
      <c r="H58" t="s">
        <v>33</v>
      </c>
      <c r="J58" t="s">
        <v>335</v>
      </c>
      <c r="K58" s="3">
        <v>0</v>
      </c>
      <c r="L58" t="s">
        <v>28</v>
      </c>
      <c r="M58" s="3"/>
    </row>
    <row r="59" spans="1:14" x14ac:dyDescent="0.25">
      <c r="A59" t="s">
        <v>24</v>
      </c>
      <c r="B59" t="s">
        <v>333</v>
      </c>
      <c r="E59" t="s">
        <v>327</v>
      </c>
      <c r="G59" t="s">
        <v>334</v>
      </c>
      <c r="H59" t="s">
        <v>33</v>
      </c>
      <c r="J59" t="s">
        <v>335</v>
      </c>
      <c r="K59" s="3">
        <v>90</v>
      </c>
      <c r="L59" t="s">
        <v>28</v>
      </c>
      <c r="M59" s="3"/>
    </row>
    <row r="60" spans="1:14" x14ac:dyDescent="0.25">
      <c r="A60" t="s">
        <v>24</v>
      </c>
      <c r="B60" t="s">
        <v>333</v>
      </c>
      <c r="E60" t="s">
        <v>328</v>
      </c>
      <c r="G60" t="s">
        <v>334</v>
      </c>
      <c r="H60" t="s">
        <v>33</v>
      </c>
      <c r="J60" t="s">
        <v>335</v>
      </c>
      <c r="K60" s="3">
        <v>90</v>
      </c>
      <c r="L60" t="s">
        <v>28</v>
      </c>
      <c r="M60" s="3"/>
    </row>
    <row r="61" spans="1:14" x14ac:dyDescent="0.25">
      <c r="A61" t="s">
        <v>24</v>
      </c>
      <c r="B61" t="s">
        <v>333</v>
      </c>
      <c r="E61" t="s">
        <v>329</v>
      </c>
      <c r="G61" t="s">
        <v>334</v>
      </c>
      <c r="H61" t="s">
        <v>33</v>
      </c>
      <c r="J61" t="s">
        <v>335</v>
      </c>
      <c r="K61" s="3">
        <v>0</v>
      </c>
      <c r="L61" t="s">
        <v>28</v>
      </c>
      <c r="M61" s="3"/>
    </row>
    <row r="62" spans="1:14" x14ac:dyDescent="0.25">
      <c r="A62" t="s">
        <v>24</v>
      </c>
      <c r="B62" t="s">
        <v>333</v>
      </c>
      <c r="E62" t="s">
        <v>330</v>
      </c>
      <c r="G62" t="s">
        <v>334</v>
      </c>
      <c r="H62" t="s">
        <v>33</v>
      </c>
      <c r="J62" t="s">
        <v>335</v>
      </c>
      <c r="K62" s="3">
        <v>90</v>
      </c>
      <c r="L62" t="s">
        <v>28</v>
      </c>
      <c r="M62" s="3"/>
    </row>
    <row r="63" spans="1:14" x14ac:dyDescent="0.25">
      <c r="A63" t="s">
        <v>24</v>
      </c>
      <c r="B63" t="s">
        <v>333</v>
      </c>
      <c r="E63" t="s">
        <v>331</v>
      </c>
      <c r="G63" t="s">
        <v>334</v>
      </c>
      <c r="H63" t="s">
        <v>33</v>
      </c>
      <c r="J63" t="s">
        <v>335</v>
      </c>
      <c r="K63" s="3">
        <v>90</v>
      </c>
      <c r="L63" t="s">
        <v>28</v>
      </c>
      <c r="M63" s="3"/>
    </row>
    <row r="64" spans="1:14" x14ac:dyDescent="0.25">
      <c r="A64" t="s">
        <v>24</v>
      </c>
      <c r="B64" t="s">
        <v>333</v>
      </c>
      <c r="E64" t="s">
        <v>332</v>
      </c>
      <c r="G64" t="s">
        <v>334</v>
      </c>
      <c r="H64" t="s">
        <v>33</v>
      </c>
      <c r="J64" t="s">
        <v>335</v>
      </c>
      <c r="K64" s="3">
        <v>90</v>
      </c>
      <c r="L64" t="s">
        <v>28</v>
      </c>
      <c r="M64" s="3"/>
    </row>
    <row r="65" spans="1:14" x14ac:dyDescent="0.25">
      <c r="K65" s="3"/>
      <c r="M65" s="3"/>
    </row>
    <row r="66" spans="1:14" x14ac:dyDescent="0.25">
      <c r="K66" s="3"/>
      <c r="M66" s="3"/>
    </row>
    <row r="67" spans="1:14" x14ac:dyDescent="0.25">
      <c r="K67" s="3"/>
      <c r="M67" s="3"/>
    </row>
    <row r="68" spans="1:14" x14ac:dyDescent="0.25">
      <c r="A68" s="1" t="s">
        <v>26</v>
      </c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 t="s">
        <v>303</v>
      </c>
      <c r="N68" s="2"/>
    </row>
    <row r="69" spans="1:14" x14ac:dyDescent="0.25">
      <c r="A69" s="7" t="s">
        <v>20</v>
      </c>
      <c r="B69" s="7"/>
      <c r="C69" s="6"/>
      <c r="D69" s="6"/>
      <c r="E69" s="6"/>
      <c r="F69" s="6"/>
      <c r="G69" s="6"/>
      <c r="H69" s="6"/>
      <c r="I69" s="6"/>
      <c r="J69" s="6"/>
      <c r="K69" s="6"/>
      <c r="L69" s="6" t="s">
        <v>19</v>
      </c>
      <c r="M69" s="6"/>
      <c r="N69" s="6"/>
    </row>
    <row r="70" spans="1:14" x14ac:dyDescent="0.25">
      <c r="A70" t="s">
        <v>24</v>
      </c>
      <c r="F70" t="s">
        <v>310</v>
      </c>
      <c r="J70" t="s">
        <v>18</v>
      </c>
      <c r="K70" s="26">
        <f>INDEX('feed pars'!M$6:M$42,MATCH(F70,'feed pars'!B$6:B$42,0))</f>
        <v>11.5</v>
      </c>
      <c r="M70" s="3"/>
    </row>
    <row r="71" spans="1:14" x14ac:dyDescent="0.25">
      <c r="A71" t="s">
        <v>24</v>
      </c>
      <c r="F71" t="s">
        <v>311</v>
      </c>
      <c r="J71" t="s">
        <v>18</v>
      </c>
      <c r="K71" s="26">
        <f>INDEX('feed pars'!M$6:M$42,MATCH(F71,'feed pars'!B$6:B$42,0))</f>
        <v>10.4</v>
      </c>
      <c r="M71" s="3"/>
    </row>
    <row r="72" spans="1:14" x14ac:dyDescent="0.25">
      <c r="A72" t="s">
        <v>24</v>
      </c>
      <c r="F72" t="s">
        <v>312</v>
      </c>
      <c r="J72" t="s">
        <v>18</v>
      </c>
      <c r="K72" s="26">
        <f>INDEX('feed pars'!M$6:M$42,MATCH(F72,'feed pars'!B$6:B$42,0))</f>
        <v>10</v>
      </c>
      <c r="M72" s="3"/>
    </row>
    <row r="73" spans="1:14" x14ac:dyDescent="0.25">
      <c r="A73" t="s">
        <v>24</v>
      </c>
      <c r="F73" t="s">
        <v>12</v>
      </c>
      <c r="J73" t="s">
        <v>18</v>
      </c>
      <c r="K73" s="26">
        <f>INDEX('feed pars'!M$6:M$42,MATCH(F73,'feed pars'!B$6:B$42,0))</f>
        <v>11.3</v>
      </c>
    </row>
    <row r="74" spans="1:14" x14ac:dyDescent="0.25">
      <c r="A74" t="s">
        <v>24</v>
      </c>
      <c r="F74" t="s">
        <v>33</v>
      </c>
      <c r="J74" t="s">
        <v>18</v>
      </c>
      <c r="K74" s="26">
        <f>INDEX('feed pars'!M$6:M$42,MATCH(F74,'feed pars'!B$6:B$42,0))</f>
        <v>10</v>
      </c>
    </row>
    <row r="75" spans="1:14" x14ac:dyDescent="0.25">
      <c r="K75" s="3"/>
    </row>
    <row r="76" spans="1:14" x14ac:dyDescent="0.25">
      <c r="A76" t="s">
        <v>24</v>
      </c>
      <c r="F76" t="s">
        <v>17</v>
      </c>
      <c r="J76" t="s">
        <v>18</v>
      </c>
      <c r="K76" s="26">
        <f>INDEX('feed pars'!M$6:M$42,MATCH(F76,'feed pars'!B$6:B$42,0))</f>
        <v>14.1</v>
      </c>
    </row>
    <row r="77" spans="1:14" x14ac:dyDescent="0.25">
      <c r="A77" t="s">
        <v>24</v>
      </c>
      <c r="F77" t="s">
        <v>37</v>
      </c>
      <c r="J77" t="s">
        <v>18</v>
      </c>
      <c r="K77" s="26">
        <f>INDEX('feed pars'!M$6:M$42,MATCH(F77,'feed pars'!B$6:B$42,0))</f>
        <v>13.2</v>
      </c>
    </row>
    <row r="78" spans="1:14" x14ac:dyDescent="0.25">
      <c r="A78" t="s">
        <v>24</v>
      </c>
      <c r="F78" t="s">
        <v>38</v>
      </c>
      <c r="J78" t="s">
        <v>18</v>
      </c>
      <c r="K78" s="26">
        <f>INDEX('feed pars'!M$6:M$42,MATCH(F78,'feed pars'!B$6:B$42,0))</f>
        <v>11.7</v>
      </c>
    </row>
    <row r="79" spans="1:14" x14ac:dyDescent="0.25">
      <c r="A79" t="s">
        <v>24</v>
      </c>
      <c r="F79" t="s">
        <v>39</v>
      </c>
      <c r="J79" t="s">
        <v>18</v>
      </c>
      <c r="K79" s="26">
        <f>INDEX('feed pars'!M$6:M$42,MATCH(F79,'feed pars'!B$6:B$42,0))</f>
        <v>14</v>
      </c>
    </row>
    <row r="80" spans="1:14" x14ac:dyDescent="0.25">
      <c r="A80" t="s">
        <v>24</v>
      </c>
      <c r="F80" t="s">
        <v>317</v>
      </c>
      <c r="J80" t="s">
        <v>18</v>
      </c>
      <c r="K80" s="26">
        <f>INDEX('feed pars'!M$6:M$42,MATCH(F80,'feed pars'!B$6:B$42,0))</f>
        <v>13.9</v>
      </c>
    </row>
    <row r="81" spans="1:11" x14ac:dyDescent="0.25">
      <c r="A81" t="s">
        <v>24</v>
      </c>
      <c r="F81" t="s">
        <v>40</v>
      </c>
      <c r="J81" t="s">
        <v>18</v>
      </c>
      <c r="K81" s="26">
        <f>INDEX('feed pars'!M$6:M$42,MATCH(F81,'feed pars'!B$6:B$42,0))</f>
        <v>12.8</v>
      </c>
    </row>
    <row r="82" spans="1:11" x14ac:dyDescent="0.25">
      <c r="A82" t="s">
        <v>24</v>
      </c>
      <c r="F82" t="s">
        <v>41</v>
      </c>
      <c r="J82" t="s">
        <v>18</v>
      </c>
      <c r="K82" s="26">
        <f>INDEX('feed pars'!M$6:M$42,MATCH(F82,'feed pars'!B$6:B$42,0))</f>
        <v>13.8</v>
      </c>
    </row>
    <row r="83" spans="1:11" x14ac:dyDescent="0.25">
      <c r="A83" t="s">
        <v>24</v>
      </c>
      <c r="F83" t="s">
        <v>42</v>
      </c>
      <c r="J83" t="s">
        <v>18</v>
      </c>
      <c r="K83" s="26">
        <f>INDEX('feed pars'!M$6:M$42,MATCH(F83,'feed pars'!B$6:B$42,0))</f>
        <v>13.3</v>
      </c>
    </row>
    <row r="84" spans="1:11" x14ac:dyDescent="0.25">
      <c r="A84" t="s">
        <v>24</v>
      </c>
      <c r="F84" t="s">
        <v>35</v>
      </c>
      <c r="J84" t="s">
        <v>18</v>
      </c>
      <c r="K84" s="26">
        <f>INDEX('feed pars'!M$6:M$42,MATCH(F84,'feed pars'!B$6:B$42,0))</f>
        <v>22.1</v>
      </c>
    </row>
    <row r="85" spans="1:11" x14ac:dyDescent="0.25">
      <c r="A85" t="s">
        <v>24</v>
      </c>
      <c r="F85" t="s">
        <v>43</v>
      </c>
      <c r="J85" t="s">
        <v>18</v>
      </c>
      <c r="K85" s="26">
        <f>INDEX('feed pars'!M$6:M$42,MATCH(F85,'feed pars'!B$6:B$42,0))</f>
        <v>20.100000000000001</v>
      </c>
    </row>
    <row r="86" spans="1:11" x14ac:dyDescent="0.25">
      <c r="A86" t="s">
        <v>24</v>
      </c>
      <c r="F86" t="s">
        <v>305</v>
      </c>
      <c r="J86" t="s">
        <v>18</v>
      </c>
      <c r="K86" s="26">
        <f>INDEX('feed pars'!M$6:M$42,MATCH(F86,'feed pars'!B$6:B$42,0))</f>
        <v>6.6</v>
      </c>
    </row>
    <row r="87" spans="1:11" x14ac:dyDescent="0.25">
      <c r="A87" t="s">
        <v>24</v>
      </c>
      <c r="F87" t="s">
        <v>314</v>
      </c>
      <c r="J87" t="s">
        <v>18</v>
      </c>
      <c r="K87" s="26">
        <f>INDEX('feed pars'!M$6:M$42,MATCH(F87,'feed pars'!B$6:B$42,0))</f>
        <v>36.6</v>
      </c>
    </row>
    <row r="88" spans="1:11" x14ac:dyDescent="0.25">
      <c r="A88" t="s">
        <v>24</v>
      </c>
      <c r="F88" t="s">
        <v>318</v>
      </c>
      <c r="J88" t="s">
        <v>18</v>
      </c>
      <c r="K88" s="26">
        <f>INDEX('feed pars'!M$6:M$42,MATCH(F88,'feed pars'!B$6:B$42,0))</f>
        <v>16.399999999999999</v>
      </c>
    </row>
    <row r="89" spans="1:11" x14ac:dyDescent="0.25">
      <c r="A89" t="s">
        <v>24</v>
      </c>
      <c r="F89" t="s">
        <v>44</v>
      </c>
      <c r="J89" t="s">
        <v>18</v>
      </c>
      <c r="K89" s="26">
        <f>INDEX('feed pars'!M$6:M$42,MATCH(F89,'feed pars'!B$6:B$42,0))</f>
        <v>14.6</v>
      </c>
    </row>
    <row r="90" spans="1:11" x14ac:dyDescent="0.25">
      <c r="A90" t="s">
        <v>24</v>
      </c>
      <c r="F90" t="s">
        <v>36</v>
      </c>
      <c r="J90" t="s">
        <v>18</v>
      </c>
      <c r="K90" s="26">
        <f>INDEX('feed pars'!M$6:M$42,MATCH(F90,'feed pars'!B$6:B$42,0))</f>
        <v>12.2</v>
      </c>
    </row>
    <row r="91" spans="1:11" x14ac:dyDescent="0.25">
      <c r="A91" t="s">
        <v>24</v>
      </c>
      <c r="F91" t="s">
        <v>46</v>
      </c>
      <c r="J91" t="s">
        <v>18</v>
      </c>
      <c r="K91" s="26">
        <f>INDEX('feed pars'!M$6:M$42,MATCH(F91,'feed pars'!B$6:B$42,0))</f>
        <v>11.4</v>
      </c>
    </row>
    <row r="92" spans="1:11" x14ac:dyDescent="0.25">
      <c r="A92" t="s">
        <v>24</v>
      </c>
      <c r="F92" t="s">
        <v>47</v>
      </c>
      <c r="J92" t="s">
        <v>18</v>
      </c>
      <c r="K92" s="26">
        <f>INDEX('feed pars'!M$6:M$42,MATCH(F92,'feed pars'!B$6:B$42,0))</f>
        <v>13.4</v>
      </c>
    </row>
    <row r="93" spans="1:11" x14ac:dyDescent="0.25">
      <c r="A93" t="s">
        <v>24</v>
      </c>
      <c r="F93" t="s">
        <v>319</v>
      </c>
      <c r="J93" t="s">
        <v>18</v>
      </c>
      <c r="K93" s="26">
        <f>INDEX('feed pars'!M$6:M$42,MATCH(F93,'feed pars'!B$6:B$42,0))</f>
        <v>8.5</v>
      </c>
    </row>
    <row r="94" spans="1:11" x14ac:dyDescent="0.25">
      <c r="A94" t="s">
        <v>24</v>
      </c>
      <c r="F94" t="s">
        <v>48</v>
      </c>
      <c r="J94" t="s">
        <v>18</v>
      </c>
      <c r="K94" s="26">
        <f>INDEX('feed pars'!M$6:M$42,MATCH(F94,'feed pars'!B$6:B$42,0))</f>
        <v>11</v>
      </c>
    </row>
    <row r="95" spans="1:11" x14ac:dyDescent="0.25">
      <c r="A95" t="s">
        <v>24</v>
      </c>
      <c r="F95" t="s">
        <v>50</v>
      </c>
      <c r="J95" t="s">
        <v>18</v>
      </c>
      <c r="K95" s="26">
        <f>INDEX('feed pars'!M$6:M$42,MATCH(F95,'feed pars'!B$6:B$42,0))</f>
        <v>13.3</v>
      </c>
    </row>
    <row r="96" spans="1:11" x14ac:dyDescent="0.25">
      <c r="A96" t="s">
        <v>24</v>
      </c>
      <c r="F96" t="s">
        <v>313</v>
      </c>
      <c r="J96" t="s">
        <v>18</v>
      </c>
      <c r="K96" s="26">
        <f>INDEX('feed pars'!M$6:M$42,MATCH(F96,'feed pars'!B$6:B$42,0))</f>
        <v>11.6</v>
      </c>
    </row>
    <row r="97" spans="1:14" x14ac:dyDescent="0.25">
      <c r="A97" t="s">
        <v>24</v>
      </c>
      <c r="F97" t="s">
        <v>52</v>
      </c>
      <c r="J97" t="s">
        <v>18</v>
      </c>
      <c r="K97" s="26">
        <f>INDEX('feed pars'!M$6:M$42,MATCH(F97,'feed pars'!B$6:B$42,0))</f>
        <v>12.4</v>
      </c>
    </row>
    <row r="98" spans="1:14" x14ac:dyDescent="0.25">
      <c r="A98" t="s">
        <v>24</v>
      </c>
      <c r="F98" t="s">
        <v>53</v>
      </c>
      <c r="J98" t="s">
        <v>18</v>
      </c>
      <c r="K98" s="26">
        <f>INDEX('feed pars'!M$6:M$42,MATCH(F98,'feed pars'!B$6:B$42,0))</f>
        <v>12.3</v>
      </c>
    </row>
    <row r="99" spans="1:14" x14ac:dyDescent="0.25">
      <c r="A99" t="s">
        <v>24</v>
      </c>
      <c r="F99" t="s">
        <v>54</v>
      </c>
      <c r="J99" t="s">
        <v>18</v>
      </c>
      <c r="K99" s="26">
        <f>INDEX('feed pars'!M$6:M$42,MATCH(F99,'feed pars'!B$6:B$42,0))</f>
        <v>13.6</v>
      </c>
    </row>
    <row r="100" spans="1:14" x14ac:dyDescent="0.25">
      <c r="A100" t="s">
        <v>24</v>
      </c>
      <c r="F100" t="s">
        <v>56</v>
      </c>
      <c r="J100" t="s">
        <v>18</v>
      </c>
      <c r="K100" s="26">
        <f>INDEX('feed pars'!M$6:M$42,MATCH(F100,'feed pars'!B$6:B$42,0))</f>
        <v>15.5</v>
      </c>
    </row>
    <row r="101" spans="1:14" x14ac:dyDescent="0.25">
      <c r="A101" t="s">
        <v>24</v>
      </c>
      <c r="F101" t="s">
        <v>324</v>
      </c>
      <c r="J101" t="s">
        <v>18</v>
      </c>
      <c r="K101" s="3">
        <v>0</v>
      </c>
    </row>
    <row r="102" spans="1:14" x14ac:dyDescent="0.25">
      <c r="K102" s="3"/>
    </row>
    <row r="103" spans="1:14" x14ac:dyDescent="0.25">
      <c r="A103" s="8" t="s">
        <v>21</v>
      </c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spans="1:14" x14ac:dyDescent="0.25">
      <c r="A104" t="s">
        <v>25</v>
      </c>
      <c r="E104" t="s">
        <v>299</v>
      </c>
      <c r="F104" t="s">
        <v>17</v>
      </c>
      <c r="J104" t="s">
        <v>18</v>
      </c>
      <c r="K104" s="26">
        <f>INDEX('feed pars'!H$6:H$42,MATCH(F104,'feed pars'!B$6:B$42,0))</f>
        <v>12.3</v>
      </c>
      <c r="L104" t="s">
        <v>300</v>
      </c>
    </row>
    <row r="105" spans="1:14" x14ac:dyDescent="0.25">
      <c r="A105" t="s">
        <v>25</v>
      </c>
      <c r="E105" t="s">
        <v>299</v>
      </c>
      <c r="F105" t="s">
        <v>37</v>
      </c>
      <c r="J105" t="s">
        <v>18</v>
      </c>
      <c r="K105" s="26">
        <f>INDEX('feed pars'!H$6:H$42,MATCH(F105,'feed pars'!B$6:B$42,0))</f>
        <v>11.2</v>
      </c>
      <c r="L105" t="s">
        <v>300</v>
      </c>
    </row>
    <row r="106" spans="1:14" x14ac:dyDescent="0.25">
      <c r="A106" t="s">
        <v>25</v>
      </c>
      <c r="E106" t="s">
        <v>299</v>
      </c>
      <c r="F106" t="s">
        <v>38</v>
      </c>
      <c r="J106" t="s">
        <v>18</v>
      </c>
      <c r="K106" s="26">
        <f>INDEX('feed pars'!H$6:H$42,MATCH(F106,'feed pars'!B$6:B$42,0))</f>
        <v>9.4</v>
      </c>
      <c r="L106" t="s">
        <v>300</v>
      </c>
    </row>
    <row r="107" spans="1:14" x14ac:dyDescent="0.25">
      <c r="A107" t="s">
        <v>25</v>
      </c>
      <c r="E107" t="s">
        <v>299</v>
      </c>
      <c r="F107" t="s">
        <v>39</v>
      </c>
      <c r="J107" t="s">
        <v>18</v>
      </c>
      <c r="K107" s="26">
        <f>INDEX('feed pars'!H$6:H$42,MATCH(F107,'feed pars'!B$6:B$42,0))</f>
        <v>12</v>
      </c>
      <c r="L107" t="s">
        <v>300</v>
      </c>
    </row>
    <row r="108" spans="1:14" x14ac:dyDescent="0.25">
      <c r="A108" t="s">
        <v>25</v>
      </c>
      <c r="E108" t="s">
        <v>299</v>
      </c>
      <c r="F108" t="s">
        <v>40</v>
      </c>
      <c r="J108" t="s">
        <v>18</v>
      </c>
      <c r="K108" s="26">
        <f>INDEX('feed pars'!H$6:H$42,MATCH(F108,'feed pars'!B$6:B$42,0))</f>
        <v>13.2</v>
      </c>
      <c r="L108" t="s">
        <v>300</v>
      </c>
    </row>
    <row r="109" spans="1:14" x14ac:dyDescent="0.25">
      <c r="A109" t="s">
        <v>25</v>
      </c>
      <c r="E109" t="s">
        <v>299</v>
      </c>
      <c r="F109" t="s">
        <v>41</v>
      </c>
      <c r="J109" t="s">
        <v>18</v>
      </c>
      <c r="K109" s="26">
        <f>INDEX('feed pars'!H$6:H$42,MATCH(F109,'feed pars'!B$6:B$42,0))</f>
        <v>11.5</v>
      </c>
      <c r="L109" t="s">
        <v>300</v>
      </c>
    </row>
    <row r="110" spans="1:14" x14ac:dyDescent="0.25">
      <c r="A110" t="s">
        <v>25</v>
      </c>
      <c r="E110" t="s">
        <v>299</v>
      </c>
      <c r="F110" t="s">
        <v>42</v>
      </c>
      <c r="J110" t="s">
        <v>18</v>
      </c>
      <c r="K110" s="26">
        <f>INDEX('feed pars'!H$6:H$42,MATCH(F110,'feed pars'!B$6:B$42,0))</f>
        <v>10.9</v>
      </c>
      <c r="L110" t="s">
        <v>300</v>
      </c>
    </row>
    <row r="111" spans="1:14" x14ac:dyDescent="0.25">
      <c r="A111" t="s">
        <v>25</v>
      </c>
      <c r="E111" t="s">
        <v>299</v>
      </c>
      <c r="F111" t="s">
        <v>35</v>
      </c>
      <c r="J111" t="s">
        <v>18</v>
      </c>
      <c r="K111" s="26">
        <f>INDEX('feed pars'!H$6:H$42,MATCH(F111,'feed pars'!B$6:B$42,0))</f>
        <v>18.5</v>
      </c>
      <c r="L111" t="s">
        <v>300</v>
      </c>
    </row>
    <row r="112" spans="1:14" x14ac:dyDescent="0.25">
      <c r="A112" t="s">
        <v>25</v>
      </c>
      <c r="E112" t="s">
        <v>299</v>
      </c>
      <c r="F112" t="s">
        <v>43</v>
      </c>
      <c r="J112" t="s">
        <v>18</v>
      </c>
      <c r="K112" s="26">
        <f>INDEX('feed pars'!H$6:H$42,MATCH(F112,'feed pars'!B$6:B$42,0))</f>
        <v>17.5</v>
      </c>
      <c r="L112" t="s">
        <v>300</v>
      </c>
    </row>
    <row r="113" spans="1:12" x14ac:dyDescent="0.25">
      <c r="A113" t="s">
        <v>25</v>
      </c>
      <c r="E113" t="s">
        <v>299</v>
      </c>
      <c r="F113" t="s">
        <v>314</v>
      </c>
      <c r="J113" t="s">
        <v>18</v>
      </c>
      <c r="K113" s="26">
        <f>INDEX('feed pars'!H$6:H$42,MATCH(F113,'feed pars'!B$6:B$42,0))</f>
        <v>29.8</v>
      </c>
      <c r="L113" t="s">
        <v>300</v>
      </c>
    </row>
    <row r="114" spans="1:12" x14ac:dyDescent="0.25">
      <c r="A114" t="s">
        <v>25</v>
      </c>
      <c r="E114" t="s">
        <v>299</v>
      </c>
      <c r="F114" t="s">
        <v>44</v>
      </c>
      <c r="J114" t="s">
        <v>18</v>
      </c>
      <c r="K114" s="26">
        <f>INDEX('feed pars'!H$6:H$42,MATCH(F114,'feed pars'!B$6:B$42,0))</f>
        <v>9.9</v>
      </c>
      <c r="L114" t="s">
        <v>300</v>
      </c>
    </row>
    <row r="115" spans="1:12" x14ac:dyDescent="0.25">
      <c r="A115" t="s">
        <v>25</v>
      </c>
      <c r="E115" t="s">
        <v>299</v>
      </c>
      <c r="F115" t="s">
        <v>45</v>
      </c>
      <c r="J115" t="s">
        <v>18</v>
      </c>
      <c r="K115" s="26">
        <f>INDEX('feed pars'!H$6:H$42,MATCH(F115,'feed pars'!B$6:B$42,0))</f>
        <v>10.3</v>
      </c>
      <c r="L115" t="s">
        <v>300</v>
      </c>
    </row>
    <row r="116" spans="1:12" x14ac:dyDescent="0.25">
      <c r="A116" t="s">
        <v>25</v>
      </c>
      <c r="E116" t="s">
        <v>299</v>
      </c>
      <c r="F116" t="s">
        <v>36</v>
      </c>
      <c r="J116" t="s">
        <v>18</v>
      </c>
      <c r="K116" s="26">
        <f>INDEX('feed pars'!H$6:H$42,MATCH(F116,'feed pars'!B$6:B$42,0))</f>
        <v>7.7</v>
      </c>
      <c r="L116" t="s">
        <v>300</v>
      </c>
    </row>
    <row r="117" spans="1:12" x14ac:dyDescent="0.25">
      <c r="A117" t="s">
        <v>25</v>
      </c>
      <c r="E117" t="s">
        <v>299</v>
      </c>
      <c r="F117" t="s">
        <v>46</v>
      </c>
      <c r="J117" t="s">
        <v>18</v>
      </c>
      <c r="K117" s="26">
        <f>INDEX('feed pars'!H$6:H$42,MATCH(F117,'feed pars'!B$6:B$42,0))</f>
        <v>6.5</v>
      </c>
      <c r="L117" t="s">
        <v>300</v>
      </c>
    </row>
    <row r="118" spans="1:12" x14ac:dyDescent="0.25">
      <c r="A118" t="s">
        <v>25</v>
      </c>
      <c r="E118" t="s">
        <v>299</v>
      </c>
      <c r="F118" t="s">
        <v>47</v>
      </c>
      <c r="J118" t="s">
        <v>18</v>
      </c>
      <c r="K118" s="26">
        <f>INDEX('feed pars'!H$6:H$42,MATCH(F118,'feed pars'!B$6:B$42,0))</f>
        <v>6.2</v>
      </c>
      <c r="L118" t="s">
        <v>300</v>
      </c>
    </row>
    <row r="119" spans="1:12" x14ac:dyDescent="0.25">
      <c r="A119" t="s">
        <v>25</v>
      </c>
      <c r="E119" t="s">
        <v>299</v>
      </c>
      <c r="F119" t="s">
        <v>48</v>
      </c>
      <c r="J119" t="s">
        <v>18</v>
      </c>
      <c r="K119" s="26">
        <f>INDEX('feed pars'!H$6:H$42,MATCH(F119,'feed pars'!B$6:B$42,0))</f>
        <v>7.8</v>
      </c>
      <c r="L119" t="s">
        <v>300</v>
      </c>
    </row>
    <row r="120" spans="1:12" x14ac:dyDescent="0.25">
      <c r="A120" t="s">
        <v>25</v>
      </c>
      <c r="E120" t="s">
        <v>299</v>
      </c>
      <c r="F120" t="s">
        <v>49</v>
      </c>
      <c r="J120" t="s">
        <v>18</v>
      </c>
      <c r="K120" s="26">
        <f>INDEX('feed pars'!H$6:H$42,MATCH(F120,'feed pars'!B$6:B$42,0))</f>
        <v>9.1999999999999993</v>
      </c>
      <c r="L120" t="s">
        <v>300</v>
      </c>
    </row>
    <row r="121" spans="1:12" x14ac:dyDescent="0.25">
      <c r="A121" t="s">
        <v>25</v>
      </c>
      <c r="E121" t="s">
        <v>299</v>
      </c>
      <c r="F121" t="s">
        <v>50</v>
      </c>
      <c r="J121" t="s">
        <v>18</v>
      </c>
      <c r="K121" s="26">
        <f>INDEX('feed pars'!H$6:H$42,MATCH(F121,'feed pars'!B$6:B$42,0))</f>
        <v>8.6999999999999993</v>
      </c>
      <c r="L121" t="s">
        <v>300</v>
      </c>
    </row>
    <row r="122" spans="1:12" x14ac:dyDescent="0.25">
      <c r="A122" t="s">
        <v>25</v>
      </c>
      <c r="E122" t="s">
        <v>299</v>
      </c>
      <c r="F122" t="s">
        <v>51</v>
      </c>
      <c r="J122" t="s">
        <v>18</v>
      </c>
      <c r="K122" s="26">
        <f>INDEX('feed pars'!H$6:H$42,MATCH(F122,'feed pars'!B$6:B$42,0))</f>
        <v>8.9</v>
      </c>
      <c r="L122" t="s">
        <v>300</v>
      </c>
    </row>
    <row r="123" spans="1:12" x14ac:dyDescent="0.25">
      <c r="A123" t="s">
        <v>25</v>
      </c>
      <c r="E123" t="s">
        <v>299</v>
      </c>
      <c r="F123" t="s">
        <v>313</v>
      </c>
      <c r="J123" t="s">
        <v>18</v>
      </c>
      <c r="K123" s="26">
        <f>INDEX('feed pars'!H$6:H$42,MATCH(F123,'feed pars'!B$6:B$42,0))</f>
        <v>7.0888888888888877</v>
      </c>
      <c r="L123" t="s">
        <v>300</v>
      </c>
    </row>
    <row r="124" spans="1:12" x14ac:dyDescent="0.25">
      <c r="A124" t="s">
        <v>25</v>
      </c>
      <c r="E124" t="s">
        <v>299</v>
      </c>
      <c r="F124" t="s">
        <v>52</v>
      </c>
      <c r="J124" t="s">
        <v>18</v>
      </c>
      <c r="K124" s="26">
        <f>INDEX('feed pars'!H$6:H$42,MATCH(F124,'feed pars'!B$6:B$42,0))</f>
        <v>9</v>
      </c>
      <c r="L124" t="s">
        <v>300</v>
      </c>
    </row>
    <row r="125" spans="1:12" x14ac:dyDescent="0.25">
      <c r="A125" t="s">
        <v>25</v>
      </c>
      <c r="E125" t="s">
        <v>299</v>
      </c>
      <c r="F125" t="s">
        <v>53</v>
      </c>
      <c r="J125" t="s">
        <v>18</v>
      </c>
      <c r="K125" s="26">
        <f>INDEX('feed pars'!H$6:H$42,MATCH(F125,'feed pars'!B$6:B$42,0))</f>
        <v>8</v>
      </c>
      <c r="L125" t="s">
        <v>300</v>
      </c>
    </row>
    <row r="126" spans="1:12" x14ac:dyDescent="0.25">
      <c r="A126" t="s">
        <v>25</v>
      </c>
      <c r="E126" t="s">
        <v>299</v>
      </c>
      <c r="F126" t="s">
        <v>54</v>
      </c>
      <c r="J126" t="s">
        <v>18</v>
      </c>
      <c r="K126" s="26">
        <f>INDEX('feed pars'!H$6:H$42,MATCH(F126,'feed pars'!B$6:B$42,0))</f>
        <v>12.2</v>
      </c>
      <c r="L126" t="s">
        <v>300</v>
      </c>
    </row>
    <row r="127" spans="1:12" x14ac:dyDescent="0.25">
      <c r="A127" t="s">
        <v>25</v>
      </c>
      <c r="E127" t="s">
        <v>299</v>
      </c>
      <c r="F127" t="s">
        <v>55</v>
      </c>
      <c r="J127" t="s">
        <v>18</v>
      </c>
      <c r="K127" s="26">
        <f>INDEX('feed pars'!H$6:H$42,MATCH(F127,'feed pars'!B$6:B$42,0))</f>
        <v>12.2</v>
      </c>
      <c r="L127" t="s">
        <v>300</v>
      </c>
    </row>
    <row r="128" spans="1:12" x14ac:dyDescent="0.25">
      <c r="A128" t="s">
        <v>25</v>
      </c>
      <c r="E128" t="s">
        <v>299</v>
      </c>
      <c r="F128" t="s">
        <v>56</v>
      </c>
      <c r="J128" t="s">
        <v>18</v>
      </c>
      <c r="K128" s="26">
        <f>INDEX('feed pars'!H$6:H$42,MATCH(F128,'feed pars'!B$6:B$42,0))</f>
        <v>11.3</v>
      </c>
      <c r="L128" t="s">
        <v>300</v>
      </c>
    </row>
    <row r="129" spans="1:12" x14ac:dyDescent="0.25">
      <c r="A129" t="s">
        <v>25</v>
      </c>
      <c r="E129" t="s">
        <v>299</v>
      </c>
      <c r="F129" t="s">
        <v>57</v>
      </c>
      <c r="J129" t="s">
        <v>18</v>
      </c>
      <c r="K129" s="26">
        <f>INDEX('feed pars'!H$6:H$42,MATCH(F129,'feed pars'!B$6:B$42,0))</f>
        <v>10.8</v>
      </c>
      <c r="L129" t="s">
        <v>300</v>
      </c>
    </row>
    <row r="130" spans="1:12" x14ac:dyDescent="0.25">
      <c r="K130" s="26"/>
    </row>
    <row r="131" spans="1:12" x14ac:dyDescent="0.25">
      <c r="A131" t="s">
        <v>25</v>
      </c>
      <c r="F131" t="s">
        <v>17</v>
      </c>
      <c r="J131" t="s">
        <v>18</v>
      </c>
      <c r="K131" s="26">
        <f>INDEX('feed pars'!G$6:G$42,MATCH(F131,'feed pars'!B$6:B$42,0))</f>
        <v>12.1</v>
      </c>
      <c r="L131" t="s">
        <v>22</v>
      </c>
    </row>
    <row r="132" spans="1:12" x14ac:dyDescent="0.25">
      <c r="A132" t="s">
        <v>25</v>
      </c>
      <c r="F132" t="s">
        <v>37</v>
      </c>
      <c r="J132" t="s">
        <v>18</v>
      </c>
      <c r="K132" s="26">
        <f>INDEX('feed pars'!G$6:G$42,MATCH(F132,'feed pars'!B$6:B$42,0))</f>
        <v>11</v>
      </c>
      <c r="L132" t="s">
        <v>22</v>
      </c>
    </row>
    <row r="133" spans="1:12" x14ac:dyDescent="0.25">
      <c r="A133" t="s">
        <v>25</v>
      </c>
      <c r="F133" t="s">
        <v>38</v>
      </c>
      <c r="J133" t="s">
        <v>18</v>
      </c>
      <c r="K133" s="26">
        <f>INDEX('feed pars'!G$6:G$42,MATCH(F133,'feed pars'!B$6:B$42,0))</f>
        <v>9</v>
      </c>
      <c r="L133" t="s">
        <v>22</v>
      </c>
    </row>
    <row r="134" spans="1:12" x14ac:dyDescent="0.25">
      <c r="A134" t="s">
        <v>25</v>
      </c>
      <c r="F134" t="s">
        <v>39</v>
      </c>
      <c r="J134" t="s">
        <v>18</v>
      </c>
      <c r="K134" s="26">
        <f>INDEX('feed pars'!G$6:G$42,MATCH(F134,'feed pars'!B$6:B$42,0))</f>
        <v>11.9</v>
      </c>
      <c r="L134" t="s">
        <v>22</v>
      </c>
    </row>
    <row r="135" spans="1:12" x14ac:dyDescent="0.25">
      <c r="A135" t="s">
        <v>25</v>
      </c>
      <c r="F135" t="s">
        <v>40</v>
      </c>
      <c r="J135" t="s">
        <v>18</v>
      </c>
      <c r="K135" s="26">
        <f>INDEX('feed pars'!G$6:G$42,MATCH(F135,'feed pars'!B$6:B$42,0))</f>
        <v>12.8</v>
      </c>
      <c r="L135" t="s">
        <v>22</v>
      </c>
    </row>
    <row r="136" spans="1:12" x14ac:dyDescent="0.25">
      <c r="A136" t="s">
        <v>25</v>
      </c>
      <c r="F136" t="s">
        <v>41</v>
      </c>
      <c r="J136" t="s">
        <v>18</v>
      </c>
      <c r="K136" s="26">
        <f>INDEX('feed pars'!G$6:G$42,MATCH(F136,'feed pars'!B$6:B$42,0))</f>
        <v>11.2</v>
      </c>
      <c r="L136" t="s">
        <v>22</v>
      </c>
    </row>
    <row r="137" spans="1:12" x14ac:dyDescent="0.25">
      <c r="A137" t="s">
        <v>25</v>
      </c>
      <c r="F137" t="s">
        <v>42</v>
      </c>
      <c r="J137" t="s">
        <v>18</v>
      </c>
      <c r="K137" s="26">
        <f>INDEX('feed pars'!G$6:G$42,MATCH(F137,'feed pars'!B$6:B$42,0))</f>
        <v>10.7</v>
      </c>
      <c r="L137" t="s">
        <v>22</v>
      </c>
    </row>
    <row r="138" spans="1:12" x14ac:dyDescent="0.25">
      <c r="A138" t="s">
        <v>25</v>
      </c>
      <c r="F138" t="s">
        <v>35</v>
      </c>
      <c r="J138" t="s">
        <v>18</v>
      </c>
      <c r="K138" s="26">
        <f>INDEX('feed pars'!G$6:G$42,MATCH(F138,'feed pars'!B$6:B$42,0))</f>
        <v>18</v>
      </c>
      <c r="L138" t="s">
        <v>22</v>
      </c>
    </row>
    <row r="139" spans="1:12" x14ac:dyDescent="0.25">
      <c r="A139" t="s">
        <v>25</v>
      </c>
      <c r="F139" t="s">
        <v>43</v>
      </c>
      <c r="J139" t="s">
        <v>18</v>
      </c>
      <c r="K139" s="26">
        <f>INDEX('feed pars'!G$6:G$42,MATCH(F139,'feed pars'!B$6:B$42,0))</f>
        <v>17.3</v>
      </c>
      <c r="L139" t="s">
        <v>22</v>
      </c>
    </row>
    <row r="140" spans="1:12" x14ac:dyDescent="0.25">
      <c r="A140" t="s">
        <v>25</v>
      </c>
      <c r="F140" t="s">
        <v>314</v>
      </c>
      <c r="J140" t="s">
        <v>18</v>
      </c>
      <c r="K140" s="26">
        <f>INDEX('feed pars'!G$6:G$42,MATCH(F140,'feed pars'!B$6:B$42,0))</f>
        <v>29.8</v>
      </c>
      <c r="L140" t="s">
        <v>22</v>
      </c>
    </row>
    <row r="141" spans="1:12" x14ac:dyDescent="0.25">
      <c r="A141" t="s">
        <v>25</v>
      </c>
      <c r="F141" t="s">
        <v>44</v>
      </c>
      <c r="J141" t="s">
        <v>18</v>
      </c>
      <c r="K141" s="26">
        <f>INDEX('feed pars'!G$6:G$42,MATCH(F141,'feed pars'!B$6:B$42,0))</f>
        <v>9.3000000000000007</v>
      </c>
      <c r="L141" t="s">
        <v>22</v>
      </c>
    </row>
    <row r="142" spans="1:12" x14ac:dyDescent="0.25">
      <c r="A142" t="s">
        <v>25</v>
      </c>
      <c r="F142" t="s">
        <v>45</v>
      </c>
      <c r="J142" t="s">
        <v>18</v>
      </c>
      <c r="K142" s="26">
        <f>INDEX('feed pars'!G$6:G$42,MATCH(F142,'feed pars'!B$6:B$42,0))</f>
        <v>9.6999999999999993</v>
      </c>
      <c r="L142" t="s">
        <v>22</v>
      </c>
    </row>
    <row r="143" spans="1:12" x14ac:dyDescent="0.25">
      <c r="A143" t="s">
        <v>25</v>
      </c>
      <c r="F143" t="s">
        <v>36</v>
      </c>
      <c r="J143" t="s">
        <v>18</v>
      </c>
      <c r="K143" s="26">
        <f>INDEX('feed pars'!G$6:G$42,MATCH(F143,'feed pars'!B$6:B$42,0))</f>
        <v>7.1</v>
      </c>
      <c r="L143" t="s">
        <v>22</v>
      </c>
    </row>
    <row r="144" spans="1:12" x14ac:dyDescent="0.25">
      <c r="A144" t="s">
        <v>25</v>
      </c>
      <c r="F144" t="s">
        <v>46</v>
      </c>
      <c r="J144" t="s">
        <v>18</v>
      </c>
      <c r="K144" s="26">
        <f>INDEX('feed pars'!G$6:G$42,MATCH(F144,'feed pars'!B$6:B$42,0))</f>
        <v>5.9</v>
      </c>
      <c r="L144" t="s">
        <v>22</v>
      </c>
    </row>
    <row r="145" spans="1:12" x14ac:dyDescent="0.25">
      <c r="A145" t="s">
        <v>25</v>
      </c>
      <c r="F145" t="s">
        <v>47</v>
      </c>
      <c r="J145" t="s">
        <v>18</v>
      </c>
      <c r="K145" s="26">
        <f>INDEX('feed pars'!G$6:G$42,MATCH(F145,'feed pars'!B$6:B$42,0))</f>
        <v>5.4</v>
      </c>
      <c r="L145" t="s">
        <v>22</v>
      </c>
    </row>
    <row r="146" spans="1:12" x14ac:dyDescent="0.25">
      <c r="A146" t="s">
        <v>25</v>
      </c>
      <c r="F146" t="s">
        <v>48</v>
      </c>
      <c r="J146" t="s">
        <v>18</v>
      </c>
      <c r="K146" s="26">
        <f>INDEX('feed pars'!G$6:G$42,MATCH(F146,'feed pars'!B$6:B$42,0))</f>
        <v>7.2</v>
      </c>
      <c r="L146" t="s">
        <v>22</v>
      </c>
    </row>
    <row r="147" spans="1:12" x14ac:dyDescent="0.25">
      <c r="A147" t="s">
        <v>25</v>
      </c>
      <c r="F147" t="s">
        <v>49</v>
      </c>
      <c r="J147" t="s">
        <v>18</v>
      </c>
      <c r="K147" s="26">
        <f>INDEX('feed pars'!G$6:G$42,MATCH(F147,'feed pars'!B$6:B$42,0))</f>
        <v>8.6999999999999993</v>
      </c>
      <c r="L147" t="s">
        <v>22</v>
      </c>
    </row>
    <row r="148" spans="1:12" x14ac:dyDescent="0.25">
      <c r="A148" t="s">
        <v>25</v>
      </c>
      <c r="F148" t="s">
        <v>50</v>
      </c>
      <c r="J148" t="s">
        <v>18</v>
      </c>
      <c r="K148" s="26">
        <f>INDEX('feed pars'!G$6:G$42,MATCH(F148,'feed pars'!B$6:B$42,0))</f>
        <v>8.1</v>
      </c>
      <c r="L148" t="s">
        <v>22</v>
      </c>
    </row>
    <row r="149" spans="1:12" x14ac:dyDescent="0.25">
      <c r="A149" t="s">
        <v>25</v>
      </c>
      <c r="F149" t="s">
        <v>51</v>
      </c>
      <c r="J149" t="s">
        <v>18</v>
      </c>
      <c r="K149" s="26">
        <f>INDEX('feed pars'!G$6:G$42,MATCH(F149,'feed pars'!B$6:B$42,0))</f>
        <v>8.1999999999999993</v>
      </c>
      <c r="L149" t="s">
        <v>22</v>
      </c>
    </row>
    <row r="150" spans="1:12" x14ac:dyDescent="0.25">
      <c r="A150" t="s">
        <v>25</v>
      </c>
      <c r="F150" t="s">
        <v>313</v>
      </c>
      <c r="J150" t="s">
        <v>18</v>
      </c>
      <c r="K150" s="26">
        <f>INDEX('feed pars'!G$6:G$42,MATCH(F150,'feed pars'!B$6:B$42,0))</f>
        <v>6.6</v>
      </c>
      <c r="L150" t="s">
        <v>22</v>
      </c>
    </row>
    <row r="151" spans="1:12" x14ac:dyDescent="0.25">
      <c r="A151" t="s">
        <v>25</v>
      </c>
      <c r="F151" t="s">
        <v>52</v>
      </c>
      <c r="J151" t="s">
        <v>18</v>
      </c>
      <c r="K151" s="26">
        <f>INDEX('feed pars'!G$6:G$42,MATCH(F151,'feed pars'!B$6:B$42,0))</f>
        <v>8.6999999999999993</v>
      </c>
      <c r="L151" t="s">
        <v>22</v>
      </c>
    </row>
    <row r="152" spans="1:12" x14ac:dyDescent="0.25">
      <c r="A152" t="s">
        <v>25</v>
      </c>
      <c r="F152" t="s">
        <v>53</v>
      </c>
      <c r="J152" t="s">
        <v>18</v>
      </c>
      <c r="K152" s="26">
        <f>INDEX('feed pars'!G$6:G$42,MATCH(F152,'feed pars'!B$6:B$42,0))</f>
        <v>6.9</v>
      </c>
      <c r="L152" t="s">
        <v>22</v>
      </c>
    </row>
    <row r="153" spans="1:12" x14ac:dyDescent="0.25">
      <c r="A153" t="s">
        <v>25</v>
      </c>
      <c r="F153" t="s">
        <v>54</v>
      </c>
      <c r="J153" t="s">
        <v>18</v>
      </c>
      <c r="K153" s="26">
        <f>INDEX('feed pars'!G$6:G$42,MATCH(F153,'feed pars'!B$6:B$42,0))</f>
        <v>12.4</v>
      </c>
      <c r="L153" t="s">
        <v>22</v>
      </c>
    </row>
    <row r="154" spans="1:12" x14ac:dyDescent="0.25">
      <c r="A154" t="s">
        <v>25</v>
      </c>
      <c r="F154" t="s">
        <v>55</v>
      </c>
      <c r="J154" t="s">
        <v>18</v>
      </c>
      <c r="K154" s="26">
        <f>INDEX('feed pars'!G$6:G$42,MATCH(F154,'feed pars'!B$6:B$42,0))</f>
        <v>12.4</v>
      </c>
      <c r="L154" t="s">
        <v>22</v>
      </c>
    </row>
    <row r="155" spans="1:12" x14ac:dyDescent="0.25">
      <c r="A155" t="s">
        <v>25</v>
      </c>
      <c r="F155" t="s">
        <v>56</v>
      </c>
      <c r="J155" t="s">
        <v>18</v>
      </c>
      <c r="K155" s="26">
        <f>INDEX('feed pars'!G$6:G$42,MATCH(F155,'feed pars'!B$6:B$42,0))</f>
        <v>11.1</v>
      </c>
      <c r="L155" t="s">
        <v>22</v>
      </c>
    </row>
    <row r="156" spans="1:12" x14ac:dyDescent="0.25">
      <c r="A156" t="s">
        <v>25</v>
      </c>
      <c r="F156" t="s">
        <v>57</v>
      </c>
      <c r="J156" t="s">
        <v>18</v>
      </c>
      <c r="K156" s="26">
        <f>INDEX('feed pars'!G$6:G$42,MATCH(F156,'feed pars'!B$6:B$42,0))</f>
        <v>10.8</v>
      </c>
      <c r="L156" t="s">
        <v>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2"/>
  <sheetViews>
    <sheetView topLeftCell="A9" workbookViewId="0">
      <selection activeCell="M23" sqref="M23"/>
    </sheetView>
  </sheetViews>
  <sheetFormatPr defaultRowHeight="15" x14ac:dyDescent="0.25"/>
  <cols>
    <col min="2" max="2" width="27" bestFit="1" customWidth="1"/>
    <col min="3" max="5" width="7.5703125" customWidth="1"/>
  </cols>
  <sheetData>
    <row r="1" spans="2:14" x14ac:dyDescent="0.25">
      <c r="B1" t="s">
        <v>119</v>
      </c>
      <c r="C1" s="11" t="s">
        <v>118</v>
      </c>
      <c r="D1" s="11"/>
      <c r="E1" s="11"/>
    </row>
    <row r="3" spans="2:14" x14ac:dyDescent="0.25">
      <c r="C3" s="4" t="s">
        <v>307</v>
      </c>
      <c r="E3" s="4" t="s">
        <v>25</v>
      </c>
      <c r="K3" s="4" t="s">
        <v>24</v>
      </c>
    </row>
    <row r="4" spans="2:14" x14ac:dyDescent="0.25">
      <c r="C4" s="4"/>
      <c r="E4" s="4" t="s">
        <v>297</v>
      </c>
      <c r="F4" s="4">
        <v>1</v>
      </c>
      <c r="G4" s="4">
        <v>2</v>
      </c>
      <c r="H4" s="4">
        <v>3</v>
      </c>
      <c r="I4" s="4"/>
      <c r="J4" s="4"/>
      <c r="K4" s="4" t="s">
        <v>297</v>
      </c>
      <c r="L4" s="4">
        <v>1</v>
      </c>
      <c r="M4" s="4">
        <v>2</v>
      </c>
      <c r="N4" s="4"/>
    </row>
    <row r="5" spans="2:14" x14ac:dyDescent="0.25">
      <c r="B5" s="4" t="s">
        <v>58</v>
      </c>
      <c r="C5" s="4" t="s">
        <v>59</v>
      </c>
      <c r="E5" s="4" t="s">
        <v>298</v>
      </c>
      <c r="F5" s="4" t="s">
        <v>59</v>
      </c>
      <c r="G5" s="4" t="s">
        <v>120</v>
      </c>
      <c r="H5" s="4" t="s">
        <v>121</v>
      </c>
      <c r="I5" s="4"/>
      <c r="J5" s="4"/>
      <c r="K5" s="4" t="s">
        <v>298</v>
      </c>
      <c r="L5" s="4" t="s">
        <v>59</v>
      </c>
      <c r="M5" s="4" t="s">
        <v>306</v>
      </c>
    </row>
    <row r="6" spans="2:14" x14ac:dyDescent="0.25">
      <c r="B6" t="s">
        <v>310</v>
      </c>
      <c r="C6">
        <v>100</v>
      </c>
      <c r="M6" s="27">
        <v>11.5</v>
      </c>
    </row>
    <row r="7" spans="2:14" x14ac:dyDescent="0.25">
      <c r="B7" t="s">
        <v>311</v>
      </c>
      <c r="C7">
        <v>100</v>
      </c>
      <c r="M7" s="27">
        <v>10.4</v>
      </c>
    </row>
    <row r="8" spans="2:14" x14ac:dyDescent="0.25">
      <c r="B8" t="s">
        <v>312</v>
      </c>
      <c r="C8">
        <v>100</v>
      </c>
      <c r="M8" s="25">
        <v>10</v>
      </c>
    </row>
    <row r="9" spans="2:14" x14ac:dyDescent="0.25">
      <c r="B9" t="s">
        <v>2</v>
      </c>
      <c r="C9">
        <v>100</v>
      </c>
      <c r="M9" s="27">
        <v>9.1</v>
      </c>
    </row>
    <row r="10" spans="2:14" x14ac:dyDescent="0.25">
      <c r="B10" t="s">
        <v>12</v>
      </c>
      <c r="C10">
        <v>100</v>
      </c>
      <c r="K10" s="4"/>
      <c r="M10" s="27">
        <v>11.3</v>
      </c>
    </row>
    <row r="11" spans="2:14" x14ac:dyDescent="0.25">
      <c r="B11" t="s">
        <v>33</v>
      </c>
      <c r="C11">
        <v>100</v>
      </c>
      <c r="M11" s="27">
        <v>10</v>
      </c>
    </row>
    <row r="12" spans="2:14" x14ac:dyDescent="0.25">
      <c r="B12" s="4"/>
      <c r="C12" s="4"/>
      <c r="E12" s="4"/>
      <c r="F12" s="4"/>
      <c r="G12" s="4"/>
      <c r="H12" s="4"/>
      <c r="I12" s="4"/>
      <c r="J12" s="4"/>
      <c r="K12" s="4"/>
      <c r="L12" s="4"/>
      <c r="M12" s="28"/>
    </row>
    <row r="13" spans="2:14" x14ac:dyDescent="0.25">
      <c r="B13" t="s">
        <v>17</v>
      </c>
      <c r="C13" s="23">
        <f>AVERAGE(F13,L13)</f>
        <v>87</v>
      </c>
      <c r="D13" s="4"/>
      <c r="E13" s="4">
        <f>MATCH($B13,pigs!$A$3:$A$60,0)</f>
        <v>53</v>
      </c>
      <c r="F13">
        <f>INDEX(pigs!$D$3:$AO$60,$E13,F$4)</f>
        <v>87</v>
      </c>
      <c r="G13">
        <f>INDEX(pigs!$D$3:$AO$60,$E13,G$4)</f>
        <v>12.1</v>
      </c>
      <c r="H13">
        <f>INDEX(pigs!$D$3:$AO$60,$E13,H$4)</f>
        <v>12.3</v>
      </c>
      <c r="K13" s="4">
        <f>MATCH($B13,cattle!$A$3:$A$120,0)</f>
        <v>112</v>
      </c>
      <c r="L13">
        <f>INDEX(cattle!$D$3:$AH$120,$K13,L$4)</f>
        <v>87</v>
      </c>
      <c r="M13" s="27">
        <f>INDEX(cattle!$D$3:$AH$120,$K13,M$4)</f>
        <v>14.1</v>
      </c>
    </row>
    <row r="14" spans="2:14" x14ac:dyDescent="0.25">
      <c r="B14" t="s">
        <v>37</v>
      </c>
      <c r="C14" s="23">
        <f t="shared" ref="C14:C42" si="0">AVERAGE(F14,L14)</f>
        <v>87</v>
      </c>
      <c r="D14" s="4"/>
      <c r="E14" s="4">
        <f>MATCH($B14,pigs!$A$3:$A$60,0)</f>
        <v>13</v>
      </c>
      <c r="F14">
        <f>INDEX(pigs!$D$3:$AO$60,$E14,F$4)</f>
        <v>87</v>
      </c>
      <c r="G14">
        <f>INDEX(pigs!$D$3:$AO$60,$E14,G$4)</f>
        <v>11</v>
      </c>
      <c r="H14">
        <f>INDEX(pigs!$D$3:$AO$60,$E14,H$4)</f>
        <v>11.2</v>
      </c>
      <c r="K14" s="4">
        <f>MATCH($B14,cattle!$A$3:$A$120,0)</f>
        <v>42</v>
      </c>
      <c r="L14">
        <f>INDEX(cattle!$D$3:$AH$120,$K14,L$4)</f>
        <v>87</v>
      </c>
      <c r="M14" s="27">
        <f>INDEX(cattle!$D$3:$AH$120,$K14,M$4)</f>
        <v>13.2</v>
      </c>
    </row>
    <row r="15" spans="2:14" x14ac:dyDescent="0.25">
      <c r="B15" t="s">
        <v>38</v>
      </c>
      <c r="C15" s="23">
        <f t="shared" si="0"/>
        <v>86</v>
      </c>
      <c r="D15" s="4"/>
      <c r="E15" s="4">
        <f>MATCH($B15,pigs!$A$3:$A$60,0)</f>
        <v>11</v>
      </c>
      <c r="F15">
        <f>INDEX(pigs!$D$3:$AO$60,$E15,F$4)</f>
        <v>87</v>
      </c>
      <c r="G15">
        <f>INDEX(pigs!$D$3:$AO$60,$E15,G$4)</f>
        <v>9</v>
      </c>
      <c r="H15">
        <f>INDEX(pigs!$D$3:$AO$60,$E15,H$4)</f>
        <v>9.4</v>
      </c>
      <c r="K15" s="4">
        <f>MATCH($B15,cattle!$A$3:$A$120,0)</f>
        <v>28</v>
      </c>
      <c r="L15">
        <f>INDEX(cattle!$D$3:$AH$120,$K15,L$4)</f>
        <v>85</v>
      </c>
      <c r="M15" s="27">
        <f>INDEX(cattle!$D$3:$AH$120,$K15,M$4)</f>
        <v>11.7</v>
      </c>
    </row>
    <row r="16" spans="2:14" x14ac:dyDescent="0.25">
      <c r="B16" t="s">
        <v>39</v>
      </c>
      <c r="C16" s="23">
        <f t="shared" si="0"/>
        <v>87</v>
      </c>
      <c r="D16" s="4"/>
      <c r="E16" s="4">
        <f>MATCH($B16,pigs!$A$3:$A$60,0)</f>
        <v>39</v>
      </c>
      <c r="F16">
        <f>INDEX(pigs!$D$3:$AO$60,$E16,F$4)</f>
        <v>87</v>
      </c>
      <c r="G16">
        <f>INDEX(pigs!$D$3:$AO$60,$E16,G$4)</f>
        <v>11.9</v>
      </c>
      <c r="H16">
        <f>INDEX(pigs!$D$3:$AO$60,$E16,H$4)</f>
        <v>12</v>
      </c>
      <c r="K16" s="4">
        <f>MATCH($B16,cattle!$A$3:$A$120,0)</f>
        <v>78</v>
      </c>
      <c r="L16">
        <f>INDEX(cattle!$D$3:$AH$120,$K16,L$4)</f>
        <v>87</v>
      </c>
      <c r="M16" s="27">
        <f>INDEX(cattle!$D$3:$AH$120,$K16,M$4)</f>
        <v>14</v>
      </c>
    </row>
    <row r="17" spans="2:14" x14ac:dyDescent="0.25">
      <c r="B17" t="s">
        <v>317</v>
      </c>
      <c r="C17" s="23">
        <f t="shared" si="0"/>
        <v>87</v>
      </c>
      <c r="D17" s="4"/>
      <c r="E17" s="4">
        <f>MATCH($B17,pigs!$A$3:$A$60,0)</f>
        <v>38</v>
      </c>
      <c r="K17" s="4">
        <f>MATCH($B17,cattle!$A$3:$A$120,0)</f>
        <v>77</v>
      </c>
      <c r="L17">
        <f>INDEX(cattle!$D$3:$AH$120,$K17,L$4)</f>
        <v>87</v>
      </c>
      <c r="M17" s="27">
        <f>INDEX(cattle!$D$3:$AH$120,$K17,M$4)</f>
        <v>13.9</v>
      </c>
    </row>
    <row r="18" spans="2:14" x14ac:dyDescent="0.25">
      <c r="B18" t="s">
        <v>40</v>
      </c>
      <c r="C18" s="23">
        <f t="shared" si="0"/>
        <v>67.5</v>
      </c>
      <c r="D18" s="4"/>
      <c r="E18" s="4">
        <f>MATCH($B18,pigs!$A$3:$A$60,0)</f>
        <v>19</v>
      </c>
      <c r="F18">
        <f>INDEX(pigs!$D$3:$AO$60,$E18,F$4)</f>
        <v>87</v>
      </c>
      <c r="G18">
        <f>INDEX(pigs!$D$3:$AO$60,$E18,G$4)</f>
        <v>12.8</v>
      </c>
      <c r="H18">
        <f>INDEX(pigs!$D$3:$AO$60,$E18,H$4)</f>
        <v>13.2</v>
      </c>
      <c r="K18" s="4">
        <f>MATCH($B18,cattle!$A$3:$A$120,0)</f>
        <v>53</v>
      </c>
      <c r="L18">
        <f>INDEX(cattle!$D$3:$AH$120,$K18,L$4)</f>
        <v>48</v>
      </c>
      <c r="M18" s="27">
        <f>INDEX(cattle!$D$3:$AH$120,$K18,M$4)</f>
        <v>12.8</v>
      </c>
    </row>
    <row r="19" spans="2:14" x14ac:dyDescent="0.25">
      <c r="B19" t="s">
        <v>41</v>
      </c>
      <c r="C19" s="23">
        <f t="shared" si="0"/>
        <v>87</v>
      </c>
      <c r="D19" s="4"/>
      <c r="E19" s="4">
        <f>MATCH($B19,pigs!$A$3:$A$60,0)</f>
        <v>56</v>
      </c>
      <c r="F19">
        <f>INDEX(pigs!$D$3:$AO$60,$E19,F$4)</f>
        <v>87</v>
      </c>
      <c r="G19">
        <f>INDEX(pigs!$D$3:$AO$60,$E19,G$4)</f>
        <v>11.2</v>
      </c>
      <c r="H19">
        <f>INDEX(pigs!$D$3:$AO$60,$E19,H$4)</f>
        <v>11.5</v>
      </c>
      <c r="K19" s="4">
        <f>MATCH($B19,cattle!$A$3:$A$120,0)</f>
        <v>115</v>
      </c>
      <c r="L19">
        <f>INDEX(cattle!$D$3:$AH$120,$K19,L$4)</f>
        <v>87</v>
      </c>
      <c r="M19" s="27">
        <f>INDEX(cattle!$D$3:$AH$120,$K19,M$4)</f>
        <v>13.8</v>
      </c>
    </row>
    <row r="20" spans="2:14" x14ac:dyDescent="0.25">
      <c r="B20" t="s">
        <v>42</v>
      </c>
      <c r="C20" s="23">
        <f t="shared" si="0"/>
        <v>86.8</v>
      </c>
      <c r="D20" s="4"/>
      <c r="E20" s="4">
        <f>MATCH($B20,pigs!$A$3:$A$60,0)</f>
        <v>57</v>
      </c>
      <c r="F20">
        <f>INDEX(pigs!$D$3:$AO$60,$E20,F$4)</f>
        <v>87</v>
      </c>
      <c r="G20">
        <f>INDEX(pigs!$D$3:$AO$60,$E20,G$4)</f>
        <v>10.7</v>
      </c>
      <c r="H20">
        <f>INDEX(pigs!$D$3:$AO$60,$E20,H$4)</f>
        <v>10.9</v>
      </c>
      <c r="K20" s="4"/>
      <c r="L20">
        <v>86.6</v>
      </c>
      <c r="M20" s="27">
        <v>13.3</v>
      </c>
      <c r="N20" t="s">
        <v>322</v>
      </c>
    </row>
    <row r="21" spans="2:14" x14ac:dyDescent="0.25">
      <c r="B21" t="s">
        <v>35</v>
      </c>
      <c r="C21" s="23">
        <f t="shared" si="0"/>
        <v>92.5</v>
      </c>
      <c r="D21" s="4"/>
      <c r="E21" s="4">
        <f>MATCH($B21,pigs!$A$3:$A$60,0)</f>
        <v>33</v>
      </c>
      <c r="F21">
        <f>INDEX(pigs!$D$3:$AO$60,$E21,F$4)</f>
        <v>92</v>
      </c>
      <c r="G21">
        <f>INDEX(pigs!$D$3:$AO$60,$E21,G$4)</f>
        <v>18</v>
      </c>
      <c r="H21">
        <f>INDEX(pigs!$D$3:$AO$60,$E21,H$4)</f>
        <v>18.5</v>
      </c>
      <c r="K21" s="4">
        <f>MATCH($B21,cattle!$A$3:$A$120,0)</f>
        <v>71</v>
      </c>
      <c r="L21">
        <f>INDEX(cattle!$D$3:$AH$120,$K21,L$4)</f>
        <v>93</v>
      </c>
      <c r="M21" s="27">
        <f>INDEX(cattle!$D$3:$AH$120,$K21,M$4)</f>
        <v>22.1</v>
      </c>
    </row>
    <row r="22" spans="2:14" x14ac:dyDescent="0.25">
      <c r="B22" t="s">
        <v>43</v>
      </c>
      <c r="C22" s="23">
        <f t="shared" si="0"/>
        <v>92</v>
      </c>
      <c r="D22" s="4"/>
      <c r="E22" s="4">
        <f>MATCH($B22,pigs!$A$3:$A$60,0)</f>
        <v>14</v>
      </c>
      <c r="F22">
        <f>INDEX(pigs!$D$3:$AO$60,$E22,F$4)</f>
        <v>91</v>
      </c>
      <c r="G22">
        <f>INDEX(pigs!$D$3:$AO$60,$E22,G$4)</f>
        <v>17.3</v>
      </c>
      <c r="H22">
        <f>INDEX(pigs!$D$3:$AO$60,$E22,H$4)</f>
        <v>17.5</v>
      </c>
      <c r="K22" s="4">
        <f>MATCH($B22,cattle!$A$3:$A$120,0)</f>
        <v>45</v>
      </c>
      <c r="L22">
        <f>INDEX(cattle!$D$3:$AH$120,$K22,L$4)</f>
        <v>93</v>
      </c>
      <c r="M22" s="27">
        <f>INDEX(cattle!$D$3:$AH$120,$K22,M$4)</f>
        <v>20.100000000000001</v>
      </c>
    </row>
    <row r="23" spans="2:14" x14ac:dyDescent="0.25">
      <c r="B23" t="s">
        <v>314</v>
      </c>
      <c r="C23" s="23">
        <f t="shared" si="0"/>
        <v>100</v>
      </c>
      <c r="D23" s="4"/>
      <c r="E23" s="4">
        <f>MATCH($B23,pigs!$A$3:$A$60,0)</f>
        <v>28</v>
      </c>
      <c r="F23">
        <f>INDEX(pigs!$D$3:$AO$60,$E23,F$4)</f>
        <v>100</v>
      </c>
      <c r="G23">
        <f>INDEX(pigs!$D$3:$AO$60,$E23,G$4)</f>
        <v>29.8</v>
      </c>
      <c r="H23">
        <f>INDEX(pigs!$D$3:$AO$60,$E23,H$4)</f>
        <v>29.8</v>
      </c>
      <c r="K23" s="4"/>
      <c r="L23">
        <v>100</v>
      </c>
      <c r="M23" s="27">
        <v>36.6</v>
      </c>
      <c r="N23" t="s">
        <v>323</v>
      </c>
    </row>
    <row r="24" spans="2:14" x14ac:dyDescent="0.25">
      <c r="B24" t="s">
        <v>305</v>
      </c>
      <c r="C24" s="23">
        <f t="shared" si="0"/>
        <v>85</v>
      </c>
      <c r="D24" s="4"/>
      <c r="E24" s="4"/>
      <c r="K24" s="4">
        <f>MATCH($B24,cattle!$A$3:$A$120,0)</f>
        <v>22</v>
      </c>
      <c r="L24">
        <f>INDEX(cattle!$D$3:$AH$120,$K24,L$4)</f>
        <v>85</v>
      </c>
      <c r="M24" s="27">
        <f>INDEX(cattle!$D$3:$AH$120,$K24,M$4)</f>
        <v>6.6</v>
      </c>
    </row>
    <row r="25" spans="2:14" x14ac:dyDescent="0.25">
      <c r="B25" t="s">
        <v>318</v>
      </c>
      <c r="C25" s="23">
        <f t="shared" si="0"/>
        <v>87</v>
      </c>
      <c r="D25" s="4"/>
      <c r="E25" s="4"/>
      <c r="K25" s="4">
        <f>MATCH($B25,cattle!$A$3:$A$120,0)</f>
        <v>92</v>
      </c>
      <c r="L25">
        <f>INDEX(cattle!$D$3:$AH$120,$K25,L$4)</f>
        <v>87</v>
      </c>
      <c r="M25" s="27">
        <f>INDEX(cattle!$D$3:$AH$120,$K25,M$4)</f>
        <v>16.399999999999999</v>
      </c>
    </row>
    <row r="26" spans="2:14" x14ac:dyDescent="0.25">
      <c r="B26" t="s">
        <v>44</v>
      </c>
      <c r="C26" s="23">
        <f t="shared" si="0"/>
        <v>87.5</v>
      </c>
      <c r="D26" s="4"/>
      <c r="E26" s="4">
        <f>MATCH($B26,pigs!$A$3:$A$60,0)</f>
        <v>43</v>
      </c>
      <c r="F26">
        <f>INDEX(pigs!$D$3:$AO$60,$E26,F$4)</f>
        <v>88</v>
      </c>
      <c r="G26">
        <f>INDEX(pigs!$D$3:$AO$60,$E26,G$4)</f>
        <v>9.3000000000000007</v>
      </c>
      <c r="H26">
        <f>INDEX(pigs!$D$3:$AO$60,$E26,H$4)</f>
        <v>9.9</v>
      </c>
      <c r="K26" s="4">
        <f>MATCH($B26,cattle!$A$3:$A$120,0)</f>
        <v>93</v>
      </c>
      <c r="L26">
        <f>INDEX(cattle!$D$3:$AH$120,$K26,L$4)</f>
        <v>87</v>
      </c>
      <c r="M26" s="27">
        <f>INDEX(cattle!$D$3:$AH$120,$K26,M$4)</f>
        <v>14.6</v>
      </c>
    </row>
    <row r="27" spans="2:14" x14ac:dyDescent="0.25">
      <c r="B27" t="s">
        <v>45</v>
      </c>
      <c r="C27" s="23">
        <f t="shared" si="0"/>
        <v>87</v>
      </c>
      <c r="D27" s="4"/>
      <c r="E27" s="4">
        <f>MATCH($B27,pigs!$A$3:$A$60,0)</f>
        <v>45</v>
      </c>
      <c r="F27">
        <f>INDEX(pigs!$D$3:$AO$60,$E27,F$4)</f>
        <v>87</v>
      </c>
      <c r="G27">
        <f>INDEX(pigs!$D$3:$AO$60,$E27,G$4)</f>
        <v>9.6999999999999993</v>
      </c>
      <c r="H27">
        <f>INDEX(pigs!$D$3:$AO$60,$E27,H$4)</f>
        <v>10.3</v>
      </c>
      <c r="K27" s="4"/>
      <c r="M27" s="27"/>
    </row>
    <row r="28" spans="2:14" x14ac:dyDescent="0.25">
      <c r="B28" t="s">
        <v>36</v>
      </c>
      <c r="C28" s="23">
        <f t="shared" si="0"/>
        <v>89.5</v>
      </c>
      <c r="D28" s="4"/>
      <c r="E28" s="4">
        <f>MATCH($B28,pigs!$A$3:$A$60,0)</f>
        <v>36</v>
      </c>
      <c r="F28">
        <f>INDEX(pigs!$D$3:$AO$60,$E28,F$4)</f>
        <v>89</v>
      </c>
      <c r="G28">
        <f>INDEX(pigs!$D$3:$AO$60,$E28,G$4)</f>
        <v>7.1</v>
      </c>
      <c r="H28">
        <f>INDEX(pigs!$D$3:$AO$60,$E28,H$4)</f>
        <v>7.7</v>
      </c>
      <c r="K28" s="4">
        <f>MATCH($B28,cattle!$A$3:$A$120,0)</f>
        <v>70</v>
      </c>
      <c r="L28">
        <f>INDEX(cattle!$D$3:$AH$120,$K28,L$4)</f>
        <v>90</v>
      </c>
      <c r="M28" s="27">
        <f>INDEX(cattle!$D$3:$AH$120,$K28,M$4)</f>
        <v>12.2</v>
      </c>
    </row>
    <row r="29" spans="2:14" x14ac:dyDescent="0.25">
      <c r="B29" t="s">
        <v>46</v>
      </c>
      <c r="C29" s="23">
        <f t="shared" si="0"/>
        <v>91</v>
      </c>
      <c r="D29" s="4"/>
      <c r="E29" s="4">
        <f>MATCH($B29,pigs!$A$3:$A$60,0)</f>
        <v>46</v>
      </c>
      <c r="F29">
        <f>INDEX(pigs!$D$3:$AO$60,$E29,F$4)</f>
        <v>90</v>
      </c>
      <c r="G29">
        <f>INDEX(pigs!$D$3:$AO$60,$E29,G$4)</f>
        <v>5.9</v>
      </c>
      <c r="H29">
        <f>INDEX(pigs!$D$3:$AO$60,$E29,H$4)</f>
        <v>6.5</v>
      </c>
      <c r="K29" s="4">
        <f>MATCH($B29,cattle!$A$3:$A$120,0)</f>
        <v>99</v>
      </c>
      <c r="L29">
        <f>INDEX(cattle!$D$3:$AH$120,$K29,L$4)</f>
        <v>92</v>
      </c>
      <c r="M29" s="27">
        <f>INDEX(cattle!$D$3:$AH$120,$K29,M$4)</f>
        <v>11.4</v>
      </c>
    </row>
    <row r="30" spans="2:14" x14ac:dyDescent="0.25">
      <c r="B30" t="s">
        <v>47</v>
      </c>
      <c r="C30" s="23">
        <f t="shared" si="0"/>
        <v>91</v>
      </c>
      <c r="D30" s="4"/>
      <c r="E30" s="4">
        <f>MATCH($B30,pigs!$A$3:$A$60,0)</f>
        <v>29</v>
      </c>
      <c r="F30">
        <f>INDEX(pigs!$D$3:$AO$60,$E30,F$4)</f>
        <v>91</v>
      </c>
      <c r="G30">
        <f>INDEX(pigs!$D$3:$AO$60,$E30,G$4)</f>
        <v>5.4</v>
      </c>
      <c r="H30">
        <f>INDEX(pigs!$D$3:$AO$60,$E30,H$4)</f>
        <v>6.2</v>
      </c>
      <c r="K30" s="4">
        <f>MATCH($B30,cattle!$A$3:$A$120,0)</f>
        <v>60</v>
      </c>
      <c r="L30">
        <f>INDEX(cattle!$D$3:$AH$120,$K30,L$4)</f>
        <v>91</v>
      </c>
      <c r="M30" s="27">
        <f>INDEX(cattle!$D$3:$AH$120,$K30,M$4)</f>
        <v>13.4</v>
      </c>
    </row>
    <row r="31" spans="2:14" x14ac:dyDescent="0.25">
      <c r="B31" t="s">
        <v>319</v>
      </c>
      <c r="C31" s="23">
        <f t="shared" si="0"/>
        <v>90</v>
      </c>
      <c r="D31" s="4"/>
      <c r="E31" s="4"/>
      <c r="K31" s="4"/>
      <c r="L31">
        <v>90</v>
      </c>
      <c r="M31" s="27">
        <v>8.5</v>
      </c>
      <c r="N31" s="11" t="s">
        <v>320</v>
      </c>
    </row>
    <row r="32" spans="2:14" x14ac:dyDescent="0.25">
      <c r="B32" t="s">
        <v>48</v>
      </c>
      <c r="C32" s="23">
        <f t="shared" si="0"/>
        <v>87</v>
      </c>
      <c r="D32" s="4"/>
      <c r="E32" s="4">
        <f>MATCH($B32,pigs!$A$3:$A$60,0)</f>
        <v>55</v>
      </c>
      <c r="F32">
        <f>INDEX(pigs!$D$3:$AO$60,$E32,F$4)</f>
        <v>87</v>
      </c>
      <c r="G32">
        <f>INDEX(pigs!$D$3:$AO$60,$E32,G$4)</f>
        <v>7.2</v>
      </c>
      <c r="H32">
        <f>INDEX(pigs!$D$3:$AO$60,$E32,H$4)</f>
        <v>7.8</v>
      </c>
      <c r="K32" s="4">
        <f>MATCH($B32,cattle!$A$3:$A$120,0)</f>
        <v>111</v>
      </c>
      <c r="L32">
        <f>INDEX(cattle!$D$3:$AH$120,$K32,L$4)</f>
        <v>87</v>
      </c>
      <c r="M32" s="27">
        <f>INDEX(cattle!$D$3:$AH$120,$K32,M$4)</f>
        <v>11</v>
      </c>
    </row>
    <row r="33" spans="2:13" x14ac:dyDescent="0.25">
      <c r="B33" t="s">
        <v>49</v>
      </c>
      <c r="C33" s="23">
        <f t="shared" si="0"/>
        <v>88</v>
      </c>
      <c r="D33" s="4"/>
      <c r="E33" s="4">
        <f>MATCH($B33,pigs!$A$3:$A$60,0)</f>
        <v>54</v>
      </c>
      <c r="F33">
        <f>INDEX(pigs!$D$3:$AO$60,$E33,F$4)</f>
        <v>88</v>
      </c>
      <c r="G33">
        <f>INDEX(pigs!$D$3:$AO$60,$E33,G$4)</f>
        <v>8.6999999999999993</v>
      </c>
      <c r="H33">
        <f>INDEX(pigs!$D$3:$AO$60,$E33,H$4)</f>
        <v>9.1999999999999993</v>
      </c>
      <c r="K33" s="4"/>
      <c r="M33" s="27"/>
    </row>
    <row r="34" spans="2:13" x14ac:dyDescent="0.25">
      <c r="B34" t="s">
        <v>50</v>
      </c>
      <c r="C34" s="23">
        <f t="shared" si="0"/>
        <v>90</v>
      </c>
      <c r="D34" s="4"/>
      <c r="E34" s="4">
        <f>MATCH($B34,pigs!$A$3:$A$60,0)</f>
        <v>3</v>
      </c>
      <c r="F34">
        <f>INDEX(pigs!$D$3:$AO$60,$E34,F$4)</f>
        <v>90</v>
      </c>
      <c r="G34">
        <f>INDEX(pigs!$D$3:$AO$60,$E34,G$4)</f>
        <v>8.1</v>
      </c>
      <c r="H34">
        <f>INDEX(pigs!$D$3:$AO$60,$E34,H$4)</f>
        <v>8.6999999999999993</v>
      </c>
      <c r="K34" s="4">
        <f>MATCH($B34,cattle!$A$3:$A$120,0)</f>
        <v>109</v>
      </c>
      <c r="L34">
        <f>INDEX(cattle!$D$3:$AH$120,$K34,L$4)</f>
        <v>90</v>
      </c>
      <c r="M34" s="27">
        <f>INDEX(cattle!$D$3:$AH$120,$K34,M$4)</f>
        <v>13.3</v>
      </c>
    </row>
    <row r="35" spans="2:13" x14ac:dyDescent="0.25">
      <c r="B35" t="s">
        <v>51</v>
      </c>
      <c r="C35" s="23">
        <f t="shared" si="0"/>
        <v>11</v>
      </c>
      <c r="D35" s="4"/>
      <c r="E35" s="4">
        <f>MATCH($B35,pigs!$A$3:$A$60,0)</f>
        <v>1</v>
      </c>
      <c r="F35">
        <f>INDEX(pigs!$D$3:$AO$60,$E35,F$4)</f>
        <v>11</v>
      </c>
      <c r="G35">
        <f>INDEX(pigs!$D$3:$AO$60,$E35,G$4)</f>
        <v>8.1999999999999993</v>
      </c>
      <c r="H35">
        <f>INDEX(pigs!$D$3:$AO$60,$E35,H$4)</f>
        <v>8.9</v>
      </c>
      <c r="K35" s="4"/>
      <c r="M35" s="27"/>
    </row>
    <row r="36" spans="2:13" x14ac:dyDescent="0.25">
      <c r="B36" t="s">
        <v>313</v>
      </c>
      <c r="C36" s="23">
        <f t="shared" si="0"/>
        <v>90</v>
      </c>
      <c r="D36" s="4"/>
      <c r="E36" s="4"/>
      <c r="F36">
        <v>90</v>
      </c>
      <c r="G36" s="3">
        <v>6.6</v>
      </c>
      <c r="H36" s="25">
        <f>H34/G34*G36</f>
        <v>7.0888888888888877</v>
      </c>
      <c r="I36" s="11" t="s">
        <v>316</v>
      </c>
      <c r="K36" s="4">
        <f>MATCH($B36,cattle!$A$3:$A$120,0)</f>
        <v>38</v>
      </c>
      <c r="L36">
        <f>INDEX(cattle!$D$3:$AH$120,$K36,L$4)</f>
        <v>90</v>
      </c>
      <c r="M36" s="27">
        <f>INDEX(cattle!$D$3:$AH$120,$K36,M$4)</f>
        <v>11.6</v>
      </c>
    </row>
    <row r="37" spans="2:13" x14ac:dyDescent="0.25">
      <c r="B37" t="s">
        <v>52</v>
      </c>
      <c r="C37" s="23">
        <f t="shared" si="0"/>
        <v>75.5</v>
      </c>
      <c r="D37" s="4"/>
      <c r="E37" s="4">
        <f>MATCH($B37,pigs!$A$3:$A$60,0)</f>
        <v>23</v>
      </c>
      <c r="F37">
        <f>INDEX(pigs!$D$3:$AO$60,$E37,F$4)</f>
        <v>76</v>
      </c>
      <c r="G37">
        <f>INDEX(pigs!$D$3:$AO$60,$E37,G$4)</f>
        <v>8.6999999999999993</v>
      </c>
      <c r="H37">
        <f>INDEX(pigs!$D$3:$AO$60,$E37,H$4)</f>
        <v>9</v>
      </c>
      <c r="K37" s="4">
        <f>MATCH($B37,cattle!$A$3:$A$120,0)</f>
        <v>88</v>
      </c>
      <c r="L37">
        <f>INDEX(cattle!$D$3:$AH$120,$K37,L$4)</f>
        <v>75</v>
      </c>
      <c r="M37" s="27">
        <f>INDEX(cattle!$D$3:$AH$120,$K37,M$4)</f>
        <v>12.4</v>
      </c>
    </row>
    <row r="38" spans="2:13" x14ac:dyDescent="0.25">
      <c r="B38" t="s">
        <v>53</v>
      </c>
      <c r="C38" s="23">
        <f t="shared" si="0"/>
        <v>89.5</v>
      </c>
      <c r="D38" s="4"/>
      <c r="E38" s="4">
        <f>MATCH($B38,pigs!$A$3:$A$60,0)</f>
        <v>4</v>
      </c>
      <c r="F38">
        <f>INDEX(pigs!$D$3:$AO$60,$E38,F$4)</f>
        <v>89</v>
      </c>
      <c r="G38">
        <f>INDEX(pigs!$D$3:$AO$60,$E38,G$4)</f>
        <v>6.9</v>
      </c>
      <c r="H38">
        <f>INDEX(pigs!$D$3:$AO$60,$E38,H$4)</f>
        <v>8</v>
      </c>
      <c r="K38" s="4">
        <f>MATCH($B38,cattle!$A$3:$A$120,0)</f>
        <v>91</v>
      </c>
      <c r="L38">
        <f>INDEX(cattle!$D$3:$AH$120,$K38,L$4)</f>
        <v>90</v>
      </c>
      <c r="M38" s="27">
        <f>INDEX(cattle!$D$3:$AH$120,$K38,M$4)</f>
        <v>12.3</v>
      </c>
    </row>
    <row r="39" spans="2:13" x14ac:dyDescent="0.25">
      <c r="B39" t="s">
        <v>54</v>
      </c>
      <c r="C39" s="23">
        <f t="shared" si="0"/>
        <v>6.25</v>
      </c>
      <c r="D39" s="4"/>
      <c r="E39" s="4">
        <f>MATCH($B39,pigs!$A$3:$A$60,0)</f>
        <v>50</v>
      </c>
      <c r="F39">
        <f>INDEX(pigs!$D$3:$AO$60,$E39,F$4)</f>
        <v>5.5</v>
      </c>
      <c r="G39">
        <f>INDEX(pigs!$D$3:$AO$60,$E39,G$4)</f>
        <v>12.4</v>
      </c>
      <c r="H39">
        <f>INDEX(pigs!$D$3:$AO$60,$E39,H$4)</f>
        <v>12.2</v>
      </c>
      <c r="K39" s="4">
        <f>MATCH($B39,cattle!$A$3:$A$120,0)</f>
        <v>57</v>
      </c>
      <c r="L39">
        <f>INDEX(cattle!$D$3:$AH$120,$K39,L$4)</f>
        <v>7</v>
      </c>
      <c r="M39" s="27">
        <f>INDEX(cattle!$D$3:$AH$120,$K39,M$4)</f>
        <v>13.6</v>
      </c>
    </row>
    <row r="40" spans="2:13" x14ac:dyDescent="0.25">
      <c r="B40" t="s">
        <v>55</v>
      </c>
      <c r="C40" s="23">
        <f t="shared" si="0"/>
        <v>97</v>
      </c>
      <c r="D40" s="4"/>
      <c r="E40" s="4">
        <f>MATCH($B40,pigs!$A$3:$A$60,0)</f>
        <v>52</v>
      </c>
      <c r="F40">
        <f>INDEX(pigs!$D$3:$AO$60,$E40,F$4)</f>
        <v>97</v>
      </c>
      <c r="G40">
        <f>INDEX(pigs!$D$3:$AO$60,$E40,G$4)</f>
        <v>12.4</v>
      </c>
      <c r="H40">
        <f>INDEX(pigs!$D$3:$AO$60,$E40,H$4)</f>
        <v>12.2</v>
      </c>
      <c r="K40" s="4"/>
      <c r="M40" s="27"/>
    </row>
    <row r="41" spans="2:13" x14ac:dyDescent="0.25">
      <c r="B41" t="s">
        <v>56</v>
      </c>
      <c r="C41" s="23">
        <f t="shared" si="0"/>
        <v>91</v>
      </c>
      <c r="D41" s="4"/>
      <c r="E41" s="4">
        <f>MATCH($B41,pigs!$A$3:$A$60,0)</f>
        <v>31</v>
      </c>
      <c r="F41">
        <f>INDEX(pigs!$D$3:$AO$60,$E41,F$4)</f>
        <v>92</v>
      </c>
      <c r="G41">
        <f>INDEX(pigs!$D$3:$AO$60,$E41,G$4)</f>
        <v>11.1</v>
      </c>
      <c r="H41">
        <f>INDEX(pigs!$D$3:$AO$60,$E41,H$4)</f>
        <v>11.3</v>
      </c>
      <c r="K41" s="4">
        <f>MATCH($B41,cattle!$A$3:$A$120,0)</f>
        <v>65</v>
      </c>
      <c r="L41">
        <f>INDEX(cattle!$D$3:$AH$120,$K41,L$4)</f>
        <v>90</v>
      </c>
      <c r="M41" s="27">
        <f>INDEX(cattle!$D$3:$AH$120,$K41,M$4)</f>
        <v>15.5</v>
      </c>
    </row>
    <row r="42" spans="2:13" x14ac:dyDescent="0.25">
      <c r="B42" t="s">
        <v>57</v>
      </c>
      <c r="C42" s="23">
        <f t="shared" si="0"/>
        <v>92</v>
      </c>
      <c r="D42" s="4"/>
      <c r="E42" s="4">
        <f>MATCH($B42,pigs!$A$3:$A$60,0)</f>
        <v>7</v>
      </c>
      <c r="F42">
        <f>INDEX(pigs!$D$3:$AO$60,$E42,F$4)</f>
        <v>92</v>
      </c>
      <c r="G42">
        <f>INDEX(pigs!$D$3:$AO$60,$E42,G$4)</f>
        <v>10.8</v>
      </c>
      <c r="H42">
        <f>INDEX(pigs!$D$3:$AO$60,$E42,H$4)</f>
        <v>10.8</v>
      </c>
      <c r="K42" s="4"/>
    </row>
  </sheetData>
  <hyperlinks>
    <hyperlink ref="C1" r:id="rId1"/>
    <hyperlink ref="I36" r:id="rId2"/>
    <hyperlink ref="N31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0"/>
  <sheetViews>
    <sheetView topLeftCell="A19" workbookViewId="0">
      <selection activeCell="A41" sqref="A41"/>
    </sheetView>
  </sheetViews>
  <sheetFormatPr defaultRowHeight="15" x14ac:dyDescent="0.25"/>
  <cols>
    <col min="1" max="1" width="28.140625" customWidth="1"/>
    <col min="3" max="3" width="24.5703125" customWidth="1"/>
  </cols>
  <sheetData>
    <row r="1" spans="1:41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</row>
    <row r="2" spans="1:41" ht="43.5" x14ac:dyDescent="0.25">
      <c r="A2" s="18" t="s">
        <v>58</v>
      </c>
      <c r="B2" s="19" t="s">
        <v>125</v>
      </c>
      <c r="C2" s="19" t="s">
        <v>128</v>
      </c>
      <c r="D2" s="19" t="s">
        <v>129</v>
      </c>
      <c r="E2" s="19" t="s">
        <v>124</v>
      </c>
      <c r="F2" s="19" t="s">
        <v>123</v>
      </c>
      <c r="G2" s="19" t="s">
        <v>122</v>
      </c>
      <c r="H2" s="19" t="s">
        <v>130</v>
      </c>
      <c r="I2" s="19" t="s">
        <v>131</v>
      </c>
      <c r="J2" s="19" t="s">
        <v>132</v>
      </c>
      <c r="K2" s="19" t="s">
        <v>126</v>
      </c>
      <c r="L2" s="19" t="s">
        <v>127</v>
      </c>
      <c r="M2" s="19" t="s">
        <v>133</v>
      </c>
      <c r="N2" s="19" t="s">
        <v>134</v>
      </c>
      <c r="O2" s="19" t="s">
        <v>135</v>
      </c>
      <c r="P2" s="19" t="s">
        <v>136</v>
      </c>
      <c r="Q2" s="19" t="s">
        <v>137</v>
      </c>
      <c r="R2" s="19" t="s">
        <v>138</v>
      </c>
      <c r="S2" s="19" t="s">
        <v>139</v>
      </c>
      <c r="T2" s="19" t="s">
        <v>140</v>
      </c>
      <c r="U2" s="19" t="s">
        <v>141</v>
      </c>
      <c r="V2" s="19" t="s">
        <v>142</v>
      </c>
      <c r="W2" s="19" t="s">
        <v>143</v>
      </c>
      <c r="X2" s="19" t="s">
        <v>144</v>
      </c>
      <c r="Y2" s="19" t="s">
        <v>145</v>
      </c>
      <c r="Z2" s="19" t="s">
        <v>146</v>
      </c>
      <c r="AA2" s="19" t="s">
        <v>147</v>
      </c>
      <c r="AB2" s="19" t="s">
        <v>148</v>
      </c>
      <c r="AC2" s="19" t="s">
        <v>149</v>
      </c>
      <c r="AD2" s="19" t="s">
        <v>150</v>
      </c>
      <c r="AE2" s="19" t="s">
        <v>151</v>
      </c>
      <c r="AF2" s="19" t="s">
        <v>152</v>
      </c>
      <c r="AG2" s="19" t="s">
        <v>153</v>
      </c>
      <c r="AH2" s="19" t="s">
        <v>154</v>
      </c>
      <c r="AI2" s="19" t="s">
        <v>155</v>
      </c>
      <c r="AJ2" s="19" t="s">
        <v>156</v>
      </c>
      <c r="AK2" s="19" t="s">
        <v>157</v>
      </c>
      <c r="AL2" s="19" t="s">
        <v>158</v>
      </c>
      <c r="AM2" s="19" t="s">
        <v>159</v>
      </c>
      <c r="AN2" s="19" t="s">
        <v>160</v>
      </c>
      <c r="AO2" s="19" t="s">
        <v>161</v>
      </c>
    </row>
    <row r="3" spans="1:41" x14ac:dyDescent="0.25">
      <c r="A3" t="s">
        <v>51</v>
      </c>
      <c r="B3" s="12">
        <v>1</v>
      </c>
      <c r="C3" s="13" t="s">
        <v>61</v>
      </c>
      <c r="D3" s="14">
        <v>11</v>
      </c>
      <c r="E3" s="14">
        <v>8.1999999999999993</v>
      </c>
      <c r="F3" s="14">
        <v>8.9</v>
      </c>
      <c r="G3" s="14">
        <v>10.8</v>
      </c>
      <c r="H3" s="14">
        <v>280</v>
      </c>
      <c r="I3" s="14">
        <v>45</v>
      </c>
      <c r="J3" s="14">
        <v>22</v>
      </c>
      <c r="K3" s="14"/>
      <c r="L3" s="14"/>
      <c r="M3" s="14"/>
      <c r="N3" s="14"/>
      <c r="O3" s="14">
        <v>68</v>
      </c>
      <c r="P3" s="14">
        <v>8.6999999999999993</v>
      </c>
      <c r="Q3" s="14">
        <v>9.6</v>
      </c>
      <c r="R3" s="14">
        <v>5.2</v>
      </c>
      <c r="S3" s="14">
        <v>6.7</v>
      </c>
      <c r="T3" s="14">
        <v>11.9</v>
      </c>
      <c r="U3" s="14">
        <v>4.2</v>
      </c>
      <c r="V3" s="14">
        <v>10</v>
      </c>
      <c r="W3" s="14">
        <v>5.7</v>
      </c>
      <c r="X3" s="14">
        <v>7.7</v>
      </c>
      <c r="Y3" s="14">
        <v>4.5</v>
      </c>
      <c r="Z3" s="14">
        <v>5.5</v>
      </c>
      <c r="AA3" s="14">
        <v>10</v>
      </c>
      <c r="AB3" s="14">
        <v>3.4</v>
      </c>
      <c r="AC3" s="14">
        <v>8</v>
      </c>
      <c r="AD3" s="14">
        <v>196</v>
      </c>
      <c r="AE3" s="14">
        <v>0.9</v>
      </c>
      <c r="AF3" s="14">
        <v>10.9</v>
      </c>
      <c r="AG3" s="14"/>
      <c r="AH3" s="14"/>
      <c r="AI3" s="14">
        <v>1.8</v>
      </c>
      <c r="AJ3" s="14"/>
      <c r="AK3" s="14"/>
      <c r="AL3" s="14"/>
      <c r="AM3" s="14"/>
      <c r="AN3" s="14">
        <v>20</v>
      </c>
      <c r="AO3" s="14">
        <v>20</v>
      </c>
    </row>
    <row r="4" spans="1:41" x14ac:dyDescent="0.25">
      <c r="B4" s="15">
        <v>2</v>
      </c>
      <c r="C4" s="16" t="s">
        <v>62</v>
      </c>
      <c r="D4" s="17">
        <v>28</v>
      </c>
      <c r="E4" s="17">
        <v>8.1999999999999993</v>
      </c>
      <c r="F4" s="17">
        <v>8.9</v>
      </c>
      <c r="G4" s="17">
        <v>10.9</v>
      </c>
      <c r="H4" s="17">
        <v>364</v>
      </c>
      <c r="I4" s="17">
        <v>43</v>
      </c>
      <c r="J4" s="17">
        <v>15</v>
      </c>
      <c r="K4" s="17">
        <v>71</v>
      </c>
      <c r="L4" s="17"/>
      <c r="M4" s="17">
        <v>15</v>
      </c>
      <c r="N4" s="17"/>
      <c r="O4" s="17">
        <v>80</v>
      </c>
      <c r="P4" s="17">
        <v>11.3</v>
      </c>
      <c r="Q4" s="17">
        <v>12.5</v>
      </c>
      <c r="R4" s="17">
        <v>6.8</v>
      </c>
      <c r="S4" s="17">
        <v>8.6999999999999993</v>
      </c>
      <c r="T4" s="17">
        <v>15.5</v>
      </c>
      <c r="U4" s="17">
        <v>5.4</v>
      </c>
      <c r="V4" s="17">
        <v>13</v>
      </c>
      <c r="W4" s="17">
        <v>7.5</v>
      </c>
      <c r="X4" s="17">
        <v>10</v>
      </c>
      <c r="Y4" s="17">
        <v>5.8</v>
      </c>
      <c r="Z4" s="17">
        <v>7.1</v>
      </c>
      <c r="AA4" s="17">
        <v>13</v>
      </c>
      <c r="AB4" s="17">
        <v>4.4000000000000004</v>
      </c>
      <c r="AC4" s="17">
        <v>10.4</v>
      </c>
      <c r="AD4" s="17">
        <v>255</v>
      </c>
      <c r="AE4" s="17">
        <v>1.1000000000000001</v>
      </c>
      <c r="AF4" s="17">
        <v>13.9</v>
      </c>
      <c r="AG4" s="17"/>
      <c r="AH4" s="17"/>
      <c r="AI4" s="17">
        <v>4.3</v>
      </c>
      <c r="AJ4" s="17"/>
      <c r="AK4" s="17"/>
      <c r="AL4" s="17"/>
      <c r="AM4" s="17"/>
      <c r="AN4" s="17">
        <v>20</v>
      </c>
      <c r="AO4" s="17">
        <v>20</v>
      </c>
    </row>
    <row r="5" spans="1:41" x14ac:dyDescent="0.25">
      <c r="A5" t="s">
        <v>50</v>
      </c>
      <c r="B5" s="12">
        <v>3</v>
      </c>
      <c r="C5" s="13" t="s">
        <v>63</v>
      </c>
      <c r="D5" s="14">
        <v>90</v>
      </c>
      <c r="E5" s="14">
        <v>8.1</v>
      </c>
      <c r="F5" s="14">
        <v>8.6999999999999993</v>
      </c>
      <c r="G5" s="14">
        <v>10.7</v>
      </c>
      <c r="H5" s="14">
        <v>340</v>
      </c>
      <c r="I5" s="14">
        <v>66</v>
      </c>
      <c r="J5" s="14"/>
      <c r="K5" s="14">
        <v>354</v>
      </c>
      <c r="L5" s="14"/>
      <c r="M5" s="14">
        <v>14</v>
      </c>
      <c r="N5" s="14"/>
      <c r="O5" s="14">
        <v>44</v>
      </c>
      <c r="P5" s="14">
        <v>10.6</v>
      </c>
      <c r="Q5" s="14">
        <v>11.7</v>
      </c>
      <c r="R5" s="14">
        <v>6.3</v>
      </c>
      <c r="S5" s="14">
        <v>8.1</v>
      </c>
      <c r="T5" s="14">
        <v>14.5</v>
      </c>
      <c r="U5" s="14">
        <v>5.0999999999999996</v>
      </c>
      <c r="V5" s="14">
        <v>12.1</v>
      </c>
      <c r="W5" s="14">
        <v>7</v>
      </c>
      <c r="X5" s="14">
        <v>9.3000000000000007</v>
      </c>
      <c r="Y5" s="14">
        <v>5.4</v>
      </c>
      <c r="Z5" s="14">
        <v>6.7</v>
      </c>
      <c r="AA5" s="14">
        <v>12.1</v>
      </c>
      <c r="AB5" s="14">
        <v>4.0999999999999996</v>
      </c>
      <c r="AC5" s="14">
        <v>9.6999999999999993</v>
      </c>
      <c r="AD5" s="14">
        <v>231</v>
      </c>
      <c r="AE5" s="14">
        <v>1</v>
      </c>
      <c r="AF5" s="14">
        <v>7.3</v>
      </c>
      <c r="AG5" s="14">
        <v>2.6</v>
      </c>
      <c r="AH5" s="14">
        <v>9.6</v>
      </c>
      <c r="AI5" s="14"/>
      <c r="AJ5" s="14"/>
      <c r="AK5" s="14">
        <v>0</v>
      </c>
      <c r="AL5" s="14"/>
      <c r="AM5" s="14"/>
      <c r="AN5" s="14">
        <v>20</v>
      </c>
      <c r="AO5" s="14">
        <v>20</v>
      </c>
    </row>
    <row r="6" spans="1:41" x14ac:dyDescent="0.25">
      <c r="A6" t="s">
        <v>53</v>
      </c>
      <c r="B6" s="15">
        <v>4</v>
      </c>
      <c r="C6" s="16" t="s">
        <v>64</v>
      </c>
      <c r="D6" s="17">
        <v>89</v>
      </c>
      <c r="E6" s="17">
        <v>6.9</v>
      </c>
      <c r="F6" s="17">
        <v>8</v>
      </c>
      <c r="G6" s="17">
        <v>11.6</v>
      </c>
      <c r="H6" s="17">
        <v>91</v>
      </c>
      <c r="I6" s="17">
        <v>10</v>
      </c>
      <c r="J6" s="17">
        <v>194</v>
      </c>
      <c r="K6" s="17">
        <v>454</v>
      </c>
      <c r="L6" s="17">
        <v>231</v>
      </c>
      <c r="M6" s="17">
        <v>0</v>
      </c>
      <c r="N6" s="17">
        <v>75</v>
      </c>
      <c r="O6" s="17">
        <v>77</v>
      </c>
      <c r="P6" s="17">
        <v>7.2</v>
      </c>
      <c r="Q6" s="17">
        <v>4.5</v>
      </c>
      <c r="R6" s="17">
        <v>1.7</v>
      </c>
      <c r="S6" s="17">
        <v>1.2</v>
      </c>
      <c r="T6" s="17">
        <v>2.9</v>
      </c>
      <c r="U6" s="17">
        <v>0.9</v>
      </c>
      <c r="V6" s="17">
        <v>6.2</v>
      </c>
      <c r="W6" s="17">
        <v>3.6</v>
      </c>
      <c r="X6" s="17">
        <v>1.4</v>
      </c>
      <c r="Y6" s="17">
        <v>1</v>
      </c>
      <c r="Z6" s="17">
        <v>0.3</v>
      </c>
      <c r="AA6" s="17">
        <v>1.2</v>
      </c>
      <c r="AB6" s="17">
        <v>0.4</v>
      </c>
      <c r="AC6" s="17">
        <v>2.6</v>
      </c>
      <c r="AD6" s="17">
        <v>48</v>
      </c>
      <c r="AE6" s="17">
        <v>11.4</v>
      </c>
      <c r="AF6" s="17">
        <v>1</v>
      </c>
      <c r="AG6" s="17">
        <v>2.2999999999999998</v>
      </c>
      <c r="AH6" s="17">
        <v>3.7</v>
      </c>
      <c r="AI6" s="17">
        <v>0.6</v>
      </c>
      <c r="AJ6" s="17">
        <v>54</v>
      </c>
      <c r="AK6" s="17">
        <v>0.1</v>
      </c>
      <c r="AL6" s="17">
        <v>6.9</v>
      </c>
      <c r="AM6" s="17">
        <v>16</v>
      </c>
      <c r="AN6" s="17">
        <v>20</v>
      </c>
      <c r="AO6" s="17">
        <v>20</v>
      </c>
    </row>
    <row r="7" spans="1:41" x14ac:dyDescent="0.25">
      <c r="B7" s="12">
        <v>5</v>
      </c>
      <c r="C7" s="13" t="s">
        <v>65</v>
      </c>
      <c r="D7" s="14">
        <v>8.1</v>
      </c>
      <c r="E7" s="14">
        <v>8</v>
      </c>
      <c r="F7" s="14">
        <v>8.5</v>
      </c>
      <c r="G7" s="14">
        <v>11.7</v>
      </c>
      <c r="H7" s="14">
        <v>371</v>
      </c>
      <c r="I7" s="14">
        <v>65</v>
      </c>
      <c r="J7" s="14">
        <v>90</v>
      </c>
      <c r="K7" s="14">
        <v>338</v>
      </c>
      <c r="L7" s="14"/>
      <c r="M7" s="14">
        <v>0</v>
      </c>
      <c r="N7" s="14"/>
      <c r="O7" s="14">
        <v>53</v>
      </c>
      <c r="P7" s="14">
        <v>11.5</v>
      </c>
      <c r="Q7" s="14">
        <v>12.7</v>
      </c>
      <c r="R7" s="14">
        <v>6.9</v>
      </c>
      <c r="S7" s="14">
        <v>8.9</v>
      </c>
      <c r="T7" s="14">
        <v>15.8</v>
      </c>
      <c r="U7" s="14">
        <v>5.5</v>
      </c>
      <c r="V7" s="14">
        <v>13.2</v>
      </c>
      <c r="W7" s="14">
        <v>7.6</v>
      </c>
      <c r="X7" s="14">
        <v>10.199999999999999</v>
      </c>
      <c r="Y7" s="14">
        <v>5.9</v>
      </c>
      <c r="Z7" s="14">
        <v>7.3</v>
      </c>
      <c r="AA7" s="14">
        <v>13.3</v>
      </c>
      <c r="AB7" s="14">
        <v>4.5</v>
      </c>
      <c r="AC7" s="14">
        <v>10.6</v>
      </c>
      <c r="AD7" s="14">
        <v>252</v>
      </c>
      <c r="AE7" s="14">
        <v>2.1</v>
      </c>
      <c r="AF7" s="14">
        <v>8.8000000000000007</v>
      </c>
      <c r="AG7" s="14">
        <v>3.1</v>
      </c>
      <c r="AH7" s="14">
        <v>11.7</v>
      </c>
      <c r="AI7" s="14">
        <v>2.21</v>
      </c>
      <c r="AJ7" s="14"/>
      <c r="AK7" s="14"/>
      <c r="AL7" s="14"/>
      <c r="AM7" s="14"/>
      <c r="AN7" s="14">
        <v>20</v>
      </c>
      <c r="AO7" s="14">
        <v>20</v>
      </c>
    </row>
    <row r="8" spans="1:41" x14ac:dyDescent="0.25">
      <c r="B8" s="15">
        <v>6</v>
      </c>
      <c r="C8" s="16" t="s">
        <v>60</v>
      </c>
      <c r="D8" s="17">
        <v>100</v>
      </c>
      <c r="E8" s="17">
        <v>29.8</v>
      </c>
      <c r="F8" s="17">
        <v>29.8</v>
      </c>
      <c r="G8" s="17">
        <v>34</v>
      </c>
      <c r="H8" s="17">
        <v>0</v>
      </c>
      <c r="I8" s="17">
        <v>1000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</row>
    <row r="9" spans="1:41" x14ac:dyDescent="0.25">
      <c r="A9" t="s">
        <v>57</v>
      </c>
      <c r="B9" s="12">
        <v>7</v>
      </c>
      <c r="C9" s="13" t="s">
        <v>66</v>
      </c>
      <c r="D9" s="14">
        <v>92</v>
      </c>
      <c r="E9" s="14">
        <v>10.8</v>
      </c>
      <c r="F9" s="14">
        <v>10.8</v>
      </c>
      <c r="G9" s="14">
        <v>17.5</v>
      </c>
      <c r="H9" s="14">
        <v>760</v>
      </c>
      <c r="I9" s="14">
        <v>105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135</v>
      </c>
      <c r="P9" s="14">
        <v>57.2</v>
      </c>
      <c r="Q9" s="14">
        <v>31.6</v>
      </c>
      <c r="R9" s="14">
        <v>21.6</v>
      </c>
      <c r="S9" s="14">
        <v>6.3</v>
      </c>
      <c r="T9" s="14">
        <v>28</v>
      </c>
      <c r="U9" s="14">
        <v>7.8</v>
      </c>
      <c r="V9" s="14">
        <v>38.5</v>
      </c>
      <c r="W9" s="14">
        <v>53.2</v>
      </c>
      <c r="X9" s="14">
        <v>29.1</v>
      </c>
      <c r="Y9" s="14">
        <v>20.100000000000001</v>
      </c>
      <c r="Z9" s="14">
        <v>5.4</v>
      </c>
      <c r="AA9" s="14">
        <v>25.5</v>
      </c>
      <c r="AB9" s="14">
        <v>6.9</v>
      </c>
      <c r="AC9" s="14">
        <v>35.4</v>
      </c>
      <c r="AD9" s="14">
        <v>676</v>
      </c>
      <c r="AE9" s="14">
        <v>39.1</v>
      </c>
      <c r="AF9" s="14">
        <v>24.7</v>
      </c>
      <c r="AG9" s="14">
        <v>2.2999999999999998</v>
      </c>
      <c r="AH9" s="14">
        <v>12</v>
      </c>
      <c r="AI9" s="14">
        <v>10</v>
      </c>
      <c r="AJ9" s="14">
        <v>6</v>
      </c>
      <c r="AK9" s="14">
        <v>2.4</v>
      </c>
      <c r="AL9" s="14">
        <v>4.5999999999999996</v>
      </c>
      <c r="AM9" s="14">
        <v>84</v>
      </c>
      <c r="AN9" s="14">
        <v>77</v>
      </c>
      <c r="AO9" s="14">
        <v>77</v>
      </c>
    </row>
    <row r="10" spans="1:41" x14ac:dyDescent="0.25">
      <c r="B10" s="15">
        <v>8</v>
      </c>
      <c r="C10" s="16" t="s">
        <v>67</v>
      </c>
      <c r="D10" s="17">
        <v>100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1000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375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</row>
    <row r="11" spans="1:41" x14ac:dyDescent="0.25">
      <c r="B11" s="12">
        <v>9</v>
      </c>
      <c r="C11" s="13" t="s">
        <v>68</v>
      </c>
      <c r="D11" s="14">
        <v>90</v>
      </c>
      <c r="E11" s="14">
        <v>3.9</v>
      </c>
      <c r="F11" s="14">
        <v>4.7</v>
      </c>
      <c r="G11" s="14">
        <v>7.7</v>
      </c>
      <c r="H11" s="14">
        <v>167</v>
      </c>
      <c r="I11" s="14">
        <v>34</v>
      </c>
      <c r="J11" s="14">
        <v>260</v>
      </c>
      <c r="K11" s="14">
        <v>542</v>
      </c>
      <c r="L11" s="14">
        <v>307</v>
      </c>
      <c r="M11" s="14">
        <v>0</v>
      </c>
      <c r="N11" s="14">
        <v>101</v>
      </c>
      <c r="O11" s="14">
        <v>87</v>
      </c>
      <c r="P11" s="14">
        <v>6.9</v>
      </c>
      <c r="Q11" s="14">
        <v>6.4</v>
      </c>
      <c r="R11" s="14">
        <v>2.4</v>
      </c>
      <c r="S11" s="14">
        <v>1.5</v>
      </c>
      <c r="T11" s="14">
        <v>3.8</v>
      </c>
      <c r="U11" s="14">
        <v>2.4</v>
      </c>
      <c r="V11" s="14">
        <v>8.5</v>
      </c>
      <c r="W11" s="14">
        <v>5.3</v>
      </c>
      <c r="X11" s="14">
        <v>4.9000000000000004</v>
      </c>
      <c r="Y11" s="14">
        <v>2</v>
      </c>
      <c r="Z11" s="14">
        <v>1.1000000000000001</v>
      </c>
      <c r="AA11" s="14">
        <v>3</v>
      </c>
      <c r="AB11" s="14">
        <v>1.9</v>
      </c>
      <c r="AC11" s="14">
        <v>6.6</v>
      </c>
      <c r="AD11" s="14">
        <v>87</v>
      </c>
      <c r="AE11" s="14">
        <v>6</v>
      </c>
      <c r="AF11" s="14">
        <v>3.1</v>
      </c>
      <c r="AG11" s="14">
        <v>1.9</v>
      </c>
      <c r="AH11" s="14">
        <v>23</v>
      </c>
      <c r="AI11" s="14">
        <v>4.3</v>
      </c>
      <c r="AJ11" s="14">
        <v>54</v>
      </c>
      <c r="AK11" s="14">
        <v>0.22</v>
      </c>
      <c r="AL11" s="14">
        <v>7.8</v>
      </c>
      <c r="AM11" s="14">
        <v>36</v>
      </c>
      <c r="AN11" s="14">
        <v>20</v>
      </c>
      <c r="AO11" s="14">
        <v>20</v>
      </c>
    </row>
    <row r="12" spans="1:41" x14ac:dyDescent="0.25">
      <c r="B12" s="15">
        <v>10</v>
      </c>
      <c r="C12" s="16" t="s">
        <v>69</v>
      </c>
      <c r="D12" s="17">
        <v>91</v>
      </c>
      <c r="E12" s="17">
        <v>1.1000000000000001</v>
      </c>
      <c r="F12" s="17">
        <v>1.6</v>
      </c>
      <c r="G12" s="17"/>
      <c r="H12" s="17">
        <v>42</v>
      </c>
      <c r="I12" s="17">
        <v>14</v>
      </c>
      <c r="J12" s="17">
        <v>418</v>
      </c>
      <c r="K12" s="17">
        <v>789</v>
      </c>
      <c r="L12" s="17">
        <v>501</v>
      </c>
      <c r="M12" s="17">
        <v>8</v>
      </c>
      <c r="N12" s="17">
        <v>16</v>
      </c>
      <c r="O12" s="17">
        <v>64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9</v>
      </c>
      <c r="AE12" s="17">
        <v>4.9000000000000004</v>
      </c>
      <c r="AF12" s="17">
        <v>0.8</v>
      </c>
      <c r="AG12" s="17">
        <v>0.7</v>
      </c>
      <c r="AH12" s="17">
        <v>10.3</v>
      </c>
      <c r="AI12" s="17">
        <v>0.33</v>
      </c>
      <c r="AJ12" s="17">
        <v>47</v>
      </c>
      <c r="AK12" s="17"/>
      <c r="AL12" s="17">
        <v>3.3</v>
      </c>
      <c r="AM12" s="17">
        <v>21</v>
      </c>
      <c r="AN12" s="17">
        <v>20</v>
      </c>
      <c r="AO12" s="17">
        <v>20</v>
      </c>
    </row>
    <row r="13" spans="1:41" x14ac:dyDescent="0.25">
      <c r="A13" t="s">
        <v>38</v>
      </c>
      <c r="B13" s="12">
        <v>11</v>
      </c>
      <c r="C13" s="13" t="s">
        <v>70</v>
      </c>
      <c r="D13" s="14">
        <v>87</v>
      </c>
      <c r="E13" s="14">
        <v>9</v>
      </c>
      <c r="F13" s="14">
        <v>9.4</v>
      </c>
      <c r="G13" s="14">
        <v>12.1</v>
      </c>
      <c r="H13" s="14">
        <v>111</v>
      </c>
      <c r="I13" s="14">
        <v>54</v>
      </c>
      <c r="J13" s="14">
        <v>138</v>
      </c>
      <c r="K13" s="14">
        <v>372</v>
      </c>
      <c r="L13" s="14">
        <v>169</v>
      </c>
      <c r="M13" s="14">
        <v>411</v>
      </c>
      <c r="N13" s="14">
        <v>13</v>
      </c>
      <c r="O13" s="14">
        <v>30</v>
      </c>
      <c r="P13" s="14">
        <v>4.7</v>
      </c>
      <c r="Q13" s="14">
        <v>3.9</v>
      </c>
      <c r="R13" s="14">
        <v>2</v>
      </c>
      <c r="S13" s="14">
        <v>3.7</v>
      </c>
      <c r="T13" s="14">
        <v>5.7</v>
      </c>
      <c r="U13" s="14">
        <v>1.4</v>
      </c>
      <c r="V13" s="14">
        <v>5.9</v>
      </c>
      <c r="W13" s="14">
        <v>3.4</v>
      </c>
      <c r="X13" s="14">
        <v>2.7</v>
      </c>
      <c r="Y13" s="14">
        <v>1.7</v>
      </c>
      <c r="Z13" s="14">
        <v>2.8</v>
      </c>
      <c r="AA13" s="14">
        <v>4.4000000000000004</v>
      </c>
      <c r="AB13" s="14">
        <v>1.1000000000000001</v>
      </c>
      <c r="AC13" s="14">
        <v>4.5</v>
      </c>
      <c r="AD13" s="14">
        <v>84</v>
      </c>
      <c r="AE13" s="14">
        <v>0.8</v>
      </c>
      <c r="AF13" s="14">
        <v>3.6</v>
      </c>
      <c r="AG13" s="14">
        <v>1.2</v>
      </c>
      <c r="AH13" s="14">
        <v>5.5</v>
      </c>
      <c r="AI13" s="14">
        <v>0.3</v>
      </c>
      <c r="AJ13" s="14">
        <v>43</v>
      </c>
      <c r="AK13" s="14">
        <v>0.03</v>
      </c>
      <c r="AL13" s="14">
        <v>2.7</v>
      </c>
      <c r="AM13" s="14">
        <v>31</v>
      </c>
      <c r="AN13" s="14">
        <v>32</v>
      </c>
      <c r="AO13" s="14">
        <v>32</v>
      </c>
    </row>
    <row r="14" spans="1:41" x14ac:dyDescent="0.25">
      <c r="B14" s="15">
        <v>12</v>
      </c>
      <c r="C14" s="16" t="s">
        <v>71</v>
      </c>
      <c r="D14" s="17">
        <v>87</v>
      </c>
      <c r="E14" s="17">
        <v>11.6</v>
      </c>
      <c r="F14" s="17">
        <v>11.8</v>
      </c>
      <c r="G14" s="17"/>
      <c r="H14" s="17">
        <v>124</v>
      </c>
      <c r="I14" s="17">
        <v>29</v>
      </c>
      <c r="J14" s="17">
        <v>47</v>
      </c>
      <c r="K14" s="17">
        <v>136</v>
      </c>
      <c r="L14" s="17">
        <v>54</v>
      </c>
      <c r="M14" s="17">
        <v>615</v>
      </c>
      <c r="N14" s="17">
        <v>14</v>
      </c>
      <c r="O14" s="17">
        <v>25</v>
      </c>
      <c r="P14" s="17">
        <v>5.2</v>
      </c>
      <c r="Q14" s="17">
        <v>4.4000000000000004</v>
      </c>
      <c r="R14" s="17">
        <v>2.2000000000000002</v>
      </c>
      <c r="S14" s="17">
        <v>3.9</v>
      </c>
      <c r="T14" s="17">
        <v>6.1</v>
      </c>
      <c r="U14" s="17">
        <v>1.6</v>
      </c>
      <c r="V14" s="17">
        <v>6.6</v>
      </c>
      <c r="W14" s="17">
        <v>4.0999999999999996</v>
      </c>
      <c r="X14" s="17">
        <v>3.5</v>
      </c>
      <c r="Y14" s="17">
        <v>1.9</v>
      </c>
      <c r="Z14" s="17">
        <v>3.3</v>
      </c>
      <c r="AA14" s="17">
        <v>5.2</v>
      </c>
      <c r="AB14" s="17">
        <v>1.3</v>
      </c>
      <c r="AC14" s="17">
        <v>5.3</v>
      </c>
      <c r="AD14" s="17">
        <v>102</v>
      </c>
      <c r="AE14" s="17">
        <v>1</v>
      </c>
      <c r="AF14" s="17">
        <v>3.4</v>
      </c>
      <c r="AG14" s="17"/>
      <c r="AH14" s="17"/>
      <c r="AI14" s="17"/>
      <c r="AJ14" s="17"/>
      <c r="AK14" s="17"/>
      <c r="AL14" s="17"/>
      <c r="AM14" s="17"/>
      <c r="AN14" s="17">
        <v>32</v>
      </c>
      <c r="AO14" s="17">
        <v>32</v>
      </c>
    </row>
    <row r="15" spans="1:41" x14ac:dyDescent="0.25">
      <c r="A15" t="s">
        <v>37</v>
      </c>
      <c r="B15" s="12">
        <v>13</v>
      </c>
      <c r="C15" s="13" t="s">
        <v>72</v>
      </c>
      <c r="D15" s="14">
        <v>87</v>
      </c>
      <c r="E15" s="14">
        <v>11</v>
      </c>
      <c r="F15" s="14">
        <v>11.2</v>
      </c>
      <c r="G15" s="14">
        <v>14.2</v>
      </c>
      <c r="H15" s="14">
        <v>116</v>
      </c>
      <c r="I15" s="14">
        <v>21</v>
      </c>
      <c r="J15" s="14">
        <v>53</v>
      </c>
      <c r="K15" s="14">
        <v>216</v>
      </c>
      <c r="L15" s="14">
        <v>63</v>
      </c>
      <c r="M15" s="14">
        <v>602</v>
      </c>
      <c r="N15" s="14">
        <v>25</v>
      </c>
      <c r="O15" s="14">
        <v>26</v>
      </c>
      <c r="P15" s="14">
        <v>4.4000000000000004</v>
      </c>
      <c r="Q15" s="14">
        <v>4</v>
      </c>
      <c r="R15" s="14">
        <v>2</v>
      </c>
      <c r="S15" s="14">
        <v>2.7</v>
      </c>
      <c r="T15" s="14">
        <v>4.7</v>
      </c>
      <c r="U15" s="14">
        <v>1.4</v>
      </c>
      <c r="V15" s="14">
        <v>6</v>
      </c>
      <c r="W15" s="14">
        <v>3.3</v>
      </c>
      <c r="X15" s="14">
        <v>3</v>
      </c>
      <c r="Y15" s="14">
        <v>1.7</v>
      </c>
      <c r="Z15" s="14">
        <v>2.2999999999999998</v>
      </c>
      <c r="AA15" s="14">
        <v>3.9</v>
      </c>
      <c r="AB15" s="14">
        <v>1.1000000000000001</v>
      </c>
      <c r="AC15" s="14">
        <v>4.8</v>
      </c>
      <c r="AD15" s="14">
        <v>93</v>
      </c>
      <c r="AE15" s="14">
        <v>0.5</v>
      </c>
      <c r="AF15" s="14">
        <v>3.5</v>
      </c>
      <c r="AG15" s="14">
        <v>1.2</v>
      </c>
      <c r="AH15" s="14">
        <v>5.7</v>
      </c>
      <c r="AI15" s="14">
        <v>0.4</v>
      </c>
      <c r="AJ15" s="14">
        <v>14</v>
      </c>
      <c r="AK15" s="14">
        <v>0.04</v>
      </c>
      <c r="AL15" s="14">
        <v>2.9</v>
      </c>
      <c r="AM15" s="14">
        <v>28</v>
      </c>
      <c r="AN15" s="14">
        <v>32</v>
      </c>
      <c r="AO15" s="14">
        <v>41</v>
      </c>
    </row>
    <row r="16" spans="1:41" x14ac:dyDescent="0.25">
      <c r="A16" t="s">
        <v>43</v>
      </c>
      <c r="B16" s="15">
        <v>14</v>
      </c>
      <c r="C16" s="16" t="s">
        <v>73</v>
      </c>
      <c r="D16" s="17">
        <v>91</v>
      </c>
      <c r="E16" s="17">
        <v>17.3</v>
      </c>
      <c r="F16" s="17">
        <v>17.5</v>
      </c>
      <c r="G16" s="17">
        <v>21.3</v>
      </c>
      <c r="H16" s="17">
        <v>227</v>
      </c>
      <c r="I16" s="17">
        <v>437</v>
      </c>
      <c r="J16" s="17">
        <v>80</v>
      </c>
      <c r="K16" s="17">
        <v>203</v>
      </c>
      <c r="L16" s="17">
        <v>83</v>
      </c>
      <c r="M16" s="17">
        <v>0</v>
      </c>
      <c r="N16" s="17">
        <v>29</v>
      </c>
      <c r="O16" s="17">
        <v>38</v>
      </c>
      <c r="P16" s="17">
        <v>9.8000000000000007</v>
      </c>
      <c r="Q16" s="17">
        <v>11.6</v>
      </c>
      <c r="R16" s="17">
        <v>4.8</v>
      </c>
      <c r="S16" s="17">
        <v>4.9000000000000004</v>
      </c>
      <c r="T16" s="17">
        <v>9.8000000000000007</v>
      </c>
      <c r="U16" s="17">
        <v>4.3</v>
      </c>
      <c r="V16" s="17">
        <v>13.3</v>
      </c>
      <c r="W16" s="17">
        <v>7.5</v>
      </c>
      <c r="X16" s="17">
        <v>8.8000000000000007</v>
      </c>
      <c r="Y16" s="17">
        <v>4.0999999999999996</v>
      </c>
      <c r="Z16" s="17">
        <v>3.6</v>
      </c>
      <c r="AA16" s="17">
        <v>7.7</v>
      </c>
      <c r="AB16" s="17">
        <v>3.3</v>
      </c>
      <c r="AC16" s="17">
        <v>10.3</v>
      </c>
      <c r="AD16" s="17">
        <v>193</v>
      </c>
      <c r="AE16" s="17">
        <v>2.6</v>
      </c>
      <c r="AF16" s="17">
        <v>5.7</v>
      </c>
      <c r="AG16" s="17">
        <v>4.0999999999999996</v>
      </c>
      <c r="AH16" s="17">
        <v>8.9</v>
      </c>
      <c r="AI16" s="17">
        <v>0.4</v>
      </c>
      <c r="AJ16" s="17">
        <v>30</v>
      </c>
      <c r="AK16" s="17">
        <v>0.4</v>
      </c>
      <c r="AL16" s="17">
        <v>14</v>
      </c>
      <c r="AM16" s="17">
        <v>50</v>
      </c>
      <c r="AN16" s="17">
        <v>20</v>
      </c>
      <c r="AO16" s="17">
        <v>20</v>
      </c>
    </row>
    <row r="17" spans="1:41" x14ac:dyDescent="0.25">
      <c r="B17" s="12">
        <v>15</v>
      </c>
      <c r="C17" s="13" t="s">
        <v>74</v>
      </c>
      <c r="D17" s="14">
        <v>90</v>
      </c>
      <c r="E17" s="14">
        <v>9.1999999999999993</v>
      </c>
      <c r="F17" s="14">
        <v>9.6999999999999993</v>
      </c>
      <c r="G17" s="14">
        <v>14.2</v>
      </c>
      <c r="H17" s="14">
        <v>342</v>
      </c>
      <c r="I17" s="14">
        <v>90</v>
      </c>
      <c r="J17" s="14">
        <v>113</v>
      </c>
      <c r="K17" s="14">
        <v>259</v>
      </c>
      <c r="L17" s="14">
        <v>157</v>
      </c>
      <c r="M17" s="14">
        <v>0</v>
      </c>
      <c r="N17" s="14">
        <v>38</v>
      </c>
      <c r="O17" s="14">
        <v>65</v>
      </c>
      <c r="P17" s="14">
        <v>12.9</v>
      </c>
      <c r="Q17" s="14">
        <v>13</v>
      </c>
      <c r="R17" s="14">
        <v>5.9</v>
      </c>
      <c r="S17" s="14">
        <v>6.6</v>
      </c>
      <c r="T17" s="14">
        <v>12.5</v>
      </c>
      <c r="U17" s="14">
        <v>5.2</v>
      </c>
      <c r="V17" s="14">
        <v>16.399999999999999</v>
      </c>
      <c r="W17" s="14">
        <v>9.9</v>
      </c>
      <c r="X17" s="14">
        <v>9.9</v>
      </c>
      <c r="Y17" s="14">
        <v>5</v>
      </c>
      <c r="Z17" s="14">
        <v>4.8</v>
      </c>
      <c r="AA17" s="14">
        <v>9.8000000000000007</v>
      </c>
      <c r="AB17" s="14">
        <v>4</v>
      </c>
      <c r="AC17" s="14">
        <v>12.7</v>
      </c>
      <c r="AD17" s="14">
        <v>301</v>
      </c>
      <c r="AE17" s="14">
        <v>4.7</v>
      </c>
      <c r="AF17" s="14">
        <v>9.1</v>
      </c>
      <c r="AG17" s="14">
        <v>5.5</v>
      </c>
      <c r="AH17" s="14">
        <v>13</v>
      </c>
      <c r="AI17" s="14">
        <v>0.9</v>
      </c>
      <c r="AJ17" s="14">
        <v>43</v>
      </c>
      <c r="AK17" s="14">
        <v>0.5</v>
      </c>
      <c r="AL17" s="14">
        <v>20</v>
      </c>
      <c r="AM17" s="14">
        <v>73</v>
      </c>
      <c r="AN17" s="14">
        <v>12</v>
      </c>
      <c r="AO17" s="14">
        <v>12</v>
      </c>
    </row>
    <row r="18" spans="1:41" x14ac:dyDescent="0.25">
      <c r="B18" s="15">
        <v>16</v>
      </c>
      <c r="C18" s="16" t="s">
        <v>75</v>
      </c>
      <c r="D18" s="17">
        <v>89</v>
      </c>
      <c r="E18" s="17">
        <v>10.3</v>
      </c>
      <c r="F18" s="17">
        <v>10.9</v>
      </c>
      <c r="G18" s="17">
        <v>15.4</v>
      </c>
      <c r="H18" s="17">
        <v>385</v>
      </c>
      <c r="I18" s="17">
        <v>95</v>
      </c>
      <c r="J18" s="17">
        <v>128</v>
      </c>
      <c r="K18" s="17">
        <v>214</v>
      </c>
      <c r="L18" s="17">
        <v>154</v>
      </c>
      <c r="M18" s="17">
        <v>0</v>
      </c>
      <c r="N18" s="17">
        <v>72</v>
      </c>
      <c r="O18" s="17">
        <v>39</v>
      </c>
      <c r="P18" s="17">
        <v>18.7</v>
      </c>
      <c r="Q18" s="17">
        <v>14.2</v>
      </c>
      <c r="R18" s="17">
        <v>3</v>
      </c>
      <c r="S18" s="17">
        <v>6.3</v>
      </c>
      <c r="T18" s="17">
        <v>9.3000000000000007</v>
      </c>
      <c r="U18" s="17">
        <v>2.7</v>
      </c>
      <c r="V18" s="17">
        <v>16.5</v>
      </c>
      <c r="W18" s="17">
        <v>15.3</v>
      </c>
      <c r="X18" s="17">
        <v>11.1</v>
      </c>
      <c r="Y18" s="17">
        <v>2.2999999999999998</v>
      </c>
      <c r="Z18" s="17">
        <v>4.8</v>
      </c>
      <c r="AA18" s="17">
        <v>7.1</v>
      </c>
      <c r="AB18" s="17">
        <v>2.1</v>
      </c>
      <c r="AC18" s="17">
        <v>12.2</v>
      </c>
      <c r="AD18" s="17">
        <v>316</v>
      </c>
      <c r="AE18" s="17">
        <v>3.8</v>
      </c>
      <c r="AF18" s="17">
        <v>4.3</v>
      </c>
      <c r="AG18" s="17">
        <v>1.9</v>
      </c>
      <c r="AH18" s="17">
        <v>13</v>
      </c>
      <c r="AI18" s="17">
        <v>0.5</v>
      </c>
      <c r="AJ18" s="17">
        <v>20</v>
      </c>
      <c r="AK18" s="17">
        <v>0.09</v>
      </c>
      <c r="AL18" s="17">
        <v>4.5</v>
      </c>
      <c r="AM18" s="17">
        <v>30</v>
      </c>
      <c r="AN18" s="17">
        <v>50</v>
      </c>
      <c r="AO18" s="17">
        <v>50</v>
      </c>
    </row>
    <row r="19" spans="1:41" x14ac:dyDescent="0.25">
      <c r="B19" s="12">
        <v>17</v>
      </c>
      <c r="C19" s="13" t="s">
        <v>76</v>
      </c>
      <c r="D19" s="14">
        <v>91</v>
      </c>
      <c r="E19" s="14">
        <v>4.0999999999999996</v>
      </c>
      <c r="F19" s="14">
        <v>4.8</v>
      </c>
      <c r="G19" s="14">
        <v>7.1</v>
      </c>
      <c r="H19" s="14">
        <v>185</v>
      </c>
      <c r="I19" s="14">
        <v>28</v>
      </c>
      <c r="J19" s="14">
        <v>283</v>
      </c>
      <c r="K19" s="14">
        <v>461</v>
      </c>
      <c r="L19" s="14">
        <v>326</v>
      </c>
      <c r="M19" s="14">
        <v>0</v>
      </c>
      <c r="N19" s="14">
        <v>46</v>
      </c>
      <c r="O19" s="14">
        <v>117</v>
      </c>
      <c r="P19" s="14">
        <v>8.5</v>
      </c>
      <c r="Q19" s="14">
        <v>7.5</v>
      </c>
      <c r="R19" s="14">
        <v>2.7</v>
      </c>
      <c r="S19" s="14">
        <v>2.5</v>
      </c>
      <c r="T19" s="14">
        <v>5.2</v>
      </c>
      <c r="U19" s="14">
        <v>2.6</v>
      </c>
      <c r="V19" s="14">
        <v>10.1</v>
      </c>
      <c r="W19" s="14">
        <v>5.3</v>
      </c>
      <c r="X19" s="14">
        <v>5</v>
      </c>
      <c r="Y19" s="14">
        <v>2.1</v>
      </c>
      <c r="Z19" s="14">
        <v>0.9</v>
      </c>
      <c r="AA19" s="14">
        <v>3</v>
      </c>
      <c r="AB19" s="14">
        <v>1.2</v>
      </c>
      <c r="AC19" s="14">
        <v>7</v>
      </c>
      <c r="AD19" s="14">
        <v>79</v>
      </c>
      <c r="AE19" s="14">
        <v>22.4</v>
      </c>
      <c r="AF19" s="14">
        <v>2.7</v>
      </c>
      <c r="AG19" s="14">
        <v>1.8</v>
      </c>
      <c r="AH19" s="14">
        <v>26.1</v>
      </c>
      <c r="AI19" s="14">
        <v>0.2</v>
      </c>
      <c r="AJ19" s="14">
        <v>62</v>
      </c>
      <c r="AK19" s="14">
        <v>0.28000000000000003</v>
      </c>
      <c r="AL19" s="14">
        <v>5.6</v>
      </c>
      <c r="AM19" s="14">
        <v>21</v>
      </c>
      <c r="AN19" s="14">
        <v>20</v>
      </c>
      <c r="AO19" s="14">
        <v>20</v>
      </c>
    </row>
    <row r="20" spans="1:41" x14ac:dyDescent="0.25">
      <c r="B20" s="15">
        <v>18</v>
      </c>
      <c r="C20" s="16" t="s">
        <v>77</v>
      </c>
      <c r="D20" s="17">
        <v>99.5</v>
      </c>
      <c r="E20" s="17">
        <v>14.2</v>
      </c>
      <c r="F20" s="17">
        <v>14.2</v>
      </c>
      <c r="G20" s="17">
        <v>17.8</v>
      </c>
      <c r="H20" s="17">
        <v>959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802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802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959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</row>
    <row r="21" spans="1:41" x14ac:dyDescent="0.25">
      <c r="A21" t="s">
        <v>40</v>
      </c>
      <c r="B21" s="12">
        <v>19</v>
      </c>
      <c r="C21" s="13" t="s">
        <v>78</v>
      </c>
      <c r="D21" s="14">
        <v>87</v>
      </c>
      <c r="E21" s="14">
        <v>12.8</v>
      </c>
      <c r="F21" s="14">
        <v>13.2</v>
      </c>
      <c r="G21" s="14">
        <v>15.6</v>
      </c>
      <c r="H21" s="14">
        <v>94</v>
      </c>
      <c r="I21" s="14">
        <v>43</v>
      </c>
      <c r="J21" s="14">
        <v>25</v>
      </c>
      <c r="K21" s="14">
        <v>120</v>
      </c>
      <c r="L21" s="14">
        <v>30</v>
      </c>
      <c r="M21" s="14">
        <v>742</v>
      </c>
      <c r="N21" s="14">
        <v>19</v>
      </c>
      <c r="O21" s="14">
        <v>14</v>
      </c>
      <c r="P21" s="14">
        <v>2.8</v>
      </c>
      <c r="Q21" s="14">
        <v>3.5</v>
      </c>
      <c r="R21" s="14">
        <v>2</v>
      </c>
      <c r="S21" s="14">
        <v>2.2999999999999998</v>
      </c>
      <c r="T21" s="14">
        <v>4.3</v>
      </c>
      <c r="U21" s="14">
        <v>0.6</v>
      </c>
      <c r="V21" s="14">
        <v>4.7</v>
      </c>
      <c r="W21" s="14">
        <v>2.2000000000000002</v>
      </c>
      <c r="X21" s="14">
        <v>2.9</v>
      </c>
      <c r="Y21" s="14">
        <v>1.8</v>
      </c>
      <c r="Z21" s="14">
        <v>2</v>
      </c>
      <c r="AA21" s="14">
        <v>3.9</v>
      </c>
      <c r="AB21" s="14">
        <v>0.5</v>
      </c>
      <c r="AC21" s="14">
        <v>4.0999999999999996</v>
      </c>
      <c r="AD21" s="14">
        <v>81</v>
      </c>
      <c r="AE21" s="14">
        <v>0.1</v>
      </c>
      <c r="AF21" s="14">
        <v>3.2</v>
      </c>
      <c r="AG21" s="14">
        <v>1.2</v>
      </c>
      <c r="AH21" s="14">
        <v>4</v>
      </c>
      <c r="AI21" s="14">
        <v>0.3</v>
      </c>
      <c r="AJ21" s="14">
        <v>6</v>
      </c>
      <c r="AK21" s="14">
        <v>0.06</v>
      </c>
      <c r="AL21" s="14">
        <v>3.6</v>
      </c>
      <c r="AM21" s="14">
        <v>28</v>
      </c>
      <c r="AN21" s="14">
        <v>28</v>
      </c>
      <c r="AO21" s="14">
        <v>28</v>
      </c>
    </row>
    <row r="22" spans="1:41" x14ac:dyDescent="0.25">
      <c r="B22" s="15">
        <v>20</v>
      </c>
      <c r="C22" s="16" t="s">
        <v>79</v>
      </c>
      <c r="D22" s="17">
        <v>88</v>
      </c>
      <c r="E22" s="17">
        <v>8</v>
      </c>
      <c r="F22" s="17">
        <v>9.1999999999999993</v>
      </c>
      <c r="G22" s="17">
        <v>0</v>
      </c>
      <c r="H22" s="17">
        <v>279</v>
      </c>
      <c r="I22" s="17">
        <v>58</v>
      </c>
      <c r="J22" s="17">
        <v>83</v>
      </c>
      <c r="K22" s="17">
        <v>356</v>
      </c>
      <c r="L22" s="17">
        <v>102</v>
      </c>
      <c r="M22" s="17">
        <v>130</v>
      </c>
      <c r="N22" s="17">
        <v>6</v>
      </c>
      <c r="O22" s="17">
        <v>68</v>
      </c>
      <c r="P22" s="17">
        <v>7.1</v>
      </c>
      <c r="Q22" s="17">
        <v>9.6999999999999993</v>
      </c>
      <c r="R22" s="17">
        <v>4.9000000000000004</v>
      </c>
      <c r="S22" s="17">
        <v>5.4</v>
      </c>
      <c r="T22" s="17">
        <v>10.199999999999999</v>
      </c>
      <c r="U22" s="17">
        <v>1.9</v>
      </c>
      <c r="V22" s="17">
        <v>13.1</v>
      </c>
      <c r="W22" s="17">
        <v>4.0999999999999996</v>
      </c>
      <c r="X22" s="17">
        <v>6</v>
      </c>
      <c r="Y22" s="17">
        <v>3.7</v>
      </c>
      <c r="Z22" s="17">
        <v>3.2</v>
      </c>
      <c r="AA22" s="17">
        <v>6.8</v>
      </c>
      <c r="AB22" s="17">
        <v>1.3</v>
      </c>
      <c r="AC22" s="17">
        <v>8.6</v>
      </c>
      <c r="AD22" s="17">
        <v>173</v>
      </c>
      <c r="AE22" s="17">
        <v>2.4</v>
      </c>
      <c r="AF22" s="17">
        <v>9.5</v>
      </c>
      <c r="AG22" s="17">
        <v>3.3</v>
      </c>
      <c r="AH22" s="17">
        <v>14.1</v>
      </c>
      <c r="AI22" s="17">
        <v>6.1</v>
      </c>
      <c r="AJ22" s="17">
        <v>21</v>
      </c>
      <c r="AK22" s="17">
        <v>0.39</v>
      </c>
      <c r="AL22" s="17">
        <v>11.4</v>
      </c>
      <c r="AM22" s="17">
        <v>74</v>
      </c>
      <c r="AN22" s="17">
        <v>31</v>
      </c>
      <c r="AO22" s="17">
        <v>31</v>
      </c>
    </row>
    <row r="23" spans="1:41" x14ac:dyDescent="0.25">
      <c r="B23" s="12">
        <v>21</v>
      </c>
      <c r="C23" s="13" t="s">
        <v>80</v>
      </c>
      <c r="D23" s="14">
        <v>88</v>
      </c>
      <c r="E23" s="14">
        <v>7.8</v>
      </c>
      <c r="F23" s="14">
        <v>9</v>
      </c>
      <c r="G23" s="14">
        <v>12.6</v>
      </c>
      <c r="H23" s="14">
        <v>219</v>
      </c>
      <c r="I23" s="14">
        <v>31</v>
      </c>
      <c r="J23" s="14">
        <v>85</v>
      </c>
      <c r="K23" s="14">
        <v>384</v>
      </c>
      <c r="L23" s="14">
        <v>100</v>
      </c>
      <c r="M23" s="14">
        <v>205</v>
      </c>
      <c r="N23" s="14">
        <v>19</v>
      </c>
      <c r="O23" s="14">
        <v>70</v>
      </c>
      <c r="P23" s="14">
        <v>6.6</v>
      </c>
      <c r="Q23" s="14">
        <v>7.4</v>
      </c>
      <c r="R23" s="14">
        <v>3.7</v>
      </c>
      <c r="S23" s="14">
        <v>4.3</v>
      </c>
      <c r="T23" s="14">
        <v>8</v>
      </c>
      <c r="U23" s="14">
        <v>1.4</v>
      </c>
      <c r="V23" s="14">
        <v>10.1</v>
      </c>
      <c r="W23" s="14">
        <v>4.4000000000000004</v>
      </c>
      <c r="X23" s="14">
        <v>5.2</v>
      </c>
      <c r="Y23" s="14">
        <v>3.1</v>
      </c>
      <c r="Z23" s="14">
        <v>3</v>
      </c>
      <c r="AA23" s="14">
        <v>6.1</v>
      </c>
      <c r="AB23" s="14">
        <v>0.9</v>
      </c>
      <c r="AC23" s="14">
        <v>7.6</v>
      </c>
      <c r="AD23" s="14">
        <v>151</v>
      </c>
      <c r="AE23" s="14">
        <v>0.7</v>
      </c>
      <c r="AF23" s="14">
        <v>10.4</v>
      </c>
      <c r="AG23" s="14">
        <v>4.7</v>
      </c>
      <c r="AH23" s="14">
        <v>14</v>
      </c>
      <c r="AI23" s="14">
        <v>2.4</v>
      </c>
      <c r="AJ23" s="14">
        <v>23</v>
      </c>
      <c r="AK23" s="14">
        <v>0.15</v>
      </c>
      <c r="AL23" s="14">
        <v>5.4</v>
      </c>
      <c r="AM23" s="14">
        <v>82</v>
      </c>
      <c r="AN23" s="14">
        <v>22</v>
      </c>
      <c r="AO23" s="14">
        <v>22</v>
      </c>
    </row>
    <row r="24" spans="1:41" x14ac:dyDescent="0.25">
      <c r="B24" s="15">
        <v>22</v>
      </c>
      <c r="C24" s="16" t="s">
        <v>81</v>
      </c>
      <c r="D24" s="17">
        <v>90</v>
      </c>
      <c r="E24" s="17">
        <v>12.9</v>
      </c>
      <c r="F24" s="17">
        <v>13.3</v>
      </c>
      <c r="G24" s="17">
        <v>17.8</v>
      </c>
      <c r="H24" s="17">
        <v>677</v>
      </c>
      <c r="I24" s="17">
        <v>71</v>
      </c>
      <c r="J24" s="17">
        <v>12</v>
      </c>
      <c r="K24" s="17">
        <v>26</v>
      </c>
      <c r="L24" s="17">
        <v>8</v>
      </c>
      <c r="M24" s="17">
        <v>192</v>
      </c>
      <c r="N24" s="17">
        <v>4</v>
      </c>
      <c r="O24" s="17">
        <v>21</v>
      </c>
      <c r="P24" s="17">
        <v>11.9</v>
      </c>
      <c r="Q24" s="17">
        <v>22.7</v>
      </c>
      <c r="R24" s="17">
        <v>16.3</v>
      </c>
      <c r="S24" s="17">
        <v>12.1</v>
      </c>
      <c r="T24" s="17">
        <v>28.4</v>
      </c>
      <c r="U24" s="17">
        <v>3.2</v>
      </c>
      <c r="V24" s="17">
        <v>31.2</v>
      </c>
      <c r="W24" s="17">
        <v>10.6</v>
      </c>
      <c r="X24" s="17">
        <v>20.9</v>
      </c>
      <c r="Y24" s="17">
        <v>15.5</v>
      </c>
      <c r="Z24" s="17">
        <v>11.1</v>
      </c>
      <c r="AA24" s="17">
        <v>26.7</v>
      </c>
      <c r="AB24" s="17">
        <v>2.8</v>
      </c>
      <c r="AC24" s="17">
        <v>28.4</v>
      </c>
      <c r="AD24" s="17">
        <v>623</v>
      </c>
      <c r="AE24" s="17">
        <v>0.3</v>
      </c>
      <c r="AF24" s="17">
        <v>6.4</v>
      </c>
      <c r="AG24" s="17">
        <v>1.6</v>
      </c>
      <c r="AH24" s="17">
        <v>5.5</v>
      </c>
      <c r="AI24" s="17">
        <v>0.8</v>
      </c>
      <c r="AJ24" s="17">
        <v>11</v>
      </c>
      <c r="AK24" s="17">
        <v>0.09</v>
      </c>
      <c r="AL24" s="17">
        <v>11</v>
      </c>
      <c r="AM24" s="17">
        <v>39</v>
      </c>
      <c r="AN24" s="17">
        <v>19</v>
      </c>
      <c r="AO24" s="17">
        <v>19</v>
      </c>
    </row>
    <row r="25" spans="1:41" x14ac:dyDescent="0.25">
      <c r="A25" t="s">
        <v>52</v>
      </c>
      <c r="B25" s="12">
        <v>23</v>
      </c>
      <c r="C25" s="13" t="s">
        <v>82</v>
      </c>
      <c r="D25" s="14">
        <v>76</v>
      </c>
      <c r="E25" s="14">
        <v>8.6999999999999993</v>
      </c>
      <c r="F25" s="14">
        <v>9</v>
      </c>
      <c r="G25" s="14">
        <v>12.9</v>
      </c>
      <c r="H25" s="14">
        <v>145</v>
      </c>
      <c r="I25" s="14">
        <v>2</v>
      </c>
      <c r="J25" s="14">
        <v>0</v>
      </c>
      <c r="K25" s="14">
        <v>0</v>
      </c>
      <c r="L25" s="14">
        <v>0</v>
      </c>
      <c r="M25" s="14">
        <v>0</v>
      </c>
      <c r="N25" s="14">
        <v>616</v>
      </c>
      <c r="O25" s="14">
        <v>129</v>
      </c>
      <c r="P25" s="14">
        <v>2.1</v>
      </c>
      <c r="Q25" s="14">
        <v>0.9</v>
      </c>
      <c r="R25" s="14">
        <v>0.3</v>
      </c>
      <c r="S25" s="14">
        <v>0.9</v>
      </c>
      <c r="T25" s="14">
        <v>1.2</v>
      </c>
      <c r="U25" s="14">
        <v>1.1000000000000001</v>
      </c>
      <c r="V25" s="14">
        <v>2.5</v>
      </c>
      <c r="W25" s="14">
        <v>1.6</v>
      </c>
      <c r="X25" s="14">
        <v>0.7</v>
      </c>
      <c r="Y25" s="14">
        <v>0.3</v>
      </c>
      <c r="Z25" s="14">
        <v>0.7</v>
      </c>
      <c r="AA25" s="14">
        <v>0.9</v>
      </c>
      <c r="AB25" s="14">
        <v>0.8</v>
      </c>
      <c r="AC25" s="14">
        <v>1.9</v>
      </c>
      <c r="AD25" s="14">
        <v>75</v>
      </c>
      <c r="AE25" s="14">
        <v>5.4</v>
      </c>
      <c r="AF25" s="14">
        <v>0.4</v>
      </c>
      <c r="AG25" s="14">
        <v>0.3</v>
      </c>
      <c r="AH25" s="14">
        <v>28</v>
      </c>
      <c r="AI25" s="14">
        <v>4.0999999999999996</v>
      </c>
      <c r="AJ25" s="14">
        <v>17</v>
      </c>
      <c r="AK25" s="14">
        <v>0.1</v>
      </c>
      <c r="AL25" s="14">
        <v>4.0999999999999996</v>
      </c>
      <c r="AM25" s="14">
        <v>16</v>
      </c>
      <c r="AN25" s="14">
        <v>20</v>
      </c>
      <c r="AO25" s="14">
        <v>20</v>
      </c>
    </row>
    <row r="26" spans="1:41" x14ac:dyDescent="0.25">
      <c r="B26" s="15">
        <v>24</v>
      </c>
      <c r="C26" s="16" t="s">
        <v>83</v>
      </c>
      <c r="D26" s="17">
        <v>74</v>
      </c>
      <c r="E26" s="17">
        <v>8.6999999999999993</v>
      </c>
      <c r="F26" s="17">
        <v>9</v>
      </c>
      <c r="G26" s="17">
        <v>12.9</v>
      </c>
      <c r="H26" s="17">
        <v>55</v>
      </c>
      <c r="I26" s="17">
        <v>15</v>
      </c>
      <c r="J26" s="17">
        <v>0</v>
      </c>
      <c r="K26" s="17">
        <v>0</v>
      </c>
      <c r="L26" s="17">
        <v>0</v>
      </c>
      <c r="M26" s="17">
        <v>0</v>
      </c>
      <c r="N26" s="17">
        <v>640</v>
      </c>
      <c r="O26" s="17">
        <v>140</v>
      </c>
      <c r="P26" s="17">
        <v>0.2</v>
      </c>
      <c r="Q26" s="17">
        <v>0.8</v>
      </c>
      <c r="R26" s="17">
        <v>0.2</v>
      </c>
      <c r="S26" s="17">
        <v>0.5</v>
      </c>
      <c r="T26" s="17">
        <v>0.7</v>
      </c>
      <c r="U26" s="17">
        <v>0.1</v>
      </c>
      <c r="V26" s="17">
        <v>1.7</v>
      </c>
      <c r="W26" s="17">
        <v>0.2</v>
      </c>
      <c r="X26" s="17">
        <v>0.6</v>
      </c>
      <c r="Y26" s="17">
        <v>0.2</v>
      </c>
      <c r="Z26" s="17">
        <v>0.4</v>
      </c>
      <c r="AA26" s="17">
        <v>0.6</v>
      </c>
      <c r="AB26" s="17">
        <v>0.1</v>
      </c>
      <c r="AC26" s="17">
        <v>1.3</v>
      </c>
      <c r="AD26" s="17">
        <v>25</v>
      </c>
      <c r="AE26" s="17">
        <v>5.4</v>
      </c>
      <c r="AF26" s="17">
        <v>0.7</v>
      </c>
      <c r="AG26" s="17">
        <v>4</v>
      </c>
      <c r="AH26" s="17">
        <v>49</v>
      </c>
      <c r="AI26" s="17">
        <v>2.2999999999999998</v>
      </c>
      <c r="AJ26" s="17">
        <v>13</v>
      </c>
      <c r="AK26" s="17">
        <v>0.4</v>
      </c>
      <c r="AL26" s="17">
        <v>4.5999999999999996</v>
      </c>
      <c r="AM26" s="17">
        <v>8</v>
      </c>
      <c r="AN26" s="17">
        <v>20</v>
      </c>
      <c r="AO26" s="17">
        <v>20</v>
      </c>
    </row>
    <row r="27" spans="1:41" x14ac:dyDescent="0.25">
      <c r="B27" s="12">
        <v>25</v>
      </c>
      <c r="C27" s="13" t="s">
        <v>84</v>
      </c>
      <c r="D27" s="14">
        <v>99.5</v>
      </c>
      <c r="E27" s="14">
        <v>17.399999999999999</v>
      </c>
      <c r="F27" s="14">
        <v>17.399999999999999</v>
      </c>
      <c r="G27" s="14">
        <v>10.9</v>
      </c>
      <c r="H27" s="14">
        <v>587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995</v>
      </c>
      <c r="S27" s="14">
        <v>0</v>
      </c>
      <c r="T27" s="14">
        <v>995</v>
      </c>
      <c r="U27" s="14">
        <v>0</v>
      </c>
      <c r="V27" s="14">
        <v>0</v>
      </c>
      <c r="W27" s="14">
        <v>0</v>
      </c>
      <c r="X27" s="14">
        <v>0</v>
      </c>
      <c r="Y27" s="14">
        <v>995</v>
      </c>
      <c r="Z27" s="14">
        <v>0</v>
      </c>
      <c r="AA27" s="14">
        <v>995</v>
      </c>
      <c r="AB27" s="14">
        <v>0</v>
      </c>
      <c r="AC27" s="14">
        <v>0</v>
      </c>
      <c r="AD27" s="14">
        <v>587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</row>
    <row r="28" spans="1:41" x14ac:dyDescent="0.25">
      <c r="B28" s="15">
        <v>26</v>
      </c>
      <c r="C28" s="16" t="s">
        <v>85</v>
      </c>
      <c r="D28" s="17">
        <v>88</v>
      </c>
      <c r="E28" s="17">
        <v>17.399999999999999</v>
      </c>
      <c r="F28" s="17">
        <v>17.399999999999999</v>
      </c>
      <c r="G28" s="17">
        <v>10.9</v>
      </c>
      <c r="H28" s="17">
        <v>587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870</v>
      </c>
      <c r="S28" s="17">
        <v>0</v>
      </c>
      <c r="T28" s="17">
        <v>870</v>
      </c>
      <c r="U28" s="17">
        <v>0</v>
      </c>
      <c r="V28" s="17">
        <v>0</v>
      </c>
      <c r="W28" s="17">
        <v>0</v>
      </c>
      <c r="X28" s="17">
        <v>0</v>
      </c>
      <c r="Y28" s="17">
        <v>653</v>
      </c>
      <c r="Z28" s="17">
        <v>0</v>
      </c>
      <c r="AA28" s="17">
        <v>653</v>
      </c>
      <c r="AB28" s="17">
        <v>0</v>
      </c>
      <c r="AC28" s="17">
        <v>0</v>
      </c>
      <c r="AD28" s="17">
        <v>587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</row>
    <row r="29" spans="1:41" x14ac:dyDescent="0.25">
      <c r="B29" s="12">
        <v>27</v>
      </c>
      <c r="C29" s="13" t="s">
        <v>86</v>
      </c>
      <c r="D29" s="14">
        <v>100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1000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195</v>
      </c>
      <c r="AF29" s="14">
        <v>230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83</v>
      </c>
      <c r="AO29" s="14">
        <v>83</v>
      </c>
    </row>
    <row r="30" spans="1:41" x14ac:dyDescent="0.25">
      <c r="A30" t="s">
        <v>314</v>
      </c>
      <c r="B30" s="15">
        <v>28</v>
      </c>
      <c r="C30" s="16" t="s">
        <v>87</v>
      </c>
      <c r="D30" s="17">
        <v>100</v>
      </c>
      <c r="E30" s="17">
        <v>29.8</v>
      </c>
      <c r="F30" s="17">
        <v>29.8</v>
      </c>
      <c r="G30" s="17">
        <v>34</v>
      </c>
      <c r="H30" s="17">
        <v>0</v>
      </c>
      <c r="I30" s="17">
        <v>1000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</row>
    <row r="31" spans="1:41" x14ac:dyDescent="0.25">
      <c r="A31" t="s">
        <v>47</v>
      </c>
      <c r="B31" s="12">
        <v>29</v>
      </c>
      <c r="C31" s="13" t="s">
        <v>88</v>
      </c>
      <c r="D31" s="14">
        <v>91</v>
      </c>
      <c r="E31" s="14">
        <v>5.4</v>
      </c>
      <c r="F31" s="14">
        <v>6.2</v>
      </c>
      <c r="G31" s="14"/>
      <c r="H31" s="14">
        <v>163</v>
      </c>
      <c r="I31" s="14">
        <v>94</v>
      </c>
      <c r="J31" s="14">
        <v>62</v>
      </c>
      <c r="K31" s="14">
        <v>726</v>
      </c>
      <c r="L31" s="14">
        <v>445</v>
      </c>
      <c r="M31" s="14">
        <v>0</v>
      </c>
      <c r="N31" s="14">
        <v>22</v>
      </c>
      <c r="O31" s="14">
        <v>46</v>
      </c>
      <c r="P31" s="14">
        <v>4.5</v>
      </c>
      <c r="Q31" s="14">
        <v>4.9000000000000004</v>
      </c>
      <c r="R31" s="14">
        <v>2.9</v>
      </c>
      <c r="S31" s="14">
        <v>1.8</v>
      </c>
      <c r="T31" s="14">
        <v>4.7</v>
      </c>
      <c r="U31" s="14">
        <v>1.1000000000000001</v>
      </c>
      <c r="V31" s="14">
        <v>8.1</v>
      </c>
      <c r="W31" s="14">
        <v>1.7</v>
      </c>
      <c r="X31" s="14">
        <v>2.5</v>
      </c>
      <c r="Y31" s="14">
        <v>2</v>
      </c>
      <c r="Z31" s="14">
        <v>0.8</v>
      </c>
      <c r="AA31" s="14">
        <v>2.8</v>
      </c>
      <c r="AB31" s="14">
        <v>0.6</v>
      </c>
      <c r="AC31" s="14">
        <v>5.3</v>
      </c>
      <c r="AD31" s="14">
        <v>88</v>
      </c>
      <c r="AE31" s="14">
        <v>4.2</v>
      </c>
      <c r="AF31" s="14">
        <v>6.4</v>
      </c>
      <c r="AG31" s="14">
        <v>3.3</v>
      </c>
      <c r="AH31" s="14">
        <v>7.5</v>
      </c>
      <c r="AI31" s="14">
        <v>0.1</v>
      </c>
      <c r="AJ31" s="14">
        <v>260</v>
      </c>
      <c r="AK31" s="14"/>
      <c r="AL31" s="14">
        <v>25</v>
      </c>
      <c r="AM31" s="14">
        <v>47</v>
      </c>
      <c r="AN31" s="14">
        <v>31</v>
      </c>
      <c r="AO31" s="14">
        <v>31</v>
      </c>
    </row>
    <row r="32" spans="1:41" x14ac:dyDescent="0.25">
      <c r="B32" s="15">
        <v>30</v>
      </c>
      <c r="C32" s="16" t="s">
        <v>89</v>
      </c>
      <c r="D32" s="17">
        <v>16.5</v>
      </c>
      <c r="E32" s="17">
        <v>11.9</v>
      </c>
      <c r="F32" s="17">
        <v>11.7</v>
      </c>
      <c r="G32" s="17">
        <v>14.1</v>
      </c>
      <c r="H32" s="17">
        <v>29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880</v>
      </c>
      <c r="O32" s="17">
        <v>90</v>
      </c>
      <c r="P32" s="17">
        <v>2.1</v>
      </c>
      <c r="Q32" s="17">
        <v>1.7</v>
      </c>
      <c r="R32" s="17">
        <v>0.5</v>
      </c>
      <c r="S32" s="17">
        <v>0.5</v>
      </c>
      <c r="T32" s="17">
        <v>1</v>
      </c>
      <c r="U32" s="17">
        <v>0.4</v>
      </c>
      <c r="V32" s="17">
        <v>1.5</v>
      </c>
      <c r="W32" s="17">
        <v>1.9</v>
      </c>
      <c r="X32" s="17">
        <v>1.4</v>
      </c>
      <c r="Y32" s="17">
        <v>0.4</v>
      </c>
      <c r="Z32" s="17">
        <v>0.4</v>
      </c>
      <c r="AA32" s="17">
        <v>0.9</v>
      </c>
      <c r="AB32" s="17">
        <v>0.3</v>
      </c>
      <c r="AC32" s="17">
        <v>1.3</v>
      </c>
      <c r="AD32" s="17">
        <v>23</v>
      </c>
      <c r="AE32" s="17">
        <v>7</v>
      </c>
      <c r="AF32" s="17">
        <v>7</v>
      </c>
      <c r="AG32" s="17">
        <v>1</v>
      </c>
      <c r="AH32" s="17">
        <v>25</v>
      </c>
      <c r="AI32" s="17">
        <v>9</v>
      </c>
      <c r="AJ32" s="17"/>
      <c r="AK32" s="17"/>
      <c r="AL32" s="17"/>
      <c r="AM32" s="17"/>
      <c r="AN32" s="17">
        <v>90</v>
      </c>
      <c r="AO32" s="17">
        <v>90</v>
      </c>
    </row>
    <row r="33" spans="1:41" x14ac:dyDescent="0.25">
      <c r="A33" t="s">
        <v>56</v>
      </c>
      <c r="B33" s="12">
        <v>31</v>
      </c>
      <c r="C33" s="13" t="s">
        <v>90</v>
      </c>
      <c r="D33" s="14">
        <v>92</v>
      </c>
      <c r="E33" s="14">
        <v>11.1</v>
      </c>
      <c r="F33" s="14">
        <v>11.3</v>
      </c>
      <c r="G33" s="14">
        <v>17.100000000000001</v>
      </c>
      <c r="H33" s="14">
        <v>841</v>
      </c>
      <c r="I33" s="14">
        <v>10</v>
      </c>
      <c r="J33" s="14">
        <v>9</v>
      </c>
      <c r="K33" s="14">
        <v>65</v>
      </c>
      <c r="L33" s="14">
        <v>19</v>
      </c>
      <c r="M33" s="14">
        <v>7</v>
      </c>
      <c r="N33" s="14">
        <v>10</v>
      </c>
      <c r="O33" s="14">
        <v>28</v>
      </c>
      <c r="P33" s="14">
        <v>63.8</v>
      </c>
      <c r="Q33" s="14">
        <v>46.7</v>
      </c>
      <c r="R33" s="14">
        <v>18.8</v>
      </c>
      <c r="S33" s="14">
        <v>11.2</v>
      </c>
      <c r="T33" s="14">
        <v>30</v>
      </c>
      <c r="U33" s="14">
        <v>10.3</v>
      </c>
      <c r="V33" s="14">
        <v>55.5</v>
      </c>
      <c r="W33" s="14">
        <v>56.8</v>
      </c>
      <c r="X33" s="14">
        <v>42</v>
      </c>
      <c r="Y33" s="14">
        <v>17.100000000000001</v>
      </c>
      <c r="Z33" s="14">
        <v>8.6999999999999993</v>
      </c>
      <c r="AA33" s="14">
        <v>25.8</v>
      </c>
      <c r="AB33" s="14">
        <v>7.7</v>
      </c>
      <c r="AC33" s="14">
        <v>49.4</v>
      </c>
      <c r="AD33" s="14">
        <v>732</v>
      </c>
      <c r="AE33" s="14">
        <v>0.5</v>
      </c>
      <c r="AF33" s="14">
        <v>4.3</v>
      </c>
      <c r="AG33" s="14">
        <v>0.5</v>
      </c>
      <c r="AH33" s="14">
        <v>7.4</v>
      </c>
      <c r="AI33" s="14">
        <v>0.3</v>
      </c>
      <c r="AJ33" s="14">
        <v>4</v>
      </c>
      <c r="AK33" s="14"/>
      <c r="AL33" s="14">
        <v>11</v>
      </c>
      <c r="AM33" s="14">
        <v>21</v>
      </c>
      <c r="AN33" s="14">
        <v>20</v>
      </c>
      <c r="AO33" s="14">
        <v>20</v>
      </c>
    </row>
    <row r="34" spans="1:41" x14ac:dyDescent="0.25">
      <c r="B34" s="15">
        <v>32</v>
      </c>
      <c r="C34" s="16" t="s">
        <v>91</v>
      </c>
      <c r="D34" s="17">
        <v>18</v>
      </c>
      <c r="E34" s="17">
        <v>10.5</v>
      </c>
      <c r="F34" s="17">
        <v>10.8</v>
      </c>
      <c r="G34" s="17">
        <v>14.4</v>
      </c>
      <c r="H34" s="17">
        <v>127</v>
      </c>
      <c r="I34" s="17">
        <v>13</v>
      </c>
      <c r="J34" s="17">
        <v>47</v>
      </c>
      <c r="K34" s="17">
        <v>116</v>
      </c>
      <c r="L34" s="17">
        <v>60</v>
      </c>
      <c r="M34" s="17">
        <v>470</v>
      </c>
      <c r="N34" s="17">
        <v>21</v>
      </c>
      <c r="O34" s="17">
        <v>71</v>
      </c>
      <c r="P34" s="17">
        <v>6.6</v>
      </c>
      <c r="Q34" s="17">
        <v>5.0999999999999996</v>
      </c>
      <c r="R34" s="17">
        <v>2</v>
      </c>
      <c r="S34" s="17">
        <v>1.7</v>
      </c>
      <c r="T34" s="17">
        <v>3.7</v>
      </c>
      <c r="U34" s="17">
        <v>1.2</v>
      </c>
      <c r="V34" s="17">
        <v>6.6</v>
      </c>
      <c r="W34" s="17">
        <v>5.0999999999999996</v>
      </c>
      <c r="X34" s="17">
        <v>3.9</v>
      </c>
      <c r="Y34" s="17">
        <v>1.7</v>
      </c>
      <c r="Z34" s="17">
        <v>1.2</v>
      </c>
      <c r="AA34" s="17">
        <v>2.9</v>
      </c>
      <c r="AB34" s="17">
        <v>0.9</v>
      </c>
      <c r="AC34" s="17">
        <v>5.0999999999999996</v>
      </c>
      <c r="AD34" s="17">
        <v>96</v>
      </c>
      <c r="AE34" s="17">
        <v>1.9</v>
      </c>
      <c r="AF34" s="17">
        <v>2.2999999999999998</v>
      </c>
      <c r="AG34" s="17"/>
      <c r="AH34" s="17"/>
      <c r="AI34" s="17"/>
      <c r="AJ34" s="17"/>
      <c r="AK34" s="17"/>
      <c r="AL34" s="17"/>
      <c r="AM34" s="17"/>
      <c r="AN34" s="17">
        <v>20</v>
      </c>
      <c r="AO34" s="17">
        <v>20</v>
      </c>
    </row>
    <row r="35" spans="1:41" x14ac:dyDescent="0.25">
      <c r="A35" t="s">
        <v>35</v>
      </c>
      <c r="B35" s="12">
        <v>33</v>
      </c>
      <c r="C35" s="13" t="s">
        <v>92</v>
      </c>
      <c r="D35" s="14">
        <v>92</v>
      </c>
      <c r="E35" s="14">
        <v>18</v>
      </c>
      <c r="F35" s="14">
        <v>18.5</v>
      </c>
      <c r="G35" s="14">
        <v>22.1</v>
      </c>
      <c r="H35" s="14">
        <v>207</v>
      </c>
      <c r="I35" s="14">
        <v>455</v>
      </c>
      <c r="J35" s="14">
        <v>89</v>
      </c>
      <c r="K35" s="14">
        <v>190</v>
      </c>
      <c r="L35" s="14">
        <v>134</v>
      </c>
      <c r="M35" s="14">
        <v>0</v>
      </c>
      <c r="N35" s="14">
        <v>55</v>
      </c>
      <c r="O35" s="14">
        <v>43</v>
      </c>
      <c r="P35" s="14">
        <v>12.9</v>
      </c>
      <c r="Q35" s="14">
        <v>9.9</v>
      </c>
      <c r="R35" s="14">
        <v>4.5</v>
      </c>
      <c r="S35" s="14">
        <v>5.0999999999999996</v>
      </c>
      <c r="T35" s="14">
        <v>9.6</v>
      </c>
      <c r="U35" s="14">
        <v>2.7</v>
      </c>
      <c r="V35" s="14">
        <v>10.8</v>
      </c>
      <c r="W35" s="14">
        <v>10.1</v>
      </c>
      <c r="X35" s="14">
        <v>7</v>
      </c>
      <c r="Y35" s="14">
        <v>3.6</v>
      </c>
      <c r="Z35" s="14">
        <v>4.0999999999999996</v>
      </c>
      <c r="AA35" s="14">
        <v>7.7</v>
      </c>
      <c r="AB35" s="14">
        <v>2</v>
      </c>
      <c r="AC35" s="14">
        <v>7.6</v>
      </c>
      <c r="AD35" s="14">
        <v>149</v>
      </c>
      <c r="AE35" s="14">
        <v>5.8</v>
      </c>
      <c r="AF35" s="14">
        <v>7.6</v>
      </c>
      <c r="AG35" s="14">
        <v>3.5</v>
      </c>
      <c r="AH35" s="14">
        <v>10</v>
      </c>
      <c r="AI35" s="14">
        <v>0.2</v>
      </c>
      <c r="AJ35" s="14">
        <v>42</v>
      </c>
      <c r="AK35" s="14"/>
      <c r="AL35" s="14">
        <v>4.0999999999999996</v>
      </c>
      <c r="AM35" s="14">
        <v>42</v>
      </c>
      <c r="AN35" s="14">
        <v>30</v>
      </c>
      <c r="AO35" s="14">
        <v>30</v>
      </c>
    </row>
    <row r="36" spans="1:41" x14ac:dyDescent="0.25">
      <c r="B36" s="15">
        <v>34</v>
      </c>
      <c r="C36" s="16" t="s">
        <v>93</v>
      </c>
      <c r="D36" s="17">
        <v>89</v>
      </c>
      <c r="E36" s="17">
        <v>9.6999999999999993</v>
      </c>
      <c r="F36" s="17">
        <v>10.199999999999999</v>
      </c>
      <c r="G36" s="17">
        <v>14.3</v>
      </c>
      <c r="H36" s="17">
        <v>331</v>
      </c>
      <c r="I36" s="17">
        <v>164</v>
      </c>
      <c r="J36" s="17">
        <v>122</v>
      </c>
      <c r="K36" s="17">
        <v>275</v>
      </c>
      <c r="L36" s="17">
        <v>192</v>
      </c>
      <c r="M36" s="17">
        <v>0</v>
      </c>
      <c r="N36" s="17">
        <v>77</v>
      </c>
      <c r="O36" s="17">
        <v>68</v>
      </c>
      <c r="P36" s="17">
        <v>17.7</v>
      </c>
      <c r="Q36" s="17">
        <v>14.2</v>
      </c>
      <c r="R36" s="17">
        <v>6.8</v>
      </c>
      <c r="S36" s="17">
        <v>8</v>
      </c>
      <c r="T36" s="17">
        <v>14.8</v>
      </c>
      <c r="U36" s="17">
        <v>4</v>
      </c>
      <c r="V36" s="17">
        <v>16.7</v>
      </c>
      <c r="W36" s="17">
        <v>13.3</v>
      </c>
      <c r="X36" s="17">
        <v>10.7</v>
      </c>
      <c r="Y36" s="17">
        <v>5.9</v>
      </c>
      <c r="Z36" s="17">
        <v>6.5</v>
      </c>
      <c r="AA36" s="17">
        <v>12.4</v>
      </c>
      <c r="AB36" s="17">
        <v>3.2</v>
      </c>
      <c r="AC36" s="17">
        <v>12.9</v>
      </c>
      <c r="AD36" s="17">
        <v>258</v>
      </c>
      <c r="AE36" s="17">
        <v>8.1</v>
      </c>
      <c r="AF36" s="17">
        <v>12</v>
      </c>
      <c r="AG36" s="17">
        <v>4.7</v>
      </c>
      <c r="AH36" s="17">
        <v>13.5</v>
      </c>
      <c r="AI36" s="17">
        <v>0.1</v>
      </c>
      <c r="AJ36" s="17">
        <v>61</v>
      </c>
      <c r="AK36" s="17"/>
      <c r="AL36" s="17">
        <v>7.3</v>
      </c>
      <c r="AM36" s="17">
        <v>59</v>
      </c>
      <c r="AN36" s="17">
        <v>32</v>
      </c>
      <c r="AO36" s="17">
        <v>32</v>
      </c>
    </row>
    <row r="37" spans="1:41" x14ac:dyDescent="0.25">
      <c r="B37" s="12">
        <v>35</v>
      </c>
      <c r="C37" s="13" t="s">
        <v>94</v>
      </c>
      <c r="D37" s="14">
        <v>89</v>
      </c>
      <c r="E37" s="14">
        <v>10.5</v>
      </c>
      <c r="F37" s="14">
        <v>11</v>
      </c>
      <c r="G37" s="14">
        <v>15.1</v>
      </c>
      <c r="H37" s="14">
        <v>276</v>
      </c>
      <c r="I37" s="14">
        <v>200</v>
      </c>
      <c r="J37" s="14">
        <v>62</v>
      </c>
      <c r="K37" s="14">
        <v>254</v>
      </c>
      <c r="L37" s="14">
        <v>180</v>
      </c>
      <c r="M37" s="14">
        <v>0</v>
      </c>
      <c r="N37" s="14">
        <v>74</v>
      </c>
      <c r="O37" s="14">
        <v>58</v>
      </c>
      <c r="P37" s="14">
        <v>14.8</v>
      </c>
      <c r="Q37" s="14">
        <v>11.8</v>
      </c>
      <c r="R37" s="14">
        <v>5.7</v>
      </c>
      <c r="S37" s="14">
        <v>6.7</v>
      </c>
      <c r="T37" s="14">
        <v>12.4</v>
      </c>
      <c r="U37" s="14">
        <v>3.3</v>
      </c>
      <c r="V37" s="14">
        <v>14</v>
      </c>
      <c r="W37" s="14">
        <v>11.1</v>
      </c>
      <c r="X37" s="14">
        <v>8.9</v>
      </c>
      <c r="Y37" s="14">
        <v>4.9000000000000004</v>
      </c>
      <c r="Z37" s="14">
        <v>5.4</v>
      </c>
      <c r="AA37" s="14">
        <v>10.4</v>
      </c>
      <c r="AB37" s="14">
        <v>2.7</v>
      </c>
      <c r="AC37" s="14">
        <v>10.7</v>
      </c>
      <c r="AD37" s="14">
        <v>215</v>
      </c>
      <c r="AE37" s="14">
        <v>7.8</v>
      </c>
      <c r="AF37" s="14">
        <v>11.5</v>
      </c>
      <c r="AG37" s="14">
        <v>4.5</v>
      </c>
      <c r="AH37" s="14">
        <v>13</v>
      </c>
      <c r="AI37" s="14">
        <v>0.1</v>
      </c>
      <c r="AJ37" s="14">
        <v>59</v>
      </c>
      <c r="AK37" s="14">
        <v>0.11</v>
      </c>
      <c r="AL37" s="14">
        <v>7</v>
      </c>
      <c r="AM37" s="14">
        <v>53</v>
      </c>
      <c r="AN37" s="14">
        <v>32</v>
      </c>
      <c r="AO37" s="14">
        <v>32</v>
      </c>
    </row>
    <row r="38" spans="1:41" x14ac:dyDescent="0.25">
      <c r="A38" t="s">
        <v>36</v>
      </c>
      <c r="B38" s="15">
        <v>36</v>
      </c>
      <c r="C38" s="16" t="s">
        <v>95</v>
      </c>
      <c r="D38" s="17">
        <v>89</v>
      </c>
      <c r="E38" s="17">
        <v>7.1</v>
      </c>
      <c r="F38" s="17">
        <v>7.7</v>
      </c>
      <c r="G38" s="17">
        <v>11.5</v>
      </c>
      <c r="H38" s="17">
        <v>380</v>
      </c>
      <c r="I38" s="17">
        <v>26</v>
      </c>
      <c r="J38" s="17">
        <v>139</v>
      </c>
      <c r="K38" s="17">
        <v>319</v>
      </c>
      <c r="L38" s="17">
        <v>221</v>
      </c>
      <c r="M38" s="17">
        <v>0</v>
      </c>
      <c r="N38" s="17">
        <v>87</v>
      </c>
      <c r="O38" s="17">
        <v>79</v>
      </c>
      <c r="P38" s="17">
        <v>20.3</v>
      </c>
      <c r="Q38" s="17">
        <v>16.3</v>
      </c>
      <c r="R38" s="17">
        <v>7.8</v>
      </c>
      <c r="S38" s="17">
        <v>9.1999999999999993</v>
      </c>
      <c r="T38" s="17">
        <v>17</v>
      </c>
      <c r="U38" s="17">
        <v>4.5999999999999996</v>
      </c>
      <c r="V38" s="17">
        <v>19.2</v>
      </c>
      <c r="W38" s="17">
        <v>15.2</v>
      </c>
      <c r="X38" s="17">
        <v>12.2</v>
      </c>
      <c r="Y38" s="17">
        <v>6.8</v>
      </c>
      <c r="Z38" s="17">
        <v>7.5</v>
      </c>
      <c r="AA38" s="17">
        <v>14.3</v>
      </c>
      <c r="AB38" s="17">
        <v>3.7</v>
      </c>
      <c r="AC38" s="17">
        <v>14.8</v>
      </c>
      <c r="AD38" s="17">
        <v>300</v>
      </c>
      <c r="AE38" s="17">
        <v>9.6</v>
      </c>
      <c r="AF38" s="17">
        <v>12.9</v>
      </c>
      <c r="AG38" s="17">
        <v>5.3</v>
      </c>
      <c r="AH38" s="17">
        <v>15</v>
      </c>
      <c r="AI38" s="17">
        <v>0.4</v>
      </c>
      <c r="AJ38" s="17">
        <v>76</v>
      </c>
      <c r="AK38" s="17">
        <v>0.09</v>
      </c>
      <c r="AL38" s="17">
        <v>6.4</v>
      </c>
      <c r="AM38" s="17">
        <v>73</v>
      </c>
      <c r="AN38" s="17">
        <v>32</v>
      </c>
      <c r="AO38" s="17">
        <v>32</v>
      </c>
    </row>
    <row r="39" spans="1:41" x14ac:dyDescent="0.25">
      <c r="B39" s="12">
        <v>37</v>
      </c>
      <c r="C39" s="13" t="s">
        <v>96</v>
      </c>
      <c r="D39" s="14">
        <v>87</v>
      </c>
      <c r="E39" s="14">
        <v>13.5</v>
      </c>
      <c r="F39" s="14">
        <v>13.5</v>
      </c>
      <c r="G39" s="14">
        <v>15.5</v>
      </c>
      <c r="H39" s="14">
        <v>88</v>
      </c>
      <c r="I39" s="14">
        <v>14</v>
      </c>
      <c r="J39" s="14">
        <v>12</v>
      </c>
      <c r="K39" s="14">
        <v>59</v>
      </c>
      <c r="L39" s="14">
        <v>15</v>
      </c>
      <c r="M39" s="14">
        <v>882</v>
      </c>
      <c r="N39" s="14">
        <v>5</v>
      </c>
      <c r="O39" s="14">
        <v>10</v>
      </c>
      <c r="P39" s="14">
        <v>3.2</v>
      </c>
      <c r="Q39" s="14">
        <v>3</v>
      </c>
      <c r="R39" s="14">
        <v>2.1</v>
      </c>
      <c r="S39" s="14">
        <v>2.1</v>
      </c>
      <c r="T39" s="14">
        <v>4.2</v>
      </c>
      <c r="U39" s="14">
        <v>1</v>
      </c>
      <c r="V39" s="14">
        <v>5.2</v>
      </c>
      <c r="W39" s="14">
        <v>2.5</v>
      </c>
      <c r="X39" s="14">
        <v>2.2999999999999998</v>
      </c>
      <c r="Y39" s="14">
        <v>1.8</v>
      </c>
      <c r="Z39" s="14">
        <v>1.5</v>
      </c>
      <c r="AA39" s="14">
        <v>3.3</v>
      </c>
      <c r="AB39" s="14">
        <v>0.8</v>
      </c>
      <c r="AC39" s="14">
        <v>4</v>
      </c>
      <c r="AD39" s="14">
        <v>79</v>
      </c>
      <c r="AE39" s="14">
        <v>0.5</v>
      </c>
      <c r="AF39" s="14">
        <v>2.2999999999999998</v>
      </c>
      <c r="AG39" s="14">
        <v>1.5</v>
      </c>
      <c r="AH39" s="14">
        <v>2.5</v>
      </c>
      <c r="AI39" s="14">
        <v>0.4</v>
      </c>
      <c r="AJ39" s="14">
        <v>13</v>
      </c>
      <c r="AK39" s="14">
        <v>0.3</v>
      </c>
      <c r="AL39" s="14">
        <v>24</v>
      </c>
      <c r="AM39" s="14">
        <v>19</v>
      </c>
      <c r="AN39" s="14">
        <v>20</v>
      </c>
      <c r="AO39" s="14">
        <v>20</v>
      </c>
    </row>
    <row r="40" spans="1:41" x14ac:dyDescent="0.25">
      <c r="A40" t="s">
        <v>317</v>
      </c>
      <c r="B40" s="15">
        <v>38</v>
      </c>
      <c r="C40" s="16" t="s">
        <v>97</v>
      </c>
      <c r="D40" s="17">
        <v>87</v>
      </c>
      <c r="E40" s="17">
        <v>11.3</v>
      </c>
      <c r="F40" s="17">
        <v>11.5</v>
      </c>
      <c r="G40" s="17">
        <v>14.8</v>
      </c>
      <c r="H40" s="17">
        <v>103</v>
      </c>
      <c r="I40" s="17">
        <v>14</v>
      </c>
      <c r="J40" s="17">
        <v>22</v>
      </c>
      <c r="K40" s="17">
        <v>161</v>
      </c>
      <c r="L40" s="17">
        <v>36</v>
      </c>
      <c r="M40" s="17">
        <v>616</v>
      </c>
      <c r="N40" s="17">
        <v>36</v>
      </c>
      <c r="O40" s="17">
        <v>21</v>
      </c>
      <c r="P40" s="17">
        <v>4</v>
      </c>
      <c r="Q40" s="17">
        <v>3.5</v>
      </c>
      <c r="R40" s="17">
        <v>1.6</v>
      </c>
      <c r="S40" s="17">
        <v>2.2999999999999998</v>
      </c>
      <c r="T40" s="17">
        <v>4</v>
      </c>
      <c r="U40" s="17">
        <v>1</v>
      </c>
      <c r="V40" s="17">
        <v>5</v>
      </c>
      <c r="W40" s="17">
        <v>2.9</v>
      </c>
      <c r="X40" s="17">
        <v>2.5</v>
      </c>
      <c r="Y40" s="17">
        <v>1.3</v>
      </c>
      <c r="Z40" s="17">
        <v>1.9</v>
      </c>
      <c r="AA40" s="17">
        <v>3.3</v>
      </c>
      <c r="AB40" s="17">
        <v>0.8</v>
      </c>
      <c r="AC40" s="17">
        <v>3.8</v>
      </c>
      <c r="AD40" s="17">
        <v>79</v>
      </c>
      <c r="AE40" s="17">
        <v>0.5</v>
      </c>
      <c r="AF40" s="17">
        <v>3.2</v>
      </c>
      <c r="AG40" s="17">
        <v>1.1000000000000001</v>
      </c>
      <c r="AH40" s="17">
        <v>5.6</v>
      </c>
      <c r="AI40" s="17">
        <v>0.4</v>
      </c>
      <c r="AJ40" s="17">
        <v>28</v>
      </c>
      <c r="AK40" s="17">
        <v>0.03</v>
      </c>
      <c r="AL40" s="17">
        <v>3.5</v>
      </c>
      <c r="AM40" s="17">
        <v>34</v>
      </c>
      <c r="AN40" s="17">
        <v>30</v>
      </c>
      <c r="AO40" s="17">
        <v>50</v>
      </c>
    </row>
    <row r="41" spans="1:41" x14ac:dyDescent="0.25">
      <c r="A41" t="s">
        <v>39</v>
      </c>
      <c r="B41" s="12">
        <v>39</v>
      </c>
      <c r="C41" s="13" t="s">
        <v>98</v>
      </c>
      <c r="D41" s="14">
        <v>87</v>
      </c>
      <c r="E41" s="14">
        <v>11.9</v>
      </c>
      <c r="F41" s="14">
        <v>12</v>
      </c>
      <c r="G41" s="14">
        <v>14.9</v>
      </c>
      <c r="H41" s="14">
        <v>110</v>
      </c>
      <c r="I41" s="14">
        <v>15</v>
      </c>
      <c r="J41" s="14">
        <v>27</v>
      </c>
      <c r="K41" s="14">
        <v>146</v>
      </c>
      <c r="L41" s="14">
        <v>37</v>
      </c>
      <c r="M41" s="14">
        <v>686</v>
      </c>
      <c r="N41" s="14">
        <v>31</v>
      </c>
      <c r="O41" s="14">
        <v>22</v>
      </c>
      <c r="P41" s="14">
        <v>4.5</v>
      </c>
      <c r="Q41" s="14">
        <v>3.7</v>
      </c>
      <c r="R41" s="14">
        <v>2</v>
      </c>
      <c r="S41" s="14">
        <v>2.9</v>
      </c>
      <c r="T41" s="14">
        <v>4.9000000000000004</v>
      </c>
      <c r="U41" s="14">
        <v>1.4</v>
      </c>
      <c r="V41" s="14">
        <v>5.4</v>
      </c>
      <c r="W41" s="14">
        <v>3.7</v>
      </c>
      <c r="X41" s="14">
        <v>3</v>
      </c>
      <c r="Y41" s="14">
        <v>1.8</v>
      </c>
      <c r="Z41" s="14">
        <v>2.6</v>
      </c>
      <c r="AA41" s="14">
        <v>4.5</v>
      </c>
      <c r="AB41" s="14">
        <v>1.2</v>
      </c>
      <c r="AC41" s="14">
        <v>4.5999999999999996</v>
      </c>
      <c r="AD41" s="14">
        <v>96</v>
      </c>
      <c r="AE41" s="14">
        <v>0.5</v>
      </c>
      <c r="AF41" s="14">
        <v>3.6</v>
      </c>
      <c r="AG41" s="14">
        <v>1.2</v>
      </c>
      <c r="AH41" s="14">
        <v>6.2</v>
      </c>
      <c r="AI41" s="14">
        <v>0.3</v>
      </c>
      <c r="AJ41" s="14">
        <v>28</v>
      </c>
      <c r="AK41" s="14"/>
      <c r="AL41" s="14">
        <v>4</v>
      </c>
      <c r="AM41" s="14">
        <v>37</v>
      </c>
      <c r="AN41" s="14">
        <v>30</v>
      </c>
      <c r="AO41" s="14">
        <v>48</v>
      </c>
    </row>
    <row r="42" spans="1:41" x14ac:dyDescent="0.25">
      <c r="B42" s="15">
        <v>40</v>
      </c>
      <c r="C42" s="16" t="s">
        <v>99</v>
      </c>
      <c r="D42" s="17">
        <v>100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1000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393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</row>
    <row r="43" spans="1:41" x14ac:dyDescent="0.25">
      <c r="B43" s="12">
        <v>41</v>
      </c>
      <c r="C43" s="13" t="s">
        <v>100</v>
      </c>
      <c r="D43" s="14">
        <v>95</v>
      </c>
      <c r="E43" s="14">
        <v>12</v>
      </c>
      <c r="F43" s="14">
        <v>11.9</v>
      </c>
      <c r="G43" s="14">
        <v>16</v>
      </c>
      <c r="H43" s="14">
        <v>360</v>
      </c>
      <c r="I43" s="14">
        <v>17</v>
      </c>
      <c r="J43" s="14">
        <v>0</v>
      </c>
      <c r="K43" s="14">
        <v>0</v>
      </c>
      <c r="L43" s="14">
        <v>0</v>
      </c>
      <c r="M43" s="14">
        <v>0</v>
      </c>
      <c r="N43" s="14">
        <v>505</v>
      </c>
      <c r="O43" s="14">
        <v>86</v>
      </c>
      <c r="P43" s="14">
        <v>28.3</v>
      </c>
      <c r="Q43" s="14">
        <v>15.7</v>
      </c>
      <c r="R43" s="14">
        <v>10.199999999999999</v>
      </c>
      <c r="S43" s="14">
        <v>2.8</v>
      </c>
      <c r="T43" s="14">
        <v>13.1</v>
      </c>
      <c r="U43" s="14">
        <v>4.7</v>
      </c>
      <c r="V43" s="14">
        <v>22.2</v>
      </c>
      <c r="W43" s="14">
        <v>27.5</v>
      </c>
      <c r="X43" s="14">
        <v>14.3</v>
      </c>
      <c r="Y43" s="14">
        <v>9.9</v>
      </c>
      <c r="Z43" s="14">
        <v>2.4</v>
      </c>
      <c r="AA43" s="14">
        <v>12.3</v>
      </c>
      <c r="AB43" s="14">
        <v>3.6</v>
      </c>
      <c r="AC43" s="14">
        <v>19.8</v>
      </c>
      <c r="AD43" s="14">
        <v>320</v>
      </c>
      <c r="AE43" s="14">
        <v>13.7</v>
      </c>
      <c r="AF43" s="14">
        <v>10.199999999999999</v>
      </c>
      <c r="AG43" s="14">
        <v>1.2</v>
      </c>
      <c r="AH43" s="14">
        <v>14</v>
      </c>
      <c r="AI43" s="14">
        <v>5.6</v>
      </c>
      <c r="AJ43" s="14">
        <v>2</v>
      </c>
      <c r="AK43" s="14">
        <v>0.1</v>
      </c>
      <c r="AL43" s="14">
        <v>3</v>
      </c>
      <c r="AM43" s="14">
        <v>44</v>
      </c>
      <c r="AN43" s="14">
        <v>90</v>
      </c>
      <c r="AO43" s="14">
        <v>90</v>
      </c>
    </row>
    <row r="44" spans="1:41" x14ac:dyDescent="0.25">
      <c r="B44" s="15">
        <v>42</v>
      </c>
      <c r="C44" s="16" t="s">
        <v>101</v>
      </c>
      <c r="D44" s="17">
        <v>88</v>
      </c>
      <c r="E44" s="17">
        <v>9.1999999999999993</v>
      </c>
      <c r="F44" s="17">
        <v>9.9</v>
      </c>
      <c r="G44" s="17">
        <v>14.5</v>
      </c>
      <c r="H44" s="17">
        <v>494</v>
      </c>
      <c r="I44" s="17">
        <v>19</v>
      </c>
      <c r="J44" s="17">
        <v>70</v>
      </c>
      <c r="K44" s="17">
        <v>142</v>
      </c>
      <c r="L44" s="17">
        <v>85</v>
      </c>
      <c r="M44" s="17">
        <v>0</v>
      </c>
      <c r="N44" s="17">
        <v>97</v>
      </c>
      <c r="O44" s="17">
        <v>74</v>
      </c>
      <c r="P44" s="17">
        <v>30.3</v>
      </c>
      <c r="Q44" s="17">
        <v>19.3</v>
      </c>
      <c r="R44" s="17">
        <v>7.1</v>
      </c>
      <c r="S44" s="17">
        <v>7.4</v>
      </c>
      <c r="T44" s="17">
        <v>14.4</v>
      </c>
      <c r="U44" s="17">
        <v>6.4</v>
      </c>
      <c r="V44" s="17">
        <v>23.8</v>
      </c>
      <c r="W44" s="17">
        <v>27.3</v>
      </c>
      <c r="X44" s="17">
        <v>16.600000000000001</v>
      </c>
      <c r="Y44" s="17">
        <v>6.5</v>
      </c>
      <c r="Z44" s="17">
        <v>6.4</v>
      </c>
      <c r="AA44" s="17">
        <v>12.8</v>
      </c>
      <c r="AB44" s="17">
        <v>5.7</v>
      </c>
      <c r="AC44" s="17">
        <v>20.9</v>
      </c>
      <c r="AD44" s="17">
        <v>430</v>
      </c>
      <c r="AE44" s="17">
        <v>3.9</v>
      </c>
      <c r="AF44" s="17">
        <v>7.1</v>
      </c>
      <c r="AG44" s="17">
        <v>3.3</v>
      </c>
      <c r="AH44" s="17">
        <v>24</v>
      </c>
      <c r="AI44" s="17">
        <v>0.05</v>
      </c>
      <c r="AJ44" s="17">
        <v>40</v>
      </c>
      <c r="AK44" s="17"/>
      <c r="AL44" s="17"/>
      <c r="AM44" s="17"/>
      <c r="AN44" s="17">
        <v>20</v>
      </c>
      <c r="AO44" s="17">
        <v>20</v>
      </c>
    </row>
    <row r="45" spans="1:41" x14ac:dyDescent="0.25">
      <c r="A45" t="s">
        <v>44</v>
      </c>
      <c r="B45" s="12">
        <v>43</v>
      </c>
      <c r="C45" s="13" t="s">
        <v>102</v>
      </c>
      <c r="D45" s="14">
        <v>88</v>
      </c>
      <c r="E45" s="14">
        <v>9.3000000000000007</v>
      </c>
      <c r="F45" s="14">
        <v>9.9</v>
      </c>
      <c r="G45" s="14">
        <v>14.6</v>
      </c>
      <c r="H45" s="14">
        <v>516</v>
      </c>
      <c r="I45" s="14">
        <v>21</v>
      </c>
      <c r="J45" s="14">
        <v>68</v>
      </c>
      <c r="K45" s="14">
        <v>139</v>
      </c>
      <c r="L45" s="14">
        <v>83</v>
      </c>
      <c r="M45" s="14">
        <v>0</v>
      </c>
      <c r="N45" s="14">
        <v>94</v>
      </c>
      <c r="O45" s="14">
        <v>73</v>
      </c>
      <c r="P45" s="14">
        <v>31.6</v>
      </c>
      <c r="Q45" s="14">
        <v>20.100000000000001</v>
      </c>
      <c r="R45" s="14">
        <v>7.3</v>
      </c>
      <c r="S45" s="14">
        <v>7.6</v>
      </c>
      <c r="T45" s="14">
        <v>14.9</v>
      </c>
      <c r="U45" s="14">
        <v>6.7</v>
      </c>
      <c r="V45" s="14">
        <v>24.9</v>
      </c>
      <c r="W45" s="14">
        <v>28.4</v>
      </c>
      <c r="X45" s="14">
        <v>17.5</v>
      </c>
      <c r="Y45" s="14">
        <v>6.7</v>
      </c>
      <c r="Z45" s="14">
        <v>6.5</v>
      </c>
      <c r="AA45" s="14">
        <v>13.3</v>
      </c>
      <c r="AB45" s="14">
        <v>6</v>
      </c>
      <c r="AC45" s="14">
        <v>21.9</v>
      </c>
      <c r="AD45" s="14">
        <v>454</v>
      </c>
      <c r="AE45" s="14">
        <v>3.9</v>
      </c>
      <c r="AF45" s="14">
        <v>7.1</v>
      </c>
      <c r="AG45" s="14">
        <v>3.3</v>
      </c>
      <c r="AH45" s="14">
        <v>24</v>
      </c>
      <c r="AI45" s="14">
        <v>0.3</v>
      </c>
      <c r="AJ45" s="14">
        <v>43</v>
      </c>
      <c r="AK45" s="14">
        <v>0.22</v>
      </c>
      <c r="AL45" s="14">
        <v>21</v>
      </c>
      <c r="AM45" s="14">
        <v>53</v>
      </c>
      <c r="AN45" s="14">
        <v>32</v>
      </c>
      <c r="AO45" s="14">
        <v>32</v>
      </c>
    </row>
    <row r="46" spans="1:41" x14ac:dyDescent="0.25">
      <c r="B46" s="15">
        <v>44</v>
      </c>
      <c r="C46" s="16" t="s">
        <v>103</v>
      </c>
      <c r="D46" s="17">
        <v>88</v>
      </c>
      <c r="E46" s="17">
        <v>9.6</v>
      </c>
      <c r="F46" s="17">
        <v>10.1</v>
      </c>
      <c r="G46" s="17">
        <v>14.7</v>
      </c>
      <c r="H46" s="17">
        <v>539</v>
      </c>
      <c r="I46" s="17">
        <v>17</v>
      </c>
      <c r="J46" s="17">
        <v>44</v>
      </c>
      <c r="K46" s="17">
        <v>102</v>
      </c>
      <c r="L46" s="17">
        <v>55</v>
      </c>
      <c r="M46" s="17">
        <v>0</v>
      </c>
      <c r="N46" s="17">
        <v>105</v>
      </c>
      <c r="O46" s="17">
        <v>72</v>
      </c>
      <c r="P46" s="17">
        <v>32.9</v>
      </c>
      <c r="Q46" s="17">
        <v>20.9</v>
      </c>
      <c r="R46" s="17">
        <v>7.5</v>
      </c>
      <c r="S46" s="17">
        <v>7.8</v>
      </c>
      <c r="T46" s="17">
        <v>15.4</v>
      </c>
      <c r="U46" s="17">
        <v>7</v>
      </c>
      <c r="V46" s="17">
        <v>26</v>
      </c>
      <c r="W46" s="17">
        <v>30.3</v>
      </c>
      <c r="X46" s="17">
        <v>18.600000000000001</v>
      </c>
      <c r="Y46" s="17">
        <v>7</v>
      </c>
      <c r="Z46" s="17">
        <v>6.9</v>
      </c>
      <c r="AA46" s="17">
        <v>14</v>
      </c>
      <c r="AB46" s="17">
        <v>6.4</v>
      </c>
      <c r="AC46" s="17">
        <v>23.4</v>
      </c>
      <c r="AD46" s="17">
        <v>485</v>
      </c>
      <c r="AE46" s="17">
        <v>4</v>
      </c>
      <c r="AF46" s="17">
        <v>7.7</v>
      </c>
      <c r="AG46" s="17">
        <v>3.6</v>
      </c>
      <c r="AH46" s="17">
        <v>25</v>
      </c>
      <c r="AI46" s="17">
        <v>0.5</v>
      </c>
      <c r="AJ46" s="17">
        <v>54</v>
      </c>
      <c r="AK46" s="17">
        <v>0.19</v>
      </c>
      <c r="AL46" s="17">
        <v>18</v>
      </c>
      <c r="AM46" s="17">
        <v>55</v>
      </c>
      <c r="AN46" s="17">
        <v>32</v>
      </c>
      <c r="AO46" s="17">
        <v>32</v>
      </c>
    </row>
    <row r="47" spans="1:41" x14ac:dyDescent="0.25">
      <c r="A47" t="s">
        <v>45</v>
      </c>
      <c r="B47" s="12">
        <v>45</v>
      </c>
      <c r="C47" s="13" t="s">
        <v>104</v>
      </c>
      <c r="D47" s="14">
        <v>87</v>
      </c>
      <c r="E47" s="14">
        <v>9.6999999999999993</v>
      </c>
      <c r="F47" s="14">
        <v>10.3</v>
      </c>
      <c r="G47" s="14">
        <v>14.8</v>
      </c>
      <c r="H47" s="14">
        <v>609</v>
      </c>
      <c r="I47" s="14">
        <v>27</v>
      </c>
      <c r="J47" s="14">
        <v>38</v>
      </c>
      <c r="K47" s="14">
        <v>102</v>
      </c>
      <c r="L47" s="14">
        <v>55</v>
      </c>
      <c r="M47" s="14">
        <v>0</v>
      </c>
      <c r="N47" s="14">
        <v>105</v>
      </c>
      <c r="O47" s="14">
        <v>74</v>
      </c>
      <c r="P47" s="14">
        <v>37.200000000000003</v>
      </c>
      <c r="Q47" s="14">
        <v>23.6</v>
      </c>
      <c r="R47" s="14">
        <v>8.5</v>
      </c>
      <c r="S47" s="14">
        <v>8.8000000000000007</v>
      </c>
      <c r="T47" s="14">
        <v>17.399999999999999</v>
      </c>
      <c r="U47" s="14">
        <v>7.9</v>
      </c>
      <c r="V47" s="14">
        <v>29.4</v>
      </c>
      <c r="W47" s="14">
        <v>34.200000000000003</v>
      </c>
      <c r="X47" s="14">
        <v>21</v>
      </c>
      <c r="Y47" s="14">
        <v>7.9</v>
      </c>
      <c r="Z47" s="14">
        <v>7.8</v>
      </c>
      <c r="AA47" s="14">
        <v>15.8</v>
      </c>
      <c r="AB47" s="14">
        <v>7.2</v>
      </c>
      <c r="AC47" s="14">
        <v>26.4</v>
      </c>
      <c r="AD47" s="14">
        <v>548</v>
      </c>
      <c r="AE47" s="14">
        <v>2.7</v>
      </c>
      <c r="AF47" s="14">
        <v>8.6999999999999993</v>
      </c>
      <c r="AG47" s="14">
        <v>3.8</v>
      </c>
      <c r="AH47" s="14">
        <v>25</v>
      </c>
      <c r="AI47" s="14">
        <v>0.4</v>
      </c>
      <c r="AJ47" s="14">
        <v>54</v>
      </c>
      <c r="AK47" s="14"/>
      <c r="AL47" s="14">
        <v>26</v>
      </c>
      <c r="AM47" s="14">
        <v>65</v>
      </c>
      <c r="AN47" s="14">
        <v>32</v>
      </c>
      <c r="AO47" s="14">
        <v>32</v>
      </c>
    </row>
    <row r="48" spans="1:41" x14ac:dyDescent="0.25">
      <c r="A48" t="s">
        <v>46</v>
      </c>
      <c r="B48" s="15">
        <v>46</v>
      </c>
      <c r="C48" s="16" t="s">
        <v>105</v>
      </c>
      <c r="D48" s="17">
        <v>90</v>
      </c>
      <c r="E48" s="17">
        <v>5.9</v>
      </c>
      <c r="F48" s="17">
        <v>6.5</v>
      </c>
      <c r="G48" s="17">
        <v>9.4</v>
      </c>
      <c r="H48" s="17">
        <v>373</v>
      </c>
      <c r="I48" s="17">
        <v>19</v>
      </c>
      <c r="J48" s="17">
        <v>236</v>
      </c>
      <c r="K48" s="17">
        <v>400</v>
      </c>
      <c r="L48" s="17">
        <v>276</v>
      </c>
      <c r="M48" s="17">
        <v>0</v>
      </c>
      <c r="N48" s="17">
        <v>63</v>
      </c>
      <c r="O48" s="17">
        <v>75</v>
      </c>
      <c r="P48" s="17">
        <v>13.2</v>
      </c>
      <c r="Q48" s="17">
        <v>13.4</v>
      </c>
      <c r="R48" s="17">
        <v>8.5</v>
      </c>
      <c r="S48" s="17">
        <v>6.4</v>
      </c>
      <c r="T48" s="17">
        <v>14.9</v>
      </c>
      <c r="U48" s="17">
        <v>4.5999999999999996</v>
      </c>
      <c r="V48" s="17">
        <v>18.3</v>
      </c>
      <c r="W48" s="17">
        <v>10.8</v>
      </c>
      <c r="X48" s="17">
        <v>10.9</v>
      </c>
      <c r="Y48" s="17">
        <v>7.8</v>
      </c>
      <c r="Z48" s="17">
        <v>5.2</v>
      </c>
      <c r="AA48" s="17">
        <v>13.1</v>
      </c>
      <c r="AB48" s="17">
        <v>3.9</v>
      </c>
      <c r="AC48" s="17">
        <v>15.2</v>
      </c>
      <c r="AD48" s="17">
        <v>306</v>
      </c>
      <c r="AE48" s="17">
        <v>4.0999999999999996</v>
      </c>
      <c r="AF48" s="17">
        <v>12.6</v>
      </c>
      <c r="AG48" s="17">
        <v>6.7</v>
      </c>
      <c r="AH48" s="17">
        <v>17</v>
      </c>
      <c r="AI48" s="17">
        <v>0.3</v>
      </c>
      <c r="AJ48" s="17">
        <v>47</v>
      </c>
      <c r="AK48" s="17">
        <v>0.15</v>
      </c>
      <c r="AL48" s="17">
        <v>36</v>
      </c>
      <c r="AM48" s="17">
        <v>110</v>
      </c>
      <c r="AN48" s="17">
        <v>19</v>
      </c>
      <c r="AO48" s="17">
        <v>19</v>
      </c>
    </row>
    <row r="49" spans="1:41" x14ac:dyDescent="0.25">
      <c r="B49" s="12">
        <v>47</v>
      </c>
      <c r="C49" s="13" t="s">
        <v>106</v>
      </c>
      <c r="D49" s="14">
        <v>87</v>
      </c>
      <c r="E49" s="14">
        <v>12.7</v>
      </c>
      <c r="F49" s="14">
        <v>12.8</v>
      </c>
      <c r="G49" s="14">
        <v>15.3</v>
      </c>
      <c r="H49" s="14">
        <v>109</v>
      </c>
      <c r="I49" s="14">
        <v>34</v>
      </c>
      <c r="J49" s="14">
        <v>27</v>
      </c>
      <c r="K49" s="14">
        <v>108</v>
      </c>
      <c r="L49" s="14">
        <v>43</v>
      </c>
      <c r="M49" s="14">
        <v>741</v>
      </c>
      <c r="N49" s="14">
        <v>12</v>
      </c>
      <c r="O49" s="14">
        <v>17</v>
      </c>
      <c r="P49" s="14">
        <v>2.5</v>
      </c>
      <c r="Q49" s="14">
        <v>3.6</v>
      </c>
      <c r="R49" s="14">
        <v>1.8</v>
      </c>
      <c r="S49" s="14">
        <v>2</v>
      </c>
      <c r="T49" s="14">
        <v>3.8</v>
      </c>
      <c r="U49" s="14">
        <v>1.1000000000000001</v>
      </c>
      <c r="V49" s="14">
        <v>5.9</v>
      </c>
      <c r="W49" s="14">
        <v>1.9</v>
      </c>
      <c r="X49" s="14">
        <v>2.7</v>
      </c>
      <c r="Y49" s="14">
        <v>1.5</v>
      </c>
      <c r="Z49" s="14">
        <v>1.5</v>
      </c>
      <c r="AA49" s="14">
        <v>3.1</v>
      </c>
      <c r="AB49" s="14">
        <v>0.9</v>
      </c>
      <c r="AC49" s="14">
        <v>4.8</v>
      </c>
      <c r="AD49" s="14">
        <v>86</v>
      </c>
      <c r="AE49" s="14">
        <v>0.3</v>
      </c>
      <c r="AF49" s="14">
        <v>2.9</v>
      </c>
      <c r="AG49" s="14">
        <v>1.4</v>
      </c>
      <c r="AH49" s="14">
        <v>3.5</v>
      </c>
      <c r="AI49" s="14">
        <v>0.1</v>
      </c>
      <c r="AJ49" s="14">
        <v>16</v>
      </c>
      <c r="AK49" s="14">
        <v>0.12</v>
      </c>
      <c r="AL49" s="14">
        <v>7</v>
      </c>
      <c r="AM49" s="14">
        <v>20</v>
      </c>
      <c r="AN49" s="14">
        <v>25</v>
      </c>
      <c r="AO49" s="14">
        <v>25</v>
      </c>
    </row>
    <row r="50" spans="1:41" x14ac:dyDescent="0.25">
      <c r="B50" s="15">
        <v>48</v>
      </c>
      <c r="C50" s="16" t="s">
        <v>107</v>
      </c>
      <c r="D50" s="17">
        <v>99</v>
      </c>
      <c r="E50" s="17">
        <v>12.3</v>
      </c>
      <c r="F50" s="17">
        <v>12.3</v>
      </c>
      <c r="G50" s="17">
        <v>15.5</v>
      </c>
      <c r="H50" s="17">
        <v>735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995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995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735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</row>
    <row r="51" spans="1:41" x14ac:dyDescent="0.25">
      <c r="B51" s="12">
        <v>49</v>
      </c>
      <c r="C51" s="13" t="s">
        <v>108</v>
      </c>
      <c r="D51" s="14">
        <v>99</v>
      </c>
      <c r="E51" s="14">
        <v>20.100000000000001</v>
      </c>
      <c r="F51" s="14">
        <v>20.100000000000001</v>
      </c>
      <c r="G51" s="14"/>
      <c r="H51" s="14">
        <v>857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990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990</v>
      </c>
      <c r="AC51" s="14">
        <v>0</v>
      </c>
      <c r="AD51" s="14">
        <v>857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</row>
    <row r="52" spans="1:41" x14ac:dyDescent="0.25">
      <c r="A52" t="s">
        <v>54</v>
      </c>
      <c r="B52" s="15">
        <v>50</v>
      </c>
      <c r="C52" s="16" t="s">
        <v>109</v>
      </c>
      <c r="D52" s="17">
        <v>5.5</v>
      </c>
      <c r="E52" s="17">
        <v>12.4</v>
      </c>
      <c r="F52" s="17">
        <v>12.2</v>
      </c>
      <c r="G52" s="17">
        <v>15.6</v>
      </c>
      <c r="H52" s="17">
        <v>115</v>
      </c>
      <c r="I52" s="17">
        <v>19</v>
      </c>
      <c r="J52" s="17">
        <v>0</v>
      </c>
      <c r="K52" s="17">
        <v>0</v>
      </c>
      <c r="L52" s="17">
        <v>0</v>
      </c>
      <c r="M52" s="17">
        <v>0</v>
      </c>
      <c r="N52" s="17">
        <v>768</v>
      </c>
      <c r="O52" s="17">
        <v>86</v>
      </c>
      <c r="P52" s="17">
        <v>8.5</v>
      </c>
      <c r="Q52" s="17">
        <v>6.6</v>
      </c>
      <c r="R52" s="17">
        <v>1.8</v>
      </c>
      <c r="S52" s="17">
        <v>2</v>
      </c>
      <c r="T52" s="17">
        <v>3.8</v>
      </c>
      <c r="U52" s="17">
        <v>1.5</v>
      </c>
      <c r="V52" s="17">
        <v>5.9</v>
      </c>
      <c r="W52" s="17">
        <v>7.6</v>
      </c>
      <c r="X52" s="17">
        <v>5.6</v>
      </c>
      <c r="Y52" s="17">
        <v>1.7</v>
      </c>
      <c r="Z52" s="17">
        <v>1.8</v>
      </c>
      <c r="AA52" s="17">
        <v>3.4</v>
      </c>
      <c r="AB52" s="17">
        <v>1.3</v>
      </c>
      <c r="AC52" s="17">
        <v>5.0999999999999996</v>
      </c>
      <c r="AD52" s="17">
        <v>93</v>
      </c>
      <c r="AE52" s="17">
        <v>8.6999999999999993</v>
      </c>
      <c r="AF52" s="17">
        <v>7.3</v>
      </c>
      <c r="AG52" s="17">
        <v>1.3</v>
      </c>
      <c r="AH52" s="17">
        <v>23.1</v>
      </c>
      <c r="AI52" s="17">
        <v>7.7</v>
      </c>
      <c r="AJ52" s="17">
        <v>3</v>
      </c>
      <c r="AK52" s="17">
        <v>0.05</v>
      </c>
      <c r="AL52" s="17">
        <v>22</v>
      </c>
      <c r="AM52" s="17">
        <v>17</v>
      </c>
      <c r="AN52" s="17">
        <v>90</v>
      </c>
      <c r="AO52" s="17">
        <v>90</v>
      </c>
    </row>
    <row r="53" spans="1:41" x14ac:dyDescent="0.25">
      <c r="B53" s="12">
        <v>51</v>
      </c>
      <c r="C53" s="13" t="s">
        <v>110</v>
      </c>
      <c r="D53" s="14">
        <v>98</v>
      </c>
      <c r="E53" s="14">
        <v>11.6</v>
      </c>
      <c r="F53" s="14">
        <v>11.5</v>
      </c>
      <c r="G53" s="14">
        <v>15</v>
      </c>
      <c r="H53" s="14">
        <v>99</v>
      </c>
      <c r="I53" s="14">
        <v>22</v>
      </c>
      <c r="J53" s="14">
        <v>0</v>
      </c>
      <c r="K53" s="14">
        <v>0</v>
      </c>
      <c r="L53" s="14">
        <v>0</v>
      </c>
      <c r="M53" s="14">
        <v>0</v>
      </c>
      <c r="N53" s="14">
        <v>643</v>
      </c>
      <c r="O53" s="14">
        <v>120</v>
      </c>
      <c r="P53" s="14">
        <v>7.4</v>
      </c>
      <c r="Q53" s="14">
        <v>5.5</v>
      </c>
      <c r="R53" s="14">
        <v>1.5</v>
      </c>
      <c r="S53" s="14">
        <v>1.7</v>
      </c>
      <c r="T53" s="14">
        <v>3.2</v>
      </c>
      <c r="U53" s="14">
        <v>1.2</v>
      </c>
      <c r="V53" s="14">
        <v>4.9000000000000004</v>
      </c>
      <c r="W53" s="14">
        <v>6.6</v>
      </c>
      <c r="X53" s="14">
        <v>4.7</v>
      </c>
      <c r="Y53" s="14">
        <v>1.4</v>
      </c>
      <c r="Z53" s="14">
        <v>1.5</v>
      </c>
      <c r="AA53" s="14">
        <v>2.9</v>
      </c>
      <c r="AB53" s="14">
        <v>1</v>
      </c>
      <c r="AC53" s="14">
        <v>4.3</v>
      </c>
      <c r="AD53" s="14">
        <v>80</v>
      </c>
      <c r="AE53" s="14">
        <v>17.2</v>
      </c>
      <c r="AF53" s="14">
        <v>10.3</v>
      </c>
      <c r="AG53" s="14">
        <v>1.5</v>
      </c>
      <c r="AH53" s="14">
        <v>21.4</v>
      </c>
      <c r="AI53" s="14">
        <v>7.1</v>
      </c>
      <c r="AJ53" s="14">
        <v>3</v>
      </c>
      <c r="AK53" s="14">
        <v>0.2</v>
      </c>
      <c r="AL53" s="14">
        <v>1.6</v>
      </c>
      <c r="AM53" s="14">
        <v>65</v>
      </c>
      <c r="AN53" s="14">
        <v>90</v>
      </c>
      <c r="AO53" s="14">
        <v>90</v>
      </c>
    </row>
    <row r="54" spans="1:41" x14ac:dyDescent="0.25">
      <c r="A54" t="s">
        <v>55</v>
      </c>
      <c r="B54" s="15">
        <v>52</v>
      </c>
      <c r="C54" s="16" t="s">
        <v>111</v>
      </c>
      <c r="D54" s="17">
        <v>97</v>
      </c>
      <c r="E54" s="17">
        <v>12.4</v>
      </c>
      <c r="F54" s="17">
        <v>12.2</v>
      </c>
      <c r="G54" s="17">
        <v>14.9</v>
      </c>
      <c r="H54" s="17">
        <v>131</v>
      </c>
      <c r="I54" s="17">
        <v>22</v>
      </c>
      <c r="J54" s="17">
        <v>0</v>
      </c>
      <c r="K54" s="17">
        <v>0</v>
      </c>
      <c r="L54" s="17">
        <v>0</v>
      </c>
      <c r="M54" s="17">
        <v>0</v>
      </c>
      <c r="N54" s="17">
        <v>756</v>
      </c>
      <c r="O54" s="17">
        <v>90</v>
      </c>
      <c r="P54" s="17">
        <v>9.6999999999999993</v>
      </c>
      <c r="Q54" s="17">
        <v>7.5</v>
      </c>
      <c r="R54" s="17">
        <v>2.1</v>
      </c>
      <c r="S54" s="17">
        <v>2.2999999999999998</v>
      </c>
      <c r="T54" s="17">
        <v>4.3</v>
      </c>
      <c r="U54" s="17">
        <v>1.7</v>
      </c>
      <c r="V54" s="17">
        <v>6.7</v>
      </c>
      <c r="W54" s="17">
        <v>8.6</v>
      </c>
      <c r="X54" s="17">
        <v>6.4</v>
      </c>
      <c r="Y54" s="17">
        <v>1.9</v>
      </c>
      <c r="Z54" s="17">
        <v>2</v>
      </c>
      <c r="AA54" s="17">
        <v>3.9</v>
      </c>
      <c r="AB54" s="17">
        <v>1.5</v>
      </c>
      <c r="AC54" s="17">
        <v>5.8</v>
      </c>
      <c r="AD54" s="17">
        <v>106</v>
      </c>
      <c r="AE54" s="17">
        <v>8.5</v>
      </c>
      <c r="AF54" s="17">
        <v>7.2</v>
      </c>
      <c r="AG54" s="17">
        <v>1.5</v>
      </c>
      <c r="AH54" s="17">
        <v>21</v>
      </c>
      <c r="AI54" s="17">
        <v>6.6</v>
      </c>
      <c r="AJ54" s="17">
        <v>3.1</v>
      </c>
      <c r="AK54" s="17">
        <v>0.31</v>
      </c>
      <c r="AL54" s="17">
        <v>2</v>
      </c>
      <c r="AM54" s="17">
        <v>21</v>
      </c>
      <c r="AN54" s="17">
        <v>90</v>
      </c>
      <c r="AO54" s="17">
        <v>90</v>
      </c>
    </row>
    <row r="55" spans="1:41" x14ac:dyDescent="0.25">
      <c r="A55" t="s">
        <v>17</v>
      </c>
      <c r="B55" s="12">
        <v>53</v>
      </c>
      <c r="C55" s="13" t="s">
        <v>112</v>
      </c>
      <c r="D55" s="14">
        <v>87</v>
      </c>
      <c r="E55" s="14">
        <v>12.1</v>
      </c>
      <c r="F55" s="14">
        <v>12.3</v>
      </c>
      <c r="G55" s="14">
        <v>15.2</v>
      </c>
      <c r="H55" s="14">
        <v>121</v>
      </c>
      <c r="I55" s="14">
        <v>17</v>
      </c>
      <c r="J55" s="14">
        <v>26</v>
      </c>
      <c r="K55" s="14">
        <v>143</v>
      </c>
      <c r="L55" s="14">
        <v>36</v>
      </c>
      <c r="M55" s="14">
        <v>698</v>
      </c>
      <c r="N55" s="14">
        <v>27</v>
      </c>
      <c r="O55" s="14">
        <v>18</v>
      </c>
      <c r="P55" s="14">
        <v>3.5</v>
      </c>
      <c r="Q55" s="14">
        <v>3.7</v>
      </c>
      <c r="R55" s="14">
        <v>2</v>
      </c>
      <c r="S55" s="14">
        <v>3</v>
      </c>
      <c r="T55" s="14">
        <v>5</v>
      </c>
      <c r="U55" s="14">
        <v>1.5</v>
      </c>
      <c r="V55" s="14">
        <v>5.4</v>
      </c>
      <c r="W55" s="14">
        <v>2.8</v>
      </c>
      <c r="X55" s="14">
        <v>3.1</v>
      </c>
      <c r="Y55" s="14">
        <v>1.8</v>
      </c>
      <c r="Z55" s="14">
        <v>2.7</v>
      </c>
      <c r="AA55" s="14">
        <v>4.5</v>
      </c>
      <c r="AB55" s="14">
        <v>1.3</v>
      </c>
      <c r="AC55" s="14">
        <v>4.5999999999999996</v>
      </c>
      <c r="AD55" s="14">
        <v>107</v>
      </c>
      <c r="AE55" s="14">
        <v>0.5</v>
      </c>
      <c r="AF55" s="14">
        <v>3.2</v>
      </c>
      <c r="AG55" s="14">
        <v>1.2</v>
      </c>
      <c r="AH55" s="14">
        <v>5.8</v>
      </c>
      <c r="AI55" s="14">
        <v>0.4</v>
      </c>
      <c r="AJ55" s="14">
        <v>29</v>
      </c>
      <c r="AK55" s="14">
        <v>0.06</v>
      </c>
      <c r="AL55" s="14">
        <v>3.2</v>
      </c>
      <c r="AM55" s="14">
        <v>40</v>
      </c>
      <c r="AN55" s="14">
        <v>30</v>
      </c>
      <c r="AO55" s="14">
        <v>45</v>
      </c>
    </row>
    <row r="56" spans="1:41" x14ac:dyDescent="0.25">
      <c r="A56" t="s">
        <v>49</v>
      </c>
      <c r="B56" s="15">
        <v>54</v>
      </c>
      <c r="C56" s="16" t="s">
        <v>113</v>
      </c>
      <c r="D56" s="17">
        <v>88</v>
      </c>
      <c r="E56" s="17">
        <v>8.6999999999999993</v>
      </c>
      <c r="F56" s="17">
        <v>9.1999999999999993</v>
      </c>
      <c r="G56" s="17">
        <v>13.9</v>
      </c>
      <c r="H56" s="17">
        <v>176</v>
      </c>
      <c r="I56" s="17">
        <v>40</v>
      </c>
      <c r="J56" s="17">
        <v>80</v>
      </c>
      <c r="K56" s="17">
        <v>356</v>
      </c>
      <c r="L56" s="17">
        <v>104</v>
      </c>
      <c r="M56" s="17">
        <v>314</v>
      </c>
      <c r="N56" s="17">
        <v>70</v>
      </c>
      <c r="O56" s="17">
        <v>49</v>
      </c>
      <c r="P56" s="17">
        <v>7</v>
      </c>
      <c r="Q56" s="17">
        <v>5.6</v>
      </c>
      <c r="R56" s="17">
        <v>2.7</v>
      </c>
      <c r="S56" s="17">
        <v>3.5</v>
      </c>
      <c r="T56" s="17">
        <v>6.2</v>
      </c>
      <c r="U56" s="17">
        <v>2.2999999999999998</v>
      </c>
      <c r="V56" s="17">
        <v>7.9</v>
      </c>
      <c r="W56" s="17">
        <v>5.3</v>
      </c>
      <c r="X56" s="17">
        <v>4</v>
      </c>
      <c r="Y56" s="17">
        <v>2.2000000000000002</v>
      </c>
      <c r="Z56" s="17">
        <v>2.7</v>
      </c>
      <c r="AA56" s="17">
        <v>4.9000000000000004</v>
      </c>
      <c r="AB56" s="17">
        <v>1.8</v>
      </c>
      <c r="AC56" s="17">
        <v>6.2</v>
      </c>
      <c r="AD56" s="17">
        <v>133</v>
      </c>
      <c r="AE56" s="17">
        <v>0.9</v>
      </c>
      <c r="AF56" s="17">
        <v>11.9</v>
      </c>
      <c r="AG56" s="17">
        <v>4.2</v>
      </c>
      <c r="AH56" s="17">
        <v>13</v>
      </c>
      <c r="AI56" s="17">
        <v>0.3</v>
      </c>
      <c r="AJ56" s="17">
        <v>145</v>
      </c>
      <c r="AK56" s="17">
        <v>7.0000000000000007E-2</v>
      </c>
      <c r="AL56" s="17">
        <v>13</v>
      </c>
      <c r="AM56" s="17">
        <v>106</v>
      </c>
      <c r="AN56" s="17">
        <v>25</v>
      </c>
      <c r="AO56" s="17">
        <v>50</v>
      </c>
    </row>
    <row r="57" spans="1:41" x14ac:dyDescent="0.25">
      <c r="A57" t="s">
        <v>48</v>
      </c>
      <c r="B57" s="12">
        <v>55</v>
      </c>
      <c r="C57" s="13" t="s">
        <v>114</v>
      </c>
      <c r="D57" s="14">
        <v>87</v>
      </c>
      <c r="E57" s="14">
        <v>7.2</v>
      </c>
      <c r="F57" s="14">
        <v>7.8</v>
      </c>
      <c r="G57" s="14">
        <v>11.1</v>
      </c>
      <c r="H57" s="14">
        <v>170</v>
      </c>
      <c r="I57" s="14">
        <v>40</v>
      </c>
      <c r="J57" s="14">
        <v>105</v>
      </c>
      <c r="K57" s="14">
        <v>455</v>
      </c>
      <c r="L57" s="14">
        <v>136</v>
      </c>
      <c r="M57" s="14">
        <v>227</v>
      </c>
      <c r="N57" s="14">
        <v>76</v>
      </c>
      <c r="O57" s="14">
        <v>58</v>
      </c>
      <c r="P57" s="14">
        <v>6.7</v>
      </c>
      <c r="Q57" s="14">
        <v>5.3</v>
      </c>
      <c r="R57" s="14">
        <v>2.6</v>
      </c>
      <c r="S57" s="14">
        <v>3.6</v>
      </c>
      <c r="T57" s="14">
        <v>6.2</v>
      </c>
      <c r="U57" s="14">
        <v>2.2000000000000002</v>
      </c>
      <c r="V57" s="14">
        <v>7.6</v>
      </c>
      <c r="W57" s="14">
        <v>4.5999999999999996</v>
      </c>
      <c r="X57" s="14">
        <v>3.4</v>
      </c>
      <c r="Y57" s="14">
        <v>2</v>
      </c>
      <c r="Z57" s="14">
        <v>2.6</v>
      </c>
      <c r="AA57" s="14">
        <v>4.5999999999999996</v>
      </c>
      <c r="AB57" s="14">
        <v>1.7</v>
      </c>
      <c r="AC57" s="14">
        <v>5.5</v>
      </c>
      <c r="AD57" s="14">
        <v>115</v>
      </c>
      <c r="AE57" s="14">
        <v>1.1000000000000001</v>
      </c>
      <c r="AF57" s="14">
        <v>11.9</v>
      </c>
      <c r="AG57" s="14">
        <v>4.5</v>
      </c>
      <c r="AH57" s="14">
        <v>15</v>
      </c>
      <c r="AI57" s="14">
        <v>0.1</v>
      </c>
      <c r="AJ57" s="14">
        <v>111</v>
      </c>
      <c r="AK57" s="14">
        <v>0.05</v>
      </c>
      <c r="AL57" s="14">
        <v>12</v>
      </c>
      <c r="AM57" s="14">
        <v>89</v>
      </c>
      <c r="AN57" s="14">
        <v>25</v>
      </c>
      <c r="AO57" s="14">
        <v>50</v>
      </c>
    </row>
    <row r="58" spans="1:41" x14ac:dyDescent="0.25">
      <c r="A58" t="s">
        <v>41</v>
      </c>
      <c r="B58" s="15">
        <v>56</v>
      </c>
      <c r="C58" s="16" t="s">
        <v>115</v>
      </c>
      <c r="D58" s="17">
        <v>87</v>
      </c>
      <c r="E58" s="17">
        <v>11.2</v>
      </c>
      <c r="F58" s="17">
        <v>11.5</v>
      </c>
      <c r="G58" s="17">
        <v>14.7</v>
      </c>
      <c r="H58" s="17">
        <v>239</v>
      </c>
      <c r="I58" s="17">
        <v>12</v>
      </c>
      <c r="J58" s="17">
        <v>60</v>
      </c>
      <c r="K58" s="17">
        <v>139</v>
      </c>
      <c r="L58" s="17">
        <v>69</v>
      </c>
      <c r="M58" s="17">
        <v>516</v>
      </c>
      <c r="N58" s="17">
        <v>45</v>
      </c>
      <c r="O58" s="17">
        <v>35</v>
      </c>
      <c r="P58" s="17">
        <v>17.3</v>
      </c>
      <c r="Q58" s="17">
        <v>9.1</v>
      </c>
      <c r="R58" s="17">
        <v>2.2999999999999998</v>
      </c>
      <c r="S58" s="17">
        <v>3.2</v>
      </c>
      <c r="T58" s="17">
        <v>5.5</v>
      </c>
      <c r="U58" s="17">
        <v>2.1</v>
      </c>
      <c r="V58" s="17">
        <v>11.3</v>
      </c>
      <c r="W58" s="17">
        <v>14.4</v>
      </c>
      <c r="X58" s="17">
        <v>6.9</v>
      </c>
      <c r="Y58" s="17">
        <v>1.8</v>
      </c>
      <c r="Z58" s="17">
        <v>2.2999999999999998</v>
      </c>
      <c r="AA58" s="17">
        <v>4.0999999999999996</v>
      </c>
      <c r="AB58" s="17">
        <v>1.5</v>
      </c>
      <c r="AC58" s="17">
        <v>8.6999999999999993</v>
      </c>
      <c r="AD58" s="17">
        <v>191</v>
      </c>
      <c r="AE58" s="17">
        <v>0.9</v>
      </c>
      <c r="AF58" s="17">
        <v>4.5999999999999996</v>
      </c>
      <c r="AG58" s="17">
        <v>1.3</v>
      </c>
      <c r="AH58" s="17">
        <v>12</v>
      </c>
      <c r="AI58" s="17">
        <v>0.2</v>
      </c>
      <c r="AJ58" s="17">
        <v>16</v>
      </c>
      <c r="AK58" s="17"/>
      <c r="AL58" s="17">
        <v>6.7</v>
      </c>
      <c r="AM58" s="17">
        <v>39</v>
      </c>
      <c r="AN58" s="17">
        <v>47</v>
      </c>
      <c r="AO58" s="17">
        <v>47</v>
      </c>
    </row>
    <row r="59" spans="1:41" x14ac:dyDescent="0.25">
      <c r="A59" t="s">
        <v>42</v>
      </c>
      <c r="B59" s="12">
        <v>57</v>
      </c>
      <c r="C59" s="13" t="s">
        <v>116</v>
      </c>
      <c r="D59" s="14">
        <v>87</v>
      </c>
      <c r="E59" s="14">
        <v>10.7</v>
      </c>
      <c r="F59" s="14">
        <v>10.9</v>
      </c>
      <c r="G59" s="14">
        <v>13.8</v>
      </c>
      <c r="H59" s="14">
        <v>311</v>
      </c>
      <c r="I59" s="14">
        <v>13</v>
      </c>
      <c r="J59" s="14">
        <v>87</v>
      </c>
      <c r="K59" s="14">
        <v>160</v>
      </c>
      <c r="L59" s="14">
        <v>106</v>
      </c>
      <c r="M59" s="14">
        <v>433</v>
      </c>
      <c r="N59" s="14">
        <v>43</v>
      </c>
      <c r="O59" s="14">
        <v>41</v>
      </c>
      <c r="P59" s="14">
        <v>20</v>
      </c>
      <c r="Q59" s="14">
        <v>11.1</v>
      </c>
      <c r="R59" s="14">
        <v>2.2000000000000002</v>
      </c>
      <c r="S59" s="14">
        <v>4</v>
      </c>
      <c r="T59" s="14">
        <v>6.2</v>
      </c>
      <c r="U59" s="14">
        <v>2.6</v>
      </c>
      <c r="V59" s="14">
        <v>14.1</v>
      </c>
      <c r="W59" s="14">
        <v>17.600000000000001</v>
      </c>
      <c r="X59" s="14">
        <v>9.1999999999999993</v>
      </c>
      <c r="Y59" s="14">
        <v>1.8</v>
      </c>
      <c r="Z59" s="14">
        <v>3</v>
      </c>
      <c r="AA59" s="14">
        <v>4.9000000000000004</v>
      </c>
      <c r="AB59" s="14">
        <v>2.1</v>
      </c>
      <c r="AC59" s="14">
        <v>11.6</v>
      </c>
      <c r="AD59" s="14">
        <v>261</v>
      </c>
      <c r="AE59" s="14">
        <v>1.7</v>
      </c>
      <c r="AF59" s="14">
        <v>6.8</v>
      </c>
      <c r="AG59" s="14">
        <v>1.8</v>
      </c>
      <c r="AH59" s="14">
        <v>16</v>
      </c>
      <c r="AI59" s="14">
        <v>0.3</v>
      </c>
      <c r="AJ59" s="14">
        <v>22</v>
      </c>
      <c r="AK59" s="14">
        <v>0.02</v>
      </c>
      <c r="AL59" s="14">
        <v>15</v>
      </c>
      <c r="AM59" s="14">
        <v>53</v>
      </c>
      <c r="AN59" s="14">
        <v>37</v>
      </c>
      <c r="AO59" s="14">
        <v>37</v>
      </c>
    </row>
    <row r="60" spans="1:41" x14ac:dyDescent="0.25">
      <c r="B60" s="15">
        <v>58</v>
      </c>
      <c r="C60" s="16" t="s">
        <v>117</v>
      </c>
      <c r="D60" s="17">
        <v>12</v>
      </c>
      <c r="E60" s="17">
        <v>9.5</v>
      </c>
      <c r="F60" s="17">
        <v>9.9</v>
      </c>
      <c r="G60" s="17">
        <v>14.8</v>
      </c>
      <c r="H60" s="17">
        <v>369</v>
      </c>
      <c r="I60" s="17">
        <v>18</v>
      </c>
      <c r="J60" s="17">
        <v>24</v>
      </c>
      <c r="K60" s="17"/>
      <c r="L60" s="17"/>
      <c r="M60" s="17"/>
      <c r="N60" s="17"/>
      <c r="O60" s="17">
        <v>60</v>
      </c>
      <c r="P60" s="17">
        <v>22.6</v>
      </c>
      <c r="Q60" s="17">
        <v>15.9</v>
      </c>
      <c r="R60" s="17">
        <v>5.6</v>
      </c>
      <c r="S60" s="17">
        <v>2.2999999999999998</v>
      </c>
      <c r="T60" s="17">
        <v>7.8</v>
      </c>
      <c r="U60" s="17">
        <v>3.8</v>
      </c>
      <c r="V60" s="17">
        <v>17.5</v>
      </c>
      <c r="W60" s="17">
        <v>16.7</v>
      </c>
      <c r="X60" s="17">
        <v>10.5</v>
      </c>
      <c r="Y60" s="17">
        <v>3.8</v>
      </c>
      <c r="Z60" s="17">
        <v>1.1000000000000001</v>
      </c>
      <c r="AA60" s="17">
        <v>4.9000000000000004</v>
      </c>
      <c r="AB60" s="17">
        <v>2.1</v>
      </c>
      <c r="AC60" s="17">
        <v>11.5</v>
      </c>
      <c r="AD60" s="17">
        <v>255</v>
      </c>
      <c r="AE60" s="17">
        <v>2.6</v>
      </c>
      <c r="AF60" s="17">
        <v>11.6</v>
      </c>
      <c r="AG60" s="17">
        <v>1.8</v>
      </c>
      <c r="AH60" s="17">
        <v>18.100000000000001</v>
      </c>
      <c r="AI60" s="17"/>
      <c r="AJ60" s="17">
        <v>12</v>
      </c>
      <c r="AK60" s="17">
        <v>0.1</v>
      </c>
      <c r="AL60" s="17">
        <v>22</v>
      </c>
      <c r="AM60" s="17">
        <v>54</v>
      </c>
      <c r="AN60" s="17">
        <v>20</v>
      </c>
      <c r="AO60" s="17">
        <v>20</v>
      </c>
    </row>
  </sheetData>
  <hyperlinks>
    <hyperlink ref="C4" r:id="rId1" display="https://www.slu.se/globalassets/ew/org/inst/huv/verktyg/fodertabeller/gristabell/Agrodrank27.pdf"/>
    <hyperlink ref="C5" r:id="rId2" display="https://www.slu.se/globalassets/ew/org/inst/huv/verktyg/fodertabeller/gristabell/Agrodrank90.pdf"/>
    <hyperlink ref="C6" r:id="rId3" display="https://www.slu.se/globalassets/ew/org/inst/huv/verktyg/fodertabeller/gristabell/Betfiber_omelasserad.pdf"/>
    <hyperlink ref="C7" r:id="rId4" display="https://www.slu.se/globalassets/ew/org/inst/huv/verktyg/fodertabeller/gristabell/Drank_SBI.pdf"/>
    <hyperlink ref="C8" r:id="rId5" display="https://www.slu.se/globalassets/ew/org/inst/huv/verktyg/fodertabeller/gristabell/Fetter_animala.pdf"/>
    <hyperlink ref="C9" r:id="rId6" display="https://www.slu.se/globalassets/ew/org/inst/huv/verktyg/fodertabeller/gristabell/Fiskmjol.pdf"/>
    <hyperlink ref="C10" r:id="rId7" display="https://www.slu.se/globalassets/ew/org/inst/huv/verktyg/fodertabeller/gristabell/Foderkalk.pdf"/>
    <hyperlink ref="C11" r:id="rId8" display="https://www.slu.se/globalassets/ew/org/inst/huv/verktyg/fodertabeller/gristabell/Grasmjol.pdf"/>
    <hyperlink ref="C12" r:id="rId9" display="https://www.slu.se/globalassets/ew/org/inst/huv/verktyg/fodertabeller/gristabell/Halm_vete.pdf"/>
    <hyperlink ref="C13" r:id="rId10" display="https://www.slu.se/globalassets/ew/org/inst/huv/verktyg/fodertabeller/gristabell/Havre.pdf"/>
    <hyperlink ref="C14" r:id="rId11" display="https://www.slu.se/globalassets/ew/org/inst/huv/verktyg/fodertabeller/gristabell/Havre_skalad.pdf"/>
    <hyperlink ref="C15" r:id="rId12" display="https://www.slu.se/globalassets/ew/org/inst/huv/verktyg/fodertabeller/gristabell/Korn.pdf"/>
    <hyperlink ref="C16" r:id="rId13" display="https://www.slu.se/globalassets/ew/org/inst/huv/verktyg/fodertabeller/gristabell/Linfro.pdf"/>
    <hyperlink ref="C17" r:id="rId14" display="https://www.slu.se/globalassets/ew/org/inst/huv/verktyg/fodertabeller/gristabell/Linfroexpeller.pdf"/>
    <hyperlink ref="C18" r:id="rId15" display="https://www.slu.se/globalassets/ew/org/inst/huv/verktyg/fodertabeller/gristabell/Lupin_vit.pdf"/>
    <hyperlink ref="C19" r:id="rId16" display="https://www.slu.se/globalassets/ew/org/inst/huv/verktyg/fodertabeller/gristabell/Lusernmjol.pdf"/>
    <hyperlink ref="C20" r:id="rId17" display="https://www.slu.se/globalassets/ew/org/inst/huv/verktyg/fodertabeller/gristabell/Lysin_L-HCL.pdf"/>
    <hyperlink ref="C21" r:id="rId18" display="https://www.slu.se/globalassets/ew/org/inst/huv/verktyg/fodertabeller/gristabell/Majs.pdf"/>
    <hyperlink ref="C22" r:id="rId19" display="https://www.slu.se/globalassets/ew/org/inst/huv/verktyg/fodertabeller/gristabell/Majsdrank.pdf"/>
    <hyperlink ref="C23" r:id="rId20" display="https://www.slu.se/globalassets/ew/org/inst/huv/verktyg/fodertabeller/gristabell/Majsglutenfoder.pdf"/>
    <hyperlink ref="C24" r:id="rId21" display="https://www.slu.se/globalassets/ew/org/inst/huv/verktyg/fodertabeller/gristabell/Majsglutenmjol.pdf"/>
    <hyperlink ref="C25" r:id="rId22" display="https://www.slu.se/globalassets/ew/org/inst/huv/verktyg/fodertabeller/gristabell/Melass_bet.pdf"/>
    <hyperlink ref="C26" r:id="rId23" display="https://www.slu.se/globalassets/ew/org/inst/huv/verktyg/fodertabeller/gristabell/Melass_ror.pdf"/>
    <hyperlink ref="C27" r:id="rId24" display="https://www.slu.se/globalassets/ew/org/inst/huv/verktyg/fodertabeller/gristabell/Metionin.pdf"/>
    <hyperlink ref="C28" r:id="rId25" display="https://www.slu.se/globalassets/ew/org/inst/huv/verktyg/fodertabeller/gristabell/Metioninhydroxyanalog.pdf"/>
    <hyperlink ref="C29" r:id="rId26" display="https://www.slu.se/globalassets/ew/org/inst/huv/verktyg/fodertabeller/gristabell/Monokalciumfosfat.pdf"/>
    <hyperlink ref="C30" r:id="rId27" display="https://www.slu.se/globalassets/ew/org/inst/huv/verktyg/fodertabeller/gristabell/Oljor_vegetabila.pdf"/>
    <hyperlink ref="C31" r:id="rId28" display="https://www.slu.se/globalassets/ew/org/inst/huv/verktyg/fodertabeller/gristabell/Palmkarnkaka.pdf"/>
    <hyperlink ref="C32" r:id="rId29" display="https://www.slu.se/globalassets/ew/org/inst/huv/verktyg/fodertabeller/gristabell/Permeatvassle.pdf"/>
    <hyperlink ref="C33" r:id="rId30" display="https://www.slu.se/globalassets/ew/org/inst/huv/verktyg/fodertabeller/gristabell/Potatisproteinkoncentrat.pdf"/>
    <hyperlink ref="C34" r:id="rId31" display="https://www.slu.se/globalassets/ew/org/inst/huv/verktyg/fodertabeller/gristabell/Potatispulpa.pdf"/>
    <hyperlink ref="C35" r:id="rId32" display="https://www.slu.se/globalassets/ew/org/inst/huv/verktyg/fodertabeller/gristabell/Rapsfro.pdf"/>
    <hyperlink ref="C36" r:id="rId33" display="https://www.slu.se/globalassets/ew/org/inst/huv/verktyg/fodertabeller/gristabell/Rapskaka.pdf"/>
    <hyperlink ref="C37" r:id="rId34" display="https://www.slu.se/globalassets/ew/org/inst/huv/verktyg/fodertabeller/gristabell/Rapskaka_kallpressad.pdf"/>
    <hyperlink ref="C38" r:id="rId35" display="https://www.slu.se/globalassets/ew/org/inst/huv/verktyg/fodertabeller/gristabell/Rapsmjol.pdf"/>
    <hyperlink ref="C39" r:id="rId36" display="https://www.slu.se/globalassets/ew/org/inst/huv/verktyg/fodertabeller/gristabell/Ris_knackt.pdf"/>
    <hyperlink ref="C40" r:id="rId37" display="https://www.slu.se/globalassets/ew/org/inst/huv/verktyg/fodertabeller/gristabell/Rag.pdf"/>
    <hyperlink ref="C41" r:id="rId38" display="https://www.slu.se/globalassets/ew/org/inst/huv/verktyg/fodertabeller/gristabell/Ragvete.pdf"/>
    <hyperlink ref="C42" r:id="rId39" display="https://www.slu.se/globalassets/ew/org/inst/huv/verktyg/fodertabeller/gristabell/Salt.pdf"/>
    <hyperlink ref="C43" r:id="rId40" display="https://www.slu.se/globalassets/ew/org/inst/huv/verktyg/fodertabeller/gristabell/Skummjolkspulver.pdf"/>
    <hyperlink ref="C44" r:id="rId41" display="https://www.slu.se/globalassets/ew/org/inst/huv/verktyg/fodertabeller/gristabell/Sojamjol43Rp.pdf"/>
    <hyperlink ref="C45" r:id="rId42" display="https://www.slu.se/globalassets/ew/org/inst/huv/verktyg/fodertabeller/gristabell/Sojamjol45Rp.pdf"/>
    <hyperlink ref="C46" r:id="rId43" display="https://www.slu.se/globalassets/ew/org/inst/huv/verktyg/fodertabeller/gristabell/Sojamjol47Rp.pdf"/>
    <hyperlink ref="C47" r:id="rId44" display="https://www.slu.se/globalassets/ew/org/inst/huv/verktyg/fodertabeller/gristabell/Sojaprotein-Hamlet_310.pdf"/>
    <hyperlink ref="C48" r:id="rId45" display="https://www.slu.se/globalassets/ew/org/inst/huv/verktyg/fodertabeller/gristabell/Solrosmjol.pdf"/>
    <hyperlink ref="C49" r:id="rId46" display="https://www.slu.se/globalassets/ew/org/inst/huv/verktyg/fodertabeller/gristabell/Sorgum.pdf"/>
    <hyperlink ref="C50" r:id="rId47" display="https://www.slu.se/globalassets/ew/org/inst/huv/verktyg/fodertabeller/gristabell/Treonin_L.pdf"/>
    <hyperlink ref="C51" r:id="rId48" display="https://www.slu.se/globalassets/ew/org/inst/huv/verktyg/fodertabeller/gristabell/Tryptofan_L.pdf"/>
    <hyperlink ref="C52" r:id="rId49" display="https://www.slu.se/globalassets/ew/org/inst/huv/verktyg/fodertabeller/gristabell/Vassle.pdf"/>
    <hyperlink ref="C53" r:id="rId50" display="https://www.slu.se/globalassets/ew/org/inst/huv/verktyg/fodertabeller/gristabell/Vasslepulver_sur_vassle.pdf"/>
    <hyperlink ref="C54" r:id="rId51" display="https://www.slu.se/globalassets/ew/org/inst/huv/verktyg/fodertabeller/gristabell/Vasslepulver_sot_vassle.pdf"/>
    <hyperlink ref="C55" r:id="rId52" display="https://www.slu.se/globalassets/ew/org/inst/huv/verktyg/fodertabeller/gristabell/Vete.pdf"/>
    <hyperlink ref="C56" r:id="rId53" display="https://www.slu.se/globalassets/ew/org/inst/huv/verktyg/fodertabeller/gristabell/Vetefodermjol.pdf"/>
    <hyperlink ref="C57" r:id="rId54" display="https://www.slu.se/globalassets/ew/org/inst/huv/verktyg/fodertabeller/gristabell/Vetekli.pdf"/>
    <hyperlink ref="C58" r:id="rId55" display="https://www.slu.se/globalassets/ew/org/inst/huv/verktyg/fodertabeller/gristabell/Arter.pdf"/>
    <hyperlink ref="C59" r:id="rId56" display="https://www.slu.se/globalassets/ew/org/inst/huv/verktyg/fodertabeller/gristabell/Akerbona_vitblommig.pdf"/>
    <hyperlink ref="C60" r:id="rId57" display="https://www.slu.se/globalassets/ew/org/inst/huv/verktyg/fodertabeller/gristabell/Oljast.pdf"/>
    <hyperlink ref="C3" r:id="rId58" display="https://www.slu.se/globalassets/ew/org/inst/huv/verktyg/fodertabeller/gristabell/Agrodrank10.pdf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0"/>
  <sheetViews>
    <sheetView topLeftCell="A77" workbookViewId="0">
      <selection activeCell="A117" sqref="A117"/>
    </sheetView>
  </sheetViews>
  <sheetFormatPr defaultRowHeight="15" x14ac:dyDescent="0.25"/>
  <cols>
    <col min="1" max="1" width="19.42578125" customWidth="1"/>
    <col min="3" max="3" width="39.5703125" customWidth="1"/>
  </cols>
  <sheetData>
    <row r="1" spans="1:34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</row>
    <row r="2" spans="1:34" ht="57.75" x14ac:dyDescent="0.25">
      <c r="A2" s="4" t="s">
        <v>58</v>
      </c>
      <c r="B2" s="19" t="s">
        <v>125</v>
      </c>
      <c r="C2" s="19" t="s">
        <v>128</v>
      </c>
      <c r="D2" s="19" t="s">
        <v>129</v>
      </c>
      <c r="E2" s="19" t="s">
        <v>279</v>
      </c>
      <c r="F2" s="19" t="s">
        <v>280</v>
      </c>
      <c r="G2" s="19" t="s">
        <v>281</v>
      </c>
      <c r="H2" s="19" t="s">
        <v>282</v>
      </c>
      <c r="I2" s="19" t="s">
        <v>283</v>
      </c>
      <c r="J2" s="19" t="s">
        <v>284</v>
      </c>
      <c r="K2" s="19" t="s">
        <v>131</v>
      </c>
      <c r="L2" s="19" t="s">
        <v>132</v>
      </c>
      <c r="M2" s="19" t="s">
        <v>135</v>
      </c>
      <c r="N2" s="19" t="s">
        <v>285</v>
      </c>
      <c r="O2" s="19" t="s">
        <v>286</v>
      </c>
      <c r="P2" s="19" t="s">
        <v>287</v>
      </c>
      <c r="Q2" s="19" t="s">
        <v>288</v>
      </c>
      <c r="R2" s="19" t="s">
        <v>289</v>
      </c>
      <c r="S2" s="19" t="s">
        <v>290</v>
      </c>
      <c r="T2" s="19" t="s">
        <v>291</v>
      </c>
      <c r="U2" s="19" t="s">
        <v>292</v>
      </c>
      <c r="V2" s="19" t="s">
        <v>293</v>
      </c>
      <c r="W2" s="19" t="s">
        <v>134</v>
      </c>
      <c r="X2" s="19" t="s">
        <v>294</v>
      </c>
      <c r="Y2" s="19" t="s">
        <v>133</v>
      </c>
      <c r="Z2" s="19" t="s">
        <v>126</v>
      </c>
      <c r="AA2" s="19" t="s">
        <v>295</v>
      </c>
      <c r="AB2" s="19" t="s">
        <v>151</v>
      </c>
      <c r="AC2" s="19" t="s">
        <v>152</v>
      </c>
      <c r="AD2" s="19" t="s">
        <v>153</v>
      </c>
      <c r="AE2" s="19" t="s">
        <v>154</v>
      </c>
      <c r="AF2" s="19" t="s">
        <v>155</v>
      </c>
      <c r="AG2" s="19" t="s">
        <v>296</v>
      </c>
      <c r="AH2" s="19" t="s">
        <v>155</v>
      </c>
    </row>
    <row r="3" spans="1:34" x14ac:dyDescent="0.25">
      <c r="B3" s="12">
        <v>1</v>
      </c>
      <c r="C3" s="14" t="s">
        <v>162</v>
      </c>
      <c r="D3" s="14">
        <v>50</v>
      </c>
      <c r="E3" s="14">
        <v>7.9</v>
      </c>
      <c r="F3" s="14"/>
      <c r="G3" s="14"/>
      <c r="H3" s="14">
        <v>18</v>
      </c>
      <c r="I3" s="14">
        <v>8.9</v>
      </c>
      <c r="J3" s="14">
        <v>60</v>
      </c>
      <c r="K3" s="14">
        <v>110</v>
      </c>
      <c r="L3" s="14">
        <v>330</v>
      </c>
      <c r="M3" s="14">
        <v>40</v>
      </c>
      <c r="N3" s="14">
        <v>460</v>
      </c>
      <c r="O3" s="14">
        <v>30</v>
      </c>
      <c r="P3" s="14">
        <v>75</v>
      </c>
      <c r="Q3" s="14">
        <v>15</v>
      </c>
      <c r="R3" s="14">
        <v>60</v>
      </c>
      <c r="S3" s="14">
        <v>44</v>
      </c>
      <c r="T3" s="14"/>
      <c r="U3" s="14"/>
      <c r="V3" s="14"/>
      <c r="W3" s="14"/>
      <c r="X3" s="14"/>
      <c r="Y3" s="14"/>
      <c r="Z3" s="14"/>
      <c r="AA3" s="14"/>
      <c r="AB3" s="14">
        <v>12</v>
      </c>
      <c r="AC3" s="14">
        <v>0.6</v>
      </c>
      <c r="AD3" s="14"/>
      <c r="AE3" s="14"/>
      <c r="AF3" s="14"/>
      <c r="AG3" s="14"/>
      <c r="AH3" s="19"/>
    </row>
    <row r="4" spans="1:34" x14ac:dyDescent="0.25">
      <c r="B4" s="15">
        <v>2</v>
      </c>
      <c r="C4" s="17" t="s">
        <v>163</v>
      </c>
      <c r="D4" s="17">
        <v>85</v>
      </c>
      <c r="E4" s="17">
        <v>7.9</v>
      </c>
      <c r="F4" s="17"/>
      <c r="G4" s="17"/>
      <c r="H4" s="17">
        <v>90</v>
      </c>
      <c r="I4" s="17">
        <v>9.6</v>
      </c>
      <c r="J4" s="17">
        <v>150</v>
      </c>
      <c r="K4" s="17">
        <v>70</v>
      </c>
      <c r="L4" s="17">
        <v>230</v>
      </c>
      <c r="M4" s="17">
        <v>70</v>
      </c>
      <c r="N4" s="17">
        <v>480</v>
      </c>
      <c r="O4" s="17">
        <v>60</v>
      </c>
      <c r="P4" s="17">
        <v>35</v>
      </c>
      <c r="Q4" s="17">
        <v>50</v>
      </c>
      <c r="R4" s="17">
        <v>55</v>
      </c>
      <c r="S4" s="17">
        <v>53</v>
      </c>
      <c r="T4" s="17"/>
      <c r="U4" s="17"/>
      <c r="V4" s="17"/>
      <c r="W4" s="17"/>
      <c r="X4" s="17"/>
      <c r="Y4" s="17"/>
      <c r="Z4" s="17"/>
      <c r="AA4" s="17"/>
      <c r="AB4" s="17">
        <v>14.1</v>
      </c>
      <c r="AC4" s="17">
        <v>1.2</v>
      </c>
      <c r="AD4" s="17"/>
      <c r="AE4" s="17"/>
      <c r="AF4" s="17"/>
      <c r="AG4" s="17"/>
      <c r="AH4" s="17"/>
    </row>
    <row r="5" spans="1:34" x14ac:dyDescent="0.25">
      <c r="B5" s="12">
        <v>3</v>
      </c>
      <c r="C5" s="14" t="s">
        <v>164</v>
      </c>
      <c r="D5" s="14">
        <v>90</v>
      </c>
      <c r="E5" s="14">
        <v>12.8</v>
      </c>
      <c r="F5" s="14"/>
      <c r="G5" s="14"/>
      <c r="H5" s="14">
        <v>213</v>
      </c>
      <c r="I5" s="14">
        <v>14.6</v>
      </c>
      <c r="J5" s="14">
        <v>250</v>
      </c>
      <c r="K5" s="14">
        <v>80</v>
      </c>
      <c r="L5" s="14">
        <v>170</v>
      </c>
      <c r="M5" s="14">
        <v>60</v>
      </c>
      <c r="N5" s="14">
        <v>440</v>
      </c>
      <c r="O5" s="14">
        <v>85</v>
      </c>
      <c r="P5" s="14">
        <v>90</v>
      </c>
      <c r="Q5" s="14">
        <v>30</v>
      </c>
      <c r="R5" s="14">
        <v>80</v>
      </c>
      <c r="S5" s="14">
        <v>73</v>
      </c>
      <c r="T5" s="14"/>
      <c r="U5" s="14"/>
      <c r="V5" s="14"/>
      <c r="W5" s="14"/>
      <c r="X5" s="14"/>
      <c r="Y5" s="14"/>
      <c r="Z5" s="14"/>
      <c r="AA5" s="14"/>
      <c r="AB5" s="14">
        <v>1.8</v>
      </c>
      <c r="AC5" s="14">
        <v>7.7</v>
      </c>
      <c r="AD5" s="14">
        <v>4.4000000000000004</v>
      </c>
      <c r="AE5" s="14">
        <v>10</v>
      </c>
      <c r="AF5" s="14">
        <v>0.3</v>
      </c>
      <c r="AG5" s="14"/>
      <c r="AH5" s="14">
        <v>0.3</v>
      </c>
    </row>
    <row r="6" spans="1:34" x14ac:dyDescent="0.25">
      <c r="B6" s="15">
        <v>4</v>
      </c>
      <c r="C6" s="17" t="s">
        <v>165</v>
      </c>
      <c r="D6" s="17">
        <v>90</v>
      </c>
      <c r="E6" s="17">
        <v>11.2</v>
      </c>
      <c r="F6" s="17"/>
      <c r="G6" s="17"/>
      <c r="H6" s="17">
        <v>221</v>
      </c>
      <c r="I6" s="17">
        <v>13.4</v>
      </c>
      <c r="J6" s="17">
        <v>260</v>
      </c>
      <c r="K6" s="17">
        <v>10</v>
      </c>
      <c r="L6" s="17">
        <v>180</v>
      </c>
      <c r="M6" s="17">
        <v>60</v>
      </c>
      <c r="N6" s="17">
        <v>490</v>
      </c>
      <c r="O6" s="17">
        <v>85</v>
      </c>
      <c r="P6" s="17">
        <v>90</v>
      </c>
      <c r="Q6" s="17">
        <v>30</v>
      </c>
      <c r="R6" s="17">
        <v>80</v>
      </c>
      <c r="S6" s="17">
        <v>72</v>
      </c>
      <c r="T6" s="17"/>
      <c r="U6" s="17"/>
      <c r="V6" s="17"/>
      <c r="W6" s="17"/>
      <c r="X6" s="17"/>
      <c r="Y6" s="17"/>
      <c r="Z6" s="17"/>
      <c r="AA6" s="17"/>
      <c r="AB6" s="17">
        <v>2.2000000000000002</v>
      </c>
      <c r="AC6" s="17">
        <v>12.2</v>
      </c>
      <c r="AD6" s="17"/>
      <c r="AE6" s="17"/>
      <c r="AF6" s="17"/>
      <c r="AG6" s="17"/>
      <c r="AH6" s="17"/>
    </row>
    <row r="7" spans="1:34" x14ac:dyDescent="0.25">
      <c r="B7" s="12">
        <v>5</v>
      </c>
      <c r="C7" s="14" t="s">
        <v>166</v>
      </c>
      <c r="D7" s="14">
        <v>84</v>
      </c>
      <c r="E7" s="14">
        <v>12.4</v>
      </c>
      <c r="F7" s="14">
        <v>78</v>
      </c>
      <c r="G7" s="14">
        <v>-16</v>
      </c>
      <c r="H7" s="14">
        <v>90</v>
      </c>
      <c r="I7" s="14">
        <v>14.1</v>
      </c>
      <c r="J7" s="14">
        <v>116</v>
      </c>
      <c r="K7" s="14">
        <v>43</v>
      </c>
      <c r="L7" s="14">
        <v>100</v>
      </c>
      <c r="M7" s="14">
        <v>28</v>
      </c>
      <c r="N7" s="14">
        <v>713</v>
      </c>
      <c r="O7" s="14">
        <v>78</v>
      </c>
      <c r="P7" s="14">
        <v>82</v>
      </c>
      <c r="Q7" s="14">
        <v>30</v>
      </c>
      <c r="R7" s="14">
        <v>83</v>
      </c>
      <c r="S7" s="14">
        <v>81</v>
      </c>
      <c r="T7" s="14"/>
      <c r="U7" s="14">
        <v>82</v>
      </c>
      <c r="V7" s="14">
        <v>71</v>
      </c>
      <c r="W7" s="14">
        <v>18</v>
      </c>
      <c r="X7" s="14"/>
      <c r="Y7" s="14">
        <v>434</v>
      </c>
      <c r="Z7" s="14">
        <v>277</v>
      </c>
      <c r="AA7" s="14">
        <v>20</v>
      </c>
      <c r="AB7" s="14">
        <v>0.6</v>
      </c>
      <c r="AC7" s="14">
        <v>4</v>
      </c>
      <c r="AD7" s="14">
        <v>1.3</v>
      </c>
      <c r="AE7" s="14">
        <v>5.6</v>
      </c>
      <c r="AF7" s="14">
        <v>0.3</v>
      </c>
      <c r="AG7" s="14"/>
      <c r="AH7" s="14">
        <v>0.3</v>
      </c>
    </row>
    <row r="8" spans="1:34" x14ac:dyDescent="0.25">
      <c r="B8" s="15">
        <v>6</v>
      </c>
      <c r="C8" s="17" t="s">
        <v>167</v>
      </c>
      <c r="D8" s="17">
        <v>14</v>
      </c>
      <c r="E8" s="17">
        <v>10.199999999999999</v>
      </c>
      <c r="F8" s="17">
        <v>74</v>
      </c>
      <c r="G8" s="17">
        <v>46</v>
      </c>
      <c r="H8" s="17">
        <v>138</v>
      </c>
      <c r="I8" s="17">
        <v>12.3</v>
      </c>
      <c r="J8" s="17">
        <v>180</v>
      </c>
      <c r="K8" s="17">
        <v>30</v>
      </c>
      <c r="L8" s="17">
        <v>130</v>
      </c>
      <c r="M8" s="17">
        <v>180</v>
      </c>
      <c r="N8" s="17">
        <v>480</v>
      </c>
      <c r="O8" s="17"/>
      <c r="P8" s="17">
        <v>50</v>
      </c>
      <c r="Q8" s="17">
        <v>80</v>
      </c>
      <c r="R8" s="17">
        <v>80</v>
      </c>
      <c r="S8" s="17">
        <v>78</v>
      </c>
      <c r="T8" s="17"/>
      <c r="U8" s="17">
        <v>74</v>
      </c>
      <c r="V8" s="17">
        <v>73</v>
      </c>
      <c r="W8" s="17">
        <v>120</v>
      </c>
      <c r="X8" s="17"/>
      <c r="Y8" s="17">
        <v>0</v>
      </c>
      <c r="Z8" s="17"/>
      <c r="AA8" s="17"/>
      <c r="AB8" s="17">
        <v>15</v>
      </c>
      <c r="AC8" s="17">
        <v>2.8</v>
      </c>
      <c r="AD8" s="17">
        <v>3</v>
      </c>
      <c r="AE8" s="17">
        <v>37</v>
      </c>
      <c r="AF8" s="17">
        <v>10</v>
      </c>
      <c r="AG8" s="17"/>
      <c r="AH8" s="17">
        <v>10</v>
      </c>
    </row>
    <row r="9" spans="1:34" x14ac:dyDescent="0.25">
      <c r="B9" s="12">
        <v>7</v>
      </c>
      <c r="C9" s="14" t="s">
        <v>168</v>
      </c>
      <c r="D9" s="14">
        <v>85</v>
      </c>
      <c r="E9" s="14">
        <v>15.6</v>
      </c>
      <c r="F9" s="14"/>
      <c r="G9" s="14"/>
      <c r="H9" s="14">
        <v>113</v>
      </c>
      <c r="I9" s="14">
        <v>16</v>
      </c>
      <c r="J9" s="14">
        <v>150</v>
      </c>
      <c r="K9" s="14">
        <v>300</v>
      </c>
      <c r="L9" s="14">
        <v>210</v>
      </c>
      <c r="M9" s="14">
        <v>50</v>
      </c>
      <c r="N9" s="14">
        <v>290</v>
      </c>
      <c r="O9" s="14">
        <v>75</v>
      </c>
      <c r="P9" s="14">
        <v>90</v>
      </c>
      <c r="Q9" s="14">
        <v>30</v>
      </c>
      <c r="R9" s="14">
        <v>60</v>
      </c>
      <c r="S9" s="14">
        <v>65</v>
      </c>
      <c r="T9" s="14"/>
      <c r="U9" s="14"/>
      <c r="V9" s="14"/>
      <c r="W9" s="14"/>
      <c r="X9" s="14"/>
      <c r="Y9" s="14"/>
      <c r="Z9" s="14"/>
      <c r="AA9" s="14"/>
      <c r="AB9" s="14">
        <v>5.9</v>
      </c>
      <c r="AC9" s="14">
        <v>3.5</v>
      </c>
      <c r="AD9" s="14"/>
      <c r="AE9" s="14"/>
      <c r="AF9" s="14"/>
      <c r="AG9" s="14"/>
      <c r="AH9" s="14"/>
    </row>
    <row r="10" spans="1:34" x14ac:dyDescent="0.25">
      <c r="B10" s="15">
        <v>8</v>
      </c>
      <c r="C10" s="17" t="s">
        <v>169</v>
      </c>
      <c r="D10" s="17">
        <v>92</v>
      </c>
      <c r="E10" s="17">
        <v>10.9</v>
      </c>
      <c r="F10" s="17"/>
      <c r="G10" s="17"/>
      <c r="H10" s="17">
        <v>221</v>
      </c>
      <c r="I10" s="17">
        <v>12.5</v>
      </c>
      <c r="J10" s="17">
        <v>270</v>
      </c>
      <c r="K10" s="17">
        <v>70</v>
      </c>
      <c r="L10" s="17">
        <v>200</v>
      </c>
      <c r="M10" s="17">
        <v>70</v>
      </c>
      <c r="N10" s="17">
        <v>390</v>
      </c>
      <c r="O10" s="17">
        <v>82</v>
      </c>
      <c r="P10" s="17">
        <v>95</v>
      </c>
      <c r="Q10" s="17">
        <v>25</v>
      </c>
      <c r="R10" s="17">
        <v>60</v>
      </c>
      <c r="S10" s="17">
        <v>60</v>
      </c>
      <c r="T10" s="17"/>
      <c r="U10" s="17">
        <v>58</v>
      </c>
      <c r="V10" s="17">
        <v>86</v>
      </c>
      <c r="W10" s="17">
        <v>54</v>
      </c>
      <c r="X10" s="17"/>
      <c r="Y10" s="17">
        <v>15</v>
      </c>
      <c r="Z10" s="17"/>
      <c r="AA10" s="17"/>
      <c r="AB10" s="17">
        <v>2.2000000000000002</v>
      </c>
      <c r="AC10" s="17">
        <v>11.9</v>
      </c>
      <c r="AD10" s="17">
        <v>6.4</v>
      </c>
      <c r="AE10" s="17">
        <v>18</v>
      </c>
      <c r="AF10" s="17">
        <v>0.2</v>
      </c>
      <c r="AG10" s="17"/>
      <c r="AH10" s="17">
        <v>0.2</v>
      </c>
    </row>
    <row r="11" spans="1:34" x14ac:dyDescent="0.25">
      <c r="B11" s="12">
        <v>9</v>
      </c>
      <c r="C11" s="14" t="s">
        <v>170</v>
      </c>
      <c r="D11" s="14">
        <v>92</v>
      </c>
      <c r="E11" s="14">
        <v>13.2</v>
      </c>
      <c r="F11" s="14">
        <v>162</v>
      </c>
      <c r="G11" s="14">
        <v>210</v>
      </c>
      <c r="H11" s="14">
        <v>374</v>
      </c>
      <c r="I11" s="14">
        <v>15.6</v>
      </c>
      <c r="J11" s="14">
        <v>440</v>
      </c>
      <c r="K11" s="14">
        <v>70</v>
      </c>
      <c r="L11" s="14">
        <v>100</v>
      </c>
      <c r="M11" s="14">
        <v>70</v>
      </c>
      <c r="N11" s="14">
        <v>320</v>
      </c>
      <c r="O11" s="14">
        <v>85</v>
      </c>
      <c r="P11" s="14">
        <v>90</v>
      </c>
      <c r="Q11" s="14">
        <v>30</v>
      </c>
      <c r="R11" s="14">
        <v>70</v>
      </c>
      <c r="S11" s="14">
        <v>74</v>
      </c>
      <c r="T11" s="14">
        <v>44</v>
      </c>
      <c r="U11" s="14">
        <v>58</v>
      </c>
      <c r="V11" s="14">
        <v>86</v>
      </c>
      <c r="W11" s="14">
        <v>54</v>
      </c>
      <c r="X11" s="14"/>
      <c r="Y11" s="14">
        <v>15</v>
      </c>
      <c r="Z11" s="14">
        <v>257</v>
      </c>
      <c r="AA11" s="14">
        <v>60</v>
      </c>
      <c r="AB11" s="14">
        <v>2.2000000000000002</v>
      </c>
      <c r="AC11" s="14">
        <v>11.9</v>
      </c>
      <c r="AD11" s="14">
        <v>6.4</v>
      </c>
      <c r="AE11" s="14">
        <v>18</v>
      </c>
      <c r="AF11" s="14">
        <v>0.2</v>
      </c>
      <c r="AG11" s="14">
        <v>71</v>
      </c>
      <c r="AH11" s="14">
        <v>0.2</v>
      </c>
    </row>
    <row r="12" spans="1:34" x14ac:dyDescent="0.25">
      <c r="B12" s="15">
        <v>10</v>
      </c>
      <c r="C12" s="17" t="s">
        <v>171</v>
      </c>
      <c r="D12" s="17">
        <v>92</v>
      </c>
      <c r="E12" s="17">
        <v>15.3</v>
      </c>
      <c r="F12" s="17"/>
      <c r="G12" s="17"/>
      <c r="H12" s="17">
        <v>168</v>
      </c>
      <c r="I12" s="17">
        <v>16.5</v>
      </c>
      <c r="J12" s="17">
        <v>240</v>
      </c>
      <c r="K12" s="17">
        <v>250</v>
      </c>
      <c r="L12" s="17">
        <v>250</v>
      </c>
      <c r="M12" s="17">
        <v>50</v>
      </c>
      <c r="N12" s="17">
        <v>210</v>
      </c>
      <c r="O12" s="17">
        <v>70</v>
      </c>
      <c r="P12" s="17">
        <v>90</v>
      </c>
      <c r="Q12" s="17">
        <v>60</v>
      </c>
      <c r="R12" s="17">
        <v>60</v>
      </c>
      <c r="S12" s="17">
        <v>70</v>
      </c>
      <c r="T12" s="17"/>
      <c r="U12" s="17"/>
      <c r="V12" s="17"/>
      <c r="W12" s="17"/>
      <c r="X12" s="17"/>
      <c r="Y12" s="17"/>
      <c r="Z12" s="17">
        <v>400</v>
      </c>
      <c r="AA12" s="17">
        <v>150</v>
      </c>
      <c r="AB12" s="17">
        <v>1.6</v>
      </c>
      <c r="AC12" s="17">
        <v>9.8000000000000007</v>
      </c>
      <c r="AD12" s="17">
        <v>4.0999999999999996</v>
      </c>
      <c r="AE12" s="17">
        <v>11.8</v>
      </c>
      <c r="AF12" s="17">
        <v>0.1</v>
      </c>
      <c r="AG12" s="17"/>
      <c r="AH12" s="17">
        <v>0.1</v>
      </c>
    </row>
    <row r="13" spans="1:34" x14ac:dyDescent="0.25">
      <c r="B13" s="12">
        <v>11</v>
      </c>
      <c r="C13" s="14" t="s">
        <v>172</v>
      </c>
      <c r="D13" s="14">
        <v>92</v>
      </c>
      <c r="E13" s="14">
        <v>8.8000000000000007</v>
      </c>
      <c r="F13" s="14"/>
      <c r="G13" s="14"/>
      <c r="H13" s="14">
        <v>230</v>
      </c>
      <c r="I13" s="14">
        <v>10.8</v>
      </c>
      <c r="J13" s="14">
        <v>280</v>
      </c>
      <c r="K13" s="14">
        <v>10</v>
      </c>
      <c r="L13" s="14">
        <v>300</v>
      </c>
      <c r="M13" s="14">
        <v>60</v>
      </c>
      <c r="N13" s="14">
        <v>350</v>
      </c>
      <c r="O13" s="14">
        <v>82</v>
      </c>
      <c r="P13" s="14">
        <v>90</v>
      </c>
      <c r="Q13" s="14">
        <v>25</v>
      </c>
      <c r="R13" s="14">
        <v>60</v>
      </c>
      <c r="S13" s="14">
        <v>59</v>
      </c>
      <c r="T13" s="14"/>
      <c r="U13" s="14"/>
      <c r="V13" s="14"/>
      <c r="W13" s="14">
        <v>15</v>
      </c>
      <c r="X13" s="14"/>
      <c r="Y13" s="14">
        <v>54</v>
      </c>
      <c r="Z13" s="14"/>
      <c r="AA13" s="14"/>
      <c r="AB13" s="14">
        <v>2.1</v>
      </c>
      <c r="AC13" s="14">
        <v>12.6</v>
      </c>
      <c r="AD13" s="14">
        <v>6.9</v>
      </c>
      <c r="AE13" s="14">
        <v>19</v>
      </c>
      <c r="AF13" s="14">
        <v>0.2</v>
      </c>
      <c r="AG13" s="14"/>
      <c r="AH13" s="14">
        <v>0.2</v>
      </c>
    </row>
    <row r="14" spans="1:34" x14ac:dyDescent="0.25">
      <c r="B14" s="15">
        <v>12</v>
      </c>
      <c r="C14" s="17" t="s">
        <v>173</v>
      </c>
      <c r="D14" s="17">
        <v>90</v>
      </c>
      <c r="E14" s="17">
        <v>12</v>
      </c>
      <c r="F14" s="17">
        <v>167</v>
      </c>
      <c r="G14" s="17">
        <v>244</v>
      </c>
      <c r="H14" s="17">
        <v>417</v>
      </c>
      <c r="I14" s="17">
        <v>14.7</v>
      </c>
      <c r="J14" s="17">
        <v>490</v>
      </c>
      <c r="K14" s="17">
        <v>10</v>
      </c>
      <c r="L14" s="17">
        <v>110</v>
      </c>
      <c r="M14" s="17">
        <v>80</v>
      </c>
      <c r="N14" s="17">
        <v>310</v>
      </c>
      <c r="O14" s="17">
        <v>85</v>
      </c>
      <c r="P14" s="17">
        <v>90</v>
      </c>
      <c r="Q14" s="17">
        <v>30</v>
      </c>
      <c r="R14" s="17">
        <v>70</v>
      </c>
      <c r="S14" s="17">
        <v>73</v>
      </c>
      <c r="T14" s="17"/>
      <c r="U14" s="17">
        <v>59</v>
      </c>
      <c r="V14" s="17">
        <v>82</v>
      </c>
      <c r="W14" s="17">
        <v>15</v>
      </c>
      <c r="X14" s="17"/>
      <c r="Y14" s="17">
        <v>54</v>
      </c>
      <c r="Z14" s="17">
        <v>260</v>
      </c>
      <c r="AA14" s="17">
        <v>60</v>
      </c>
      <c r="AB14" s="17">
        <v>2.1</v>
      </c>
      <c r="AC14" s="17">
        <v>12.6</v>
      </c>
      <c r="AD14" s="17">
        <v>6.5</v>
      </c>
      <c r="AE14" s="17">
        <v>19</v>
      </c>
      <c r="AF14" s="17">
        <v>0.2</v>
      </c>
      <c r="AG14" s="17"/>
      <c r="AH14" s="17">
        <v>0.2</v>
      </c>
    </row>
    <row r="15" spans="1:34" x14ac:dyDescent="0.25">
      <c r="B15" s="12">
        <v>13</v>
      </c>
      <c r="C15" s="14" t="s">
        <v>174</v>
      </c>
      <c r="D15" s="14">
        <v>90</v>
      </c>
      <c r="E15" s="14">
        <v>12.6</v>
      </c>
      <c r="F15" s="14">
        <v>94</v>
      </c>
      <c r="G15" s="14">
        <v>-89</v>
      </c>
      <c r="H15" s="14">
        <v>30</v>
      </c>
      <c r="I15" s="14">
        <v>14.5</v>
      </c>
      <c r="J15" s="14">
        <v>70</v>
      </c>
      <c r="K15" s="14">
        <v>26</v>
      </c>
      <c r="L15" s="14">
        <v>132</v>
      </c>
      <c r="M15" s="14">
        <v>65</v>
      </c>
      <c r="N15" s="14">
        <v>707</v>
      </c>
      <c r="O15" s="14">
        <v>43</v>
      </c>
      <c r="P15" s="14">
        <v>81</v>
      </c>
      <c r="Q15" s="14">
        <v>79</v>
      </c>
      <c r="R15" s="14">
        <v>92</v>
      </c>
      <c r="S15" s="14"/>
      <c r="T15" s="14">
        <v>75</v>
      </c>
      <c r="U15" s="14">
        <v>66</v>
      </c>
      <c r="V15" s="14">
        <v>79</v>
      </c>
      <c r="W15" s="14">
        <v>243</v>
      </c>
      <c r="X15" s="14">
        <v>238</v>
      </c>
      <c r="Y15" s="14">
        <v>60</v>
      </c>
      <c r="Z15" s="14">
        <v>195</v>
      </c>
      <c r="AA15" s="14"/>
      <c r="AB15" s="14">
        <v>15.5</v>
      </c>
      <c r="AC15" s="14">
        <v>1.3</v>
      </c>
      <c r="AD15" s="14">
        <v>1.8</v>
      </c>
      <c r="AE15" s="14">
        <v>10.7</v>
      </c>
      <c r="AF15" s="14"/>
      <c r="AG15" s="14"/>
      <c r="AH15" s="14"/>
    </row>
    <row r="16" spans="1:34" x14ac:dyDescent="0.25">
      <c r="B16" s="15">
        <v>14</v>
      </c>
      <c r="C16" s="17" t="s">
        <v>175</v>
      </c>
      <c r="D16" s="17">
        <v>99</v>
      </c>
      <c r="E16" s="17">
        <v>31.5</v>
      </c>
      <c r="F16" s="17">
        <v>0</v>
      </c>
      <c r="G16" s="17">
        <v>0</v>
      </c>
      <c r="H16" s="17">
        <v>0</v>
      </c>
      <c r="I16" s="17"/>
      <c r="J16" s="17">
        <v>0</v>
      </c>
      <c r="K16" s="17">
        <v>1000</v>
      </c>
      <c r="L16" s="17">
        <v>0</v>
      </c>
      <c r="M16" s="17">
        <v>0</v>
      </c>
      <c r="N16" s="17">
        <v>0</v>
      </c>
      <c r="O16" s="17"/>
      <c r="P16" s="17"/>
      <c r="Q16" s="17"/>
      <c r="R16" s="17"/>
      <c r="S16" s="17"/>
      <c r="T16" s="17"/>
      <c r="U16" s="17"/>
      <c r="V16" s="17"/>
      <c r="W16" s="17">
        <v>0</v>
      </c>
      <c r="X16" s="17"/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/>
      <c r="AH16" s="17">
        <v>0</v>
      </c>
    </row>
    <row r="17" spans="1:34" x14ac:dyDescent="0.25">
      <c r="B17" s="12">
        <v>15</v>
      </c>
      <c r="C17" s="14" t="s">
        <v>176</v>
      </c>
      <c r="D17" s="14">
        <v>12</v>
      </c>
      <c r="E17" s="14">
        <v>12.5</v>
      </c>
      <c r="F17" s="14">
        <v>87</v>
      </c>
      <c r="G17" s="14">
        <v>-71</v>
      </c>
      <c r="H17" s="14">
        <v>48</v>
      </c>
      <c r="I17" s="14">
        <v>14.3</v>
      </c>
      <c r="J17" s="14">
        <v>80</v>
      </c>
      <c r="K17" s="14">
        <v>10</v>
      </c>
      <c r="L17" s="14">
        <v>70</v>
      </c>
      <c r="M17" s="14">
        <v>90</v>
      </c>
      <c r="N17" s="14">
        <v>750</v>
      </c>
      <c r="O17" s="14">
        <v>60</v>
      </c>
      <c r="P17" s="14">
        <v>0</v>
      </c>
      <c r="Q17" s="14">
        <v>70</v>
      </c>
      <c r="R17" s="14">
        <v>95</v>
      </c>
      <c r="S17" s="14">
        <v>89</v>
      </c>
      <c r="T17" s="14"/>
      <c r="U17" s="14">
        <v>82</v>
      </c>
      <c r="V17" s="14">
        <v>61</v>
      </c>
      <c r="W17" s="14">
        <v>610</v>
      </c>
      <c r="X17" s="14"/>
      <c r="Y17" s="14">
        <v>0</v>
      </c>
      <c r="Z17" s="14"/>
      <c r="AA17" s="14"/>
      <c r="AB17" s="14">
        <v>2.2999999999999998</v>
      </c>
      <c r="AC17" s="14">
        <v>1.6</v>
      </c>
      <c r="AD17" s="14">
        <v>1.3</v>
      </c>
      <c r="AE17" s="14">
        <v>15</v>
      </c>
      <c r="AF17" s="14">
        <v>1.5</v>
      </c>
      <c r="AG17" s="14">
        <v>346</v>
      </c>
      <c r="AH17" s="14">
        <v>1.5</v>
      </c>
    </row>
    <row r="18" spans="1:34" x14ac:dyDescent="0.25">
      <c r="B18" s="15">
        <v>16</v>
      </c>
      <c r="C18" s="17" t="s">
        <v>177</v>
      </c>
      <c r="D18" s="17">
        <v>90</v>
      </c>
      <c r="E18" s="17">
        <v>10.6</v>
      </c>
      <c r="F18" s="17">
        <v>89</v>
      </c>
      <c r="G18" s="17">
        <v>-150</v>
      </c>
      <c r="H18" s="17">
        <v>0</v>
      </c>
      <c r="I18" s="17">
        <v>14.5</v>
      </c>
      <c r="J18" s="17">
        <v>3</v>
      </c>
      <c r="K18" s="17">
        <v>5</v>
      </c>
      <c r="L18" s="17">
        <v>815</v>
      </c>
      <c r="M18" s="17">
        <v>7</v>
      </c>
      <c r="N18" s="17">
        <v>170</v>
      </c>
      <c r="O18" s="17">
        <v>0</v>
      </c>
      <c r="P18" s="17">
        <v>40</v>
      </c>
      <c r="Q18" s="17">
        <v>90</v>
      </c>
      <c r="R18" s="17">
        <v>60</v>
      </c>
      <c r="S18" s="17">
        <v>90</v>
      </c>
      <c r="T18" s="17"/>
      <c r="U18" s="17">
        <v>0</v>
      </c>
      <c r="V18" s="17">
        <v>0</v>
      </c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spans="1:34" x14ac:dyDescent="0.25">
      <c r="B19" s="12">
        <v>17</v>
      </c>
      <c r="C19" s="14" t="s">
        <v>178</v>
      </c>
      <c r="D19" s="14">
        <v>15</v>
      </c>
      <c r="E19" s="14">
        <v>10.6</v>
      </c>
      <c r="F19" s="14">
        <v>71</v>
      </c>
      <c r="G19" s="14">
        <v>12</v>
      </c>
      <c r="H19" s="14">
        <v>100</v>
      </c>
      <c r="I19" s="14">
        <v>12.6</v>
      </c>
      <c r="J19" s="14">
        <v>140</v>
      </c>
      <c r="K19" s="14">
        <v>30</v>
      </c>
      <c r="L19" s="14">
        <v>200</v>
      </c>
      <c r="M19" s="14">
        <v>130</v>
      </c>
      <c r="N19" s="14">
        <v>500</v>
      </c>
      <c r="O19" s="14"/>
      <c r="P19" s="14">
        <v>58</v>
      </c>
      <c r="Q19" s="14">
        <v>58</v>
      </c>
      <c r="R19" s="14">
        <v>88</v>
      </c>
      <c r="S19" s="14">
        <v>72</v>
      </c>
      <c r="T19" s="14"/>
      <c r="U19" s="14">
        <v>80</v>
      </c>
      <c r="V19" s="14">
        <v>63</v>
      </c>
      <c r="W19" s="14">
        <v>10</v>
      </c>
      <c r="X19" s="14"/>
      <c r="Y19" s="14">
        <v>0</v>
      </c>
      <c r="Z19" s="14"/>
      <c r="AA19" s="14"/>
      <c r="AB19" s="14">
        <v>19.399999999999999</v>
      </c>
      <c r="AC19" s="14">
        <v>4.3</v>
      </c>
      <c r="AD19" s="14">
        <v>2.8</v>
      </c>
      <c r="AE19" s="14">
        <v>30</v>
      </c>
      <c r="AF19" s="14">
        <v>2.5</v>
      </c>
      <c r="AG19" s="14"/>
      <c r="AH19" s="14">
        <v>2.5</v>
      </c>
    </row>
    <row r="20" spans="1:34" x14ac:dyDescent="0.25">
      <c r="B20" s="15">
        <v>18</v>
      </c>
      <c r="C20" s="17" t="s">
        <v>179</v>
      </c>
      <c r="D20" s="17">
        <v>16</v>
      </c>
      <c r="E20" s="17">
        <v>12.7</v>
      </c>
      <c r="F20" s="17">
        <v>90</v>
      </c>
      <c r="G20" s="17">
        <v>-93</v>
      </c>
      <c r="H20" s="17">
        <v>36</v>
      </c>
      <c r="I20" s="17">
        <v>14.5</v>
      </c>
      <c r="J20" s="17">
        <v>60</v>
      </c>
      <c r="K20" s="17">
        <v>10</v>
      </c>
      <c r="L20" s="17">
        <v>68</v>
      </c>
      <c r="M20" s="17">
        <v>78</v>
      </c>
      <c r="N20" s="17">
        <v>784</v>
      </c>
      <c r="O20" s="17">
        <v>60</v>
      </c>
      <c r="P20" s="17">
        <v>0</v>
      </c>
      <c r="Q20" s="17">
        <v>65</v>
      </c>
      <c r="R20" s="17">
        <v>95</v>
      </c>
      <c r="S20" s="17">
        <v>90</v>
      </c>
      <c r="T20" s="17"/>
      <c r="U20" s="17">
        <v>80</v>
      </c>
      <c r="V20" s="17">
        <v>82</v>
      </c>
      <c r="W20" s="17">
        <v>680</v>
      </c>
      <c r="X20" s="17"/>
      <c r="Y20" s="17">
        <v>0</v>
      </c>
      <c r="Z20" s="17"/>
      <c r="AA20" s="17"/>
      <c r="AB20" s="17">
        <v>1.8</v>
      </c>
      <c r="AC20" s="17">
        <v>1.7</v>
      </c>
      <c r="AD20" s="17">
        <v>1.4</v>
      </c>
      <c r="AE20" s="17">
        <v>21</v>
      </c>
      <c r="AF20" s="17">
        <v>2</v>
      </c>
      <c r="AG20" s="17"/>
      <c r="AH20" s="17">
        <v>1.5</v>
      </c>
    </row>
    <row r="21" spans="1:34" x14ac:dyDescent="0.25">
      <c r="B21" s="12">
        <v>19</v>
      </c>
      <c r="C21" s="14" t="s">
        <v>180</v>
      </c>
      <c r="D21" s="14">
        <v>90</v>
      </c>
      <c r="E21" s="14">
        <v>7.3</v>
      </c>
      <c r="F21" s="14">
        <v>43</v>
      </c>
      <c r="G21" s="14">
        <v>-9</v>
      </c>
      <c r="H21" s="14">
        <v>47</v>
      </c>
      <c r="I21" s="14">
        <v>8.4</v>
      </c>
      <c r="J21" s="14">
        <v>105</v>
      </c>
      <c r="K21" s="14">
        <v>20</v>
      </c>
      <c r="L21" s="14">
        <v>450</v>
      </c>
      <c r="M21" s="14">
        <v>71</v>
      </c>
      <c r="N21" s="14">
        <v>354</v>
      </c>
      <c r="O21" s="14">
        <v>45</v>
      </c>
      <c r="P21" s="14">
        <v>40</v>
      </c>
      <c r="Q21" s="14">
        <v>50</v>
      </c>
      <c r="R21" s="14">
        <v>50</v>
      </c>
      <c r="S21" s="14">
        <v>49</v>
      </c>
      <c r="T21" s="14"/>
      <c r="U21" s="14">
        <v>60</v>
      </c>
      <c r="V21" s="14">
        <v>0</v>
      </c>
      <c r="W21" s="14">
        <v>0</v>
      </c>
      <c r="X21" s="14"/>
      <c r="Y21" s="14">
        <v>0</v>
      </c>
      <c r="Z21" s="14"/>
      <c r="AA21" s="14"/>
      <c r="AB21" s="14">
        <v>13</v>
      </c>
      <c r="AC21" s="14">
        <v>2.4</v>
      </c>
      <c r="AD21" s="14">
        <v>3.9</v>
      </c>
      <c r="AE21" s="14">
        <v>14</v>
      </c>
      <c r="AF21" s="14">
        <v>0.1</v>
      </c>
      <c r="AG21" s="14"/>
      <c r="AH21" s="14">
        <v>0.1</v>
      </c>
    </row>
    <row r="22" spans="1:34" x14ac:dyDescent="0.25">
      <c r="B22" s="15">
        <v>20</v>
      </c>
      <c r="C22" s="17" t="s">
        <v>181</v>
      </c>
      <c r="D22" s="17">
        <v>89</v>
      </c>
      <c r="E22" s="17">
        <v>6.9</v>
      </c>
      <c r="F22" s="17">
        <v>47</v>
      </c>
      <c r="G22" s="17">
        <v>-35</v>
      </c>
      <c r="H22" s="17">
        <v>29</v>
      </c>
      <c r="I22" s="17">
        <v>8.6</v>
      </c>
      <c r="J22" s="17">
        <v>73</v>
      </c>
      <c r="K22" s="17">
        <v>20</v>
      </c>
      <c r="L22" s="17">
        <v>400</v>
      </c>
      <c r="M22" s="17">
        <v>64</v>
      </c>
      <c r="N22" s="17">
        <v>443</v>
      </c>
      <c r="O22" s="17">
        <v>40</v>
      </c>
      <c r="P22" s="17">
        <v>40</v>
      </c>
      <c r="Q22" s="17">
        <v>55</v>
      </c>
      <c r="R22" s="17">
        <v>50</v>
      </c>
      <c r="S22" s="17">
        <v>51</v>
      </c>
      <c r="T22" s="17"/>
      <c r="U22" s="17">
        <v>60</v>
      </c>
      <c r="V22" s="17">
        <v>0</v>
      </c>
      <c r="W22" s="17">
        <v>0</v>
      </c>
      <c r="X22" s="17"/>
      <c r="Y22" s="17">
        <v>0</v>
      </c>
      <c r="Z22" s="17"/>
      <c r="AA22" s="17"/>
      <c r="AB22" s="17">
        <v>3.3</v>
      </c>
      <c r="AC22" s="17">
        <v>1.4</v>
      </c>
      <c r="AD22" s="17">
        <v>1.4</v>
      </c>
      <c r="AE22" s="17">
        <v>25</v>
      </c>
      <c r="AF22" s="17">
        <v>1</v>
      </c>
      <c r="AG22" s="17"/>
      <c r="AH22" s="17">
        <v>1</v>
      </c>
    </row>
    <row r="23" spans="1:34" x14ac:dyDescent="0.25">
      <c r="B23" s="12">
        <v>21</v>
      </c>
      <c r="C23" s="14" t="s">
        <v>182</v>
      </c>
      <c r="D23" s="14">
        <v>80</v>
      </c>
      <c r="E23" s="14">
        <v>8.3000000000000007</v>
      </c>
      <c r="F23" s="14">
        <v>54</v>
      </c>
      <c r="G23" s="14">
        <v>4</v>
      </c>
      <c r="H23" s="14">
        <v>50</v>
      </c>
      <c r="I23" s="14">
        <v>10.3</v>
      </c>
      <c r="J23" s="14">
        <v>119</v>
      </c>
      <c r="K23" s="14">
        <v>20</v>
      </c>
      <c r="L23" s="14">
        <v>400</v>
      </c>
      <c r="M23" s="14">
        <v>60</v>
      </c>
      <c r="N23" s="14">
        <v>401</v>
      </c>
      <c r="O23" s="14">
        <v>42</v>
      </c>
      <c r="P23" s="14">
        <v>40</v>
      </c>
      <c r="Q23" s="14">
        <v>65</v>
      </c>
      <c r="R23" s="14">
        <v>62</v>
      </c>
      <c r="S23" s="14">
        <v>61</v>
      </c>
      <c r="T23" s="14"/>
      <c r="U23" s="14">
        <v>80</v>
      </c>
      <c r="V23" s="14">
        <v>0</v>
      </c>
      <c r="W23" s="14">
        <v>0</v>
      </c>
      <c r="X23" s="14"/>
      <c r="Y23" s="14">
        <v>0</v>
      </c>
      <c r="Z23" s="14"/>
      <c r="AA23" s="14"/>
      <c r="AB23" s="14">
        <v>3.3</v>
      </c>
      <c r="AC23" s="14">
        <v>1.1000000000000001</v>
      </c>
      <c r="AD23" s="14">
        <v>1.3</v>
      </c>
      <c r="AE23" s="14">
        <v>19</v>
      </c>
      <c r="AF23" s="14">
        <v>3</v>
      </c>
      <c r="AG23" s="14"/>
      <c r="AH23" s="14">
        <v>3</v>
      </c>
    </row>
    <row r="24" spans="1:34" x14ac:dyDescent="0.25">
      <c r="A24" t="s">
        <v>305</v>
      </c>
      <c r="B24" s="15">
        <v>22</v>
      </c>
      <c r="C24" s="17" t="s">
        <v>183</v>
      </c>
      <c r="D24" s="17">
        <v>85</v>
      </c>
      <c r="E24" s="17">
        <v>6.6</v>
      </c>
      <c r="F24" s="17">
        <v>45</v>
      </c>
      <c r="G24" s="17">
        <v>-60</v>
      </c>
      <c r="H24" s="17">
        <v>0</v>
      </c>
      <c r="I24" s="17">
        <v>7.6</v>
      </c>
      <c r="J24" s="17">
        <v>69</v>
      </c>
      <c r="K24" s="17">
        <v>20</v>
      </c>
      <c r="L24" s="17">
        <v>436</v>
      </c>
      <c r="M24" s="17">
        <v>66</v>
      </c>
      <c r="N24" s="17">
        <v>409</v>
      </c>
      <c r="O24" s="17">
        <v>0</v>
      </c>
      <c r="P24" s="17">
        <v>40</v>
      </c>
      <c r="Q24" s="17">
        <v>55</v>
      </c>
      <c r="R24" s="17">
        <v>45</v>
      </c>
      <c r="S24" s="17">
        <v>47</v>
      </c>
      <c r="T24" s="17">
        <v>25</v>
      </c>
      <c r="U24" s="17">
        <v>23</v>
      </c>
      <c r="V24" s="17">
        <v>0</v>
      </c>
      <c r="W24" s="17">
        <v>0</v>
      </c>
      <c r="X24" s="17"/>
      <c r="Y24" s="17">
        <v>0</v>
      </c>
      <c r="Z24" s="17">
        <v>748</v>
      </c>
      <c r="AA24" s="17">
        <v>120</v>
      </c>
      <c r="AB24" s="17">
        <v>7.5</v>
      </c>
      <c r="AC24" s="17">
        <v>2.6</v>
      </c>
      <c r="AD24" s="17">
        <v>2.8</v>
      </c>
      <c r="AE24" s="17">
        <v>16.8</v>
      </c>
      <c r="AF24" s="17">
        <v>3</v>
      </c>
      <c r="AG24" s="17">
        <v>162</v>
      </c>
      <c r="AH24" s="17">
        <v>3</v>
      </c>
    </row>
    <row r="25" spans="1:34" x14ac:dyDescent="0.25">
      <c r="B25" s="12">
        <v>23</v>
      </c>
      <c r="C25" s="14" t="s">
        <v>184</v>
      </c>
      <c r="D25" s="14">
        <v>59</v>
      </c>
      <c r="E25" s="14">
        <v>7.9</v>
      </c>
      <c r="F25" s="14">
        <v>63</v>
      </c>
      <c r="G25" s="14">
        <v>-74</v>
      </c>
      <c r="H25" s="14">
        <v>0</v>
      </c>
      <c r="I25" s="14">
        <v>10.4</v>
      </c>
      <c r="J25" s="14">
        <v>40</v>
      </c>
      <c r="K25" s="14">
        <v>15</v>
      </c>
      <c r="L25" s="14">
        <v>408</v>
      </c>
      <c r="M25" s="14">
        <v>100</v>
      </c>
      <c r="N25" s="14">
        <v>437</v>
      </c>
      <c r="O25" s="14">
        <v>0</v>
      </c>
      <c r="P25" s="14">
        <v>35</v>
      </c>
      <c r="Q25" s="14">
        <v>75</v>
      </c>
      <c r="R25" s="14">
        <v>65</v>
      </c>
      <c r="S25" s="14">
        <v>65</v>
      </c>
      <c r="T25" s="14">
        <v>34</v>
      </c>
      <c r="U25" s="14">
        <v>80</v>
      </c>
      <c r="V25" s="14">
        <v>0</v>
      </c>
      <c r="W25" s="14">
        <v>0</v>
      </c>
      <c r="X25" s="14"/>
      <c r="Y25" s="14">
        <v>0</v>
      </c>
      <c r="Z25" s="14"/>
      <c r="AA25" s="14"/>
      <c r="AB25" s="14">
        <v>3.3</v>
      </c>
      <c r="AC25" s="14">
        <v>1.1000000000000001</v>
      </c>
      <c r="AD25" s="14">
        <v>1.3</v>
      </c>
      <c r="AE25" s="14">
        <v>19</v>
      </c>
      <c r="AF25" s="14">
        <v>28.1</v>
      </c>
      <c r="AG25" s="14"/>
      <c r="AH25" s="14">
        <v>28</v>
      </c>
    </row>
    <row r="26" spans="1:34" x14ac:dyDescent="0.25">
      <c r="B26" s="15">
        <v>24</v>
      </c>
      <c r="C26" s="17" t="s">
        <v>185</v>
      </c>
      <c r="D26" s="17">
        <v>74</v>
      </c>
      <c r="E26" s="17">
        <v>8.1999999999999993</v>
      </c>
      <c r="F26" s="17">
        <v>59</v>
      </c>
      <c r="G26" s="17">
        <v>-67</v>
      </c>
      <c r="H26" s="17">
        <v>0</v>
      </c>
      <c r="I26" s="17">
        <v>9.8000000000000007</v>
      </c>
      <c r="J26" s="17">
        <v>40</v>
      </c>
      <c r="K26" s="17">
        <v>15</v>
      </c>
      <c r="L26" s="17">
        <v>421</v>
      </c>
      <c r="M26" s="17">
        <v>73</v>
      </c>
      <c r="N26" s="17">
        <v>451</v>
      </c>
      <c r="O26" s="17">
        <v>0</v>
      </c>
      <c r="P26" s="17">
        <v>35</v>
      </c>
      <c r="Q26" s="17">
        <v>65</v>
      </c>
      <c r="R26" s="17">
        <v>62</v>
      </c>
      <c r="S26" s="17">
        <v>73</v>
      </c>
      <c r="T26" s="17"/>
      <c r="U26" s="17">
        <v>80</v>
      </c>
      <c r="V26" s="17">
        <v>0</v>
      </c>
      <c r="W26" s="17">
        <v>0</v>
      </c>
      <c r="X26" s="17"/>
      <c r="Y26" s="17">
        <v>0</v>
      </c>
      <c r="Z26" s="17"/>
      <c r="AA26" s="17"/>
      <c r="AB26" s="17">
        <v>3.2</v>
      </c>
      <c r="AC26" s="17">
        <v>1.8</v>
      </c>
      <c r="AD26" s="17"/>
      <c r="AE26" s="17"/>
      <c r="AF26" s="17"/>
      <c r="AG26" s="17"/>
      <c r="AH26" s="17"/>
    </row>
    <row r="27" spans="1:34" x14ac:dyDescent="0.25">
      <c r="B27" s="12">
        <v>25</v>
      </c>
      <c r="C27" s="14" t="s">
        <v>186</v>
      </c>
      <c r="D27" s="14">
        <v>93</v>
      </c>
      <c r="E27" s="14">
        <v>17.7</v>
      </c>
      <c r="F27" s="14"/>
      <c r="G27" s="14"/>
      <c r="H27" s="14">
        <v>140</v>
      </c>
      <c r="I27" s="14">
        <v>18.2</v>
      </c>
      <c r="J27" s="14">
        <v>200</v>
      </c>
      <c r="K27" s="14">
        <v>350</v>
      </c>
      <c r="L27" s="14">
        <v>170</v>
      </c>
      <c r="M27" s="14">
        <v>50</v>
      </c>
      <c r="N27" s="14">
        <v>230</v>
      </c>
      <c r="O27" s="14">
        <v>70</v>
      </c>
      <c r="P27" s="14">
        <v>90</v>
      </c>
      <c r="Q27" s="14">
        <v>30</v>
      </c>
      <c r="R27" s="14">
        <v>80</v>
      </c>
      <c r="S27" s="14">
        <v>73</v>
      </c>
      <c r="T27" s="14"/>
      <c r="U27" s="14"/>
      <c r="V27" s="14"/>
      <c r="W27" s="14"/>
      <c r="X27" s="14"/>
      <c r="Y27" s="14"/>
      <c r="Z27" s="14"/>
      <c r="AA27" s="14"/>
      <c r="AB27" s="14">
        <v>1.7</v>
      </c>
      <c r="AC27" s="14">
        <v>6</v>
      </c>
      <c r="AD27" s="14"/>
      <c r="AE27" s="14"/>
      <c r="AF27" s="14"/>
      <c r="AG27" s="14"/>
      <c r="AH27" s="14"/>
    </row>
    <row r="28" spans="1:34" x14ac:dyDescent="0.25">
      <c r="B28" s="15">
        <v>26</v>
      </c>
      <c r="C28" s="17" t="s">
        <v>187</v>
      </c>
      <c r="D28" s="17">
        <v>37</v>
      </c>
      <c r="E28" s="17">
        <v>9.1</v>
      </c>
      <c r="F28" s="17">
        <v>58</v>
      </c>
      <c r="G28" s="17">
        <v>-8</v>
      </c>
      <c r="H28" s="17">
        <v>69</v>
      </c>
      <c r="I28" s="17">
        <v>11.2</v>
      </c>
      <c r="J28" s="17">
        <v>107</v>
      </c>
      <c r="K28" s="17">
        <v>25</v>
      </c>
      <c r="L28" s="17">
        <v>313</v>
      </c>
      <c r="M28" s="17">
        <v>72</v>
      </c>
      <c r="N28" s="17">
        <v>483</v>
      </c>
      <c r="O28" s="17"/>
      <c r="P28" s="17">
        <v>54</v>
      </c>
      <c r="Q28" s="17">
        <v>62</v>
      </c>
      <c r="R28" s="17">
        <v>68</v>
      </c>
      <c r="S28" s="17">
        <v>63</v>
      </c>
      <c r="T28" s="17"/>
      <c r="U28" s="17">
        <v>80</v>
      </c>
      <c r="V28" s="17">
        <v>19</v>
      </c>
      <c r="W28" s="17"/>
      <c r="X28" s="17"/>
      <c r="Y28" s="17"/>
      <c r="Z28" s="17">
        <v>536</v>
      </c>
      <c r="AA28" s="17">
        <v>90</v>
      </c>
      <c r="AB28" s="17">
        <v>4.5</v>
      </c>
      <c r="AC28" s="17">
        <v>2.9</v>
      </c>
      <c r="AD28" s="17">
        <v>1.4</v>
      </c>
      <c r="AE28" s="17">
        <v>20.100000000000001</v>
      </c>
      <c r="AF28" s="17">
        <v>1.5</v>
      </c>
      <c r="AG28" s="17"/>
      <c r="AH28" s="17">
        <v>0.5</v>
      </c>
    </row>
    <row r="29" spans="1:34" x14ac:dyDescent="0.25">
      <c r="B29" s="12">
        <v>27</v>
      </c>
      <c r="C29" s="14" t="s">
        <v>188</v>
      </c>
      <c r="D29" s="14">
        <v>87</v>
      </c>
      <c r="E29" s="14">
        <v>7.2</v>
      </c>
      <c r="F29" s="14">
        <v>56</v>
      </c>
      <c r="G29" s="14">
        <v>-28</v>
      </c>
      <c r="H29" s="14">
        <v>35</v>
      </c>
      <c r="I29" s="14">
        <v>8.4</v>
      </c>
      <c r="J29" s="14">
        <v>63</v>
      </c>
      <c r="K29" s="14">
        <v>32</v>
      </c>
      <c r="L29" s="14">
        <v>290</v>
      </c>
      <c r="M29" s="14">
        <v>55</v>
      </c>
      <c r="N29" s="14">
        <v>560</v>
      </c>
      <c r="O29" s="14">
        <v>56</v>
      </c>
      <c r="P29" s="14">
        <v>65</v>
      </c>
      <c r="Q29" s="14">
        <v>30</v>
      </c>
      <c r="R29" s="14">
        <v>55</v>
      </c>
      <c r="S29" s="14">
        <v>48</v>
      </c>
      <c r="T29" s="14"/>
      <c r="U29" s="14">
        <v>67</v>
      </c>
      <c r="V29" s="14">
        <v>77</v>
      </c>
      <c r="W29" s="14"/>
      <c r="X29" s="14"/>
      <c r="Y29" s="14"/>
      <c r="Z29" s="14"/>
      <c r="AA29" s="14"/>
      <c r="AB29" s="14">
        <v>2</v>
      </c>
      <c r="AC29" s="14">
        <v>7.7</v>
      </c>
      <c r="AD29" s="14"/>
      <c r="AE29" s="14"/>
      <c r="AF29" s="14"/>
      <c r="AG29" s="14"/>
      <c r="AH29" s="14"/>
    </row>
    <row r="30" spans="1:34" x14ac:dyDescent="0.25">
      <c r="A30" t="s">
        <v>38</v>
      </c>
      <c r="B30" s="15">
        <v>28</v>
      </c>
      <c r="C30" s="17" t="s">
        <v>189</v>
      </c>
      <c r="D30" s="17">
        <v>85</v>
      </c>
      <c r="E30" s="17">
        <v>11.7</v>
      </c>
      <c r="F30" s="17">
        <v>67</v>
      </c>
      <c r="G30" s="17">
        <v>-2</v>
      </c>
      <c r="H30" s="17">
        <v>88</v>
      </c>
      <c r="I30" s="17">
        <v>13.3</v>
      </c>
      <c r="J30" s="17">
        <v>110</v>
      </c>
      <c r="K30" s="17">
        <v>61</v>
      </c>
      <c r="L30" s="17">
        <v>141</v>
      </c>
      <c r="M30" s="17">
        <v>34</v>
      </c>
      <c r="N30" s="17">
        <v>654</v>
      </c>
      <c r="O30" s="17">
        <v>80</v>
      </c>
      <c r="P30" s="17">
        <v>88</v>
      </c>
      <c r="Q30" s="17">
        <v>30</v>
      </c>
      <c r="R30" s="17">
        <v>76</v>
      </c>
      <c r="S30" s="17">
        <v>75</v>
      </c>
      <c r="T30" s="17">
        <v>37</v>
      </c>
      <c r="U30" s="17">
        <v>86</v>
      </c>
      <c r="V30" s="17">
        <v>73</v>
      </c>
      <c r="W30" s="17">
        <v>10</v>
      </c>
      <c r="X30" s="17">
        <v>21</v>
      </c>
      <c r="Y30" s="17">
        <v>338</v>
      </c>
      <c r="Z30" s="17">
        <v>358</v>
      </c>
      <c r="AA30" s="17">
        <v>30</v>
      </c>
      <c r="AB30" s="17">
        <v>0.7</v>
      </c>
      <c r="AC30" s="17">
        <v>3.7</v>
      </c>
      <c r="AD30" s="17">
        <v>1.2</v>
      </c>
      <c r="AE30" s="17">
        <v>5.3</v>
      </c>
      <c r="AF30" s="17">
        <v>0.1</v>
      </c>
      <c r="AG30" s="17">
        <v>-32</v>
      </c>
      <c r="AH30" s="17">
        <v>0.1</v>
      </c>
    </row>
    <row r="31" spans="1:34" x14ac:dyDescent="0.25">
      <c r="B31" s="12">
        <v>29</v>
      </c>
      <c r="C31" s="14" t="s">
        <v>190</v>
      </c>
      <c r="D31" s="14">
        <v>87</v>
      </c>
      <c r="E31" s="14">
        <v>5.2</v>
      </c>
      <c r="F31" s="14"/>
      <c r="G31" s="14"/>
      <c r="H31" s="14">
        <v>9</v>
      </c>
      <c r="I31" s="14">
        <v>6.2</v>
      </c>
      <c r="J31" s="14">
        <v>30</v>
      </c>
      <c r="K31" s="14">
        <v>20</v>
      </c>
      <c r="L31" s="14">
        <v>340</v>
      </c>
      <c r="M31" s="14">
        <v>50</v>
      </c>
      <c r="N31" s="14">
        <v>560</v>
      </c>
      <c r="O31" s="14">
        <v>30</v>
      </c>
      <c r="P31" s="14">
        <v>80</v>
      </c>
      <c r="Q31" s="14">
        <v>35</v>
      </c>
      <c r="R31" s="14">
        <v>35</v>
      </c>
      <c r="S31" s="14">
        <v>36</v>
      </c>
      <c r="T31" s="14"/>
      <c r="U31" s="14"/>
      <c r="V31" s="14"/>
      <c r="W31" s="14">
        <v>11</v>
      </c>
      <c r="X31" s="14"/>
      <c r="Y31" s="14">
        <v>130</v>
      </c>
      <c r="Z31" s="14">
        <v>780</v>
      </c>
      <c r="AA31" s="14">
        <v>80</v>
      </c>
      <c r="AB31" s="14">
        <v>1.2</v>
      </c>
      <c r="AC31" s="14">
        <v>4.4000000000000004</v>
      </c>
      <c r="AD31" s="14">
        <v>1</v>
      </c>
      <c r="AE31" s="14">
        <v>6</v>
      </c>
      <c r="AF31" s="14">
        <v>0.3</v>
      </c>
      <c r="AG31" s="14"/>
      <c r="AH31" s="14">
        <v>0.3</v>
      </c>
    </row>
    <row r="32" spans="1:34" x14ac:dyDescent="0.25">
      <c r="B32" s="15">
        <v>30</v>
      </c>
      <c r="C32" s="17" t="s">
        <v>71</v>
      </c>
      <c r="D32" s="17">
        <v>87</v>
      </c>
      <c r="E32" s="17">
        <v>13.1</v>
      </c>
      <c r="F32" s="17">
        <v>75</v>
      </c>
      <c r="G32" s="17">
        <v>37</v>
      </c>
      <c r="H32" s="17">
        <v>118</v>
      </c>
      <c r="I32" s="17">
        <v>14.8</v>
      </c>
      <c r="J32" s="17">
        <v>160</v>
      </c>
      <c r="K32" s="17">
        <v>67</v>
      </c>
      <c r="L32" s="17">
        <v>33</v>
      </c>
      <c r="M32" s="17">
        <v>23</v>
      </c>
      <c r="N32" s="17">
        <v>717</v>
      </c>
      <c r="O32" s="17">
        <v>74</v>
      </c>
      <c r="P32" s="17">
        <v>80</v>
      </c>
      <c r="Q32" s="17">
        <v>25</v>
      </c>
      <c r="R32" s="17">
        <v>80</v>
      </c>
      <c r="S32" s="17">
        <v>77</v>
      </c>
      <c r="T32" s="17">
        <v>87</v>
      </c>
      <c r="U32" s="17">
        <v>88</v>
      </c>
      <c r="V32" s="17">
        <v>77</v>
      </c>
      <c r="W32" s="17">
        <v>13</v>
      </c>
      <c r="X32" s="17"/>
      <c r="Y32" s="17">
        <v>637</v>
      </c>
      <c r="Z32" s="17">
        <v>94</v>
      </c>
      <c r="AA32" s="17"/>
      <c r="AB32" s="17">
        <v>0.8</v>
      </c>
      <c r="AC32" s="17">
        <v>4.5999999999999996</v>
      </c>
      <c r="AD32" s="17">
        <v>1.3</v>
      </c>
      <c r="AE32" s="17">
        <v>4</v>
      </c>
      <c r="AF32" s="17"/>
      <c r="AG32" s="17"/>
      <c r="AH32" s="17"/>
    </row>
    <row r="33" spans="1:34" x14ac:dyDescent="0.25">
      <c r="B33" s="12">
        <v>31</v>
      </c>
      <c r="C33" s="14" t="s">
        <v>191</v>
      </c>
      <c r="D33" s="14">
        <v>50</v>
      </c>
      <c r="E33" s="14">
        <v>13.5</v>
      </c>
      <c r="F33" s="14"/>
      <c r="G33" s="14"/>
      <c r="H33" s="14">
        <v>48</v>
      </c>
      <c r="I33" s="14">
        <v>15.1</v>
      </c>
      <c r="J33" s="14">
        <v>80</v>
      </c>
      <c r="K33" s="14">
        <v>50</v>
      </c>
      <c r="L33" s="14">
        <v>50</v>
      </c>
      <c r="M33" s="14">
        <v>30</v>
      </c>
      <c r="N33" s="14">
        <v>790</v>
      </c>
      <c r="O33" s="14">
        <v>60</v>
      </c>
      <c r="P33" s="14">
        <v>80</v>
      </c>
      <c r="Q33" s="14">
        <v>30</v>
      </c>
      <c r="R33" s="14">
        <v>90</v>
      </c>
      <c r="S33" s="14">
        <v>84</v>
      </c>
      <c r="T33" s="14"/>
      <c r="U33" s="14"/>
      <c r="V33" s="14"/>
      <c r="W33" s="14"/>
      <c r="X33" s="14"/>
      <c r="Y33" s="14"/>
      <c r="Z33" s="14"/>
      <c r="AA33" s="14"/>
      <c r="AB33" s="14">
        <v>1</v>
      </c>
      <c r="AC33" s="14">
        <v>4</v>
      </c>
      <c r="AD33" s="14"/>
      <c r="AE33" s="14"/>
      <c r="AF33" s="14"/>
      <c r="AG33" s="14"/>
      <c r="AH33" s="14"/>
    </row>
    <row r="34" spans="1:34" x14ac:dyDescent="0.25">
      <c r="B34" s="15">
        <v>32</v>
      </c>
      <c r="C34" s="17" t="s">
        <v>192</v>
      </c>
      <c r="D34" s="17">
        <v>82</v>
      </c>
      <c r="E34" s="17">
        <v>10.7</v>
      </c>
      <c r="F34" s="17">
        <v>91</v>
      </c>
      <c r="G34" s="17">
        <v>-107</v>
      </c>
      <c r="H34" s="17">
        <v>0</v>
      </c>
      <c r="I34" s="17">
        <v>12</v>
      </c>
      <c r="J34" s="17">
        <v>43</v>
      </c>
      <c r="K34" s="17">
        <v>0</v>
      </c>
      <c r="L34" s="17">
        <v>79</v>
      </c>
      <c r="M34" s="17">
        <v>30</v>
      </c>
      <c r="N34" s="17">
        <v>848</v>
      </c>
      <c r="O34" s="17">
        <v>0</v>
      </c>
      <c r="P34" s="17">
        <v>0</v>
      </c>
      <c r="Q34" s="17">
        <v>47</v>
      </c>
      <c r="R34" s="17">
        <v>80</v>
      </c>
      <c r="S34" s="17">
        <v>74</v>
      </c>
      <c r="T34" s="17">
        <v>36</v>
      </c>
      <c r="U34" s="17">
        <v>49</v>
      </c>
      <c r="V34" s="17">
        <v>82</v>
      </c>
      <c r="W34" s="17">
        <v>457</v>
      </c>
      <c r="X34" s="17"/>
      <c r="Y34" s="17">
        <v>0</v>
      </c>
      <c r="Z34" s="17">
        <v>288</v>
      </c>
      <c r="AA34" s="17"/>
      <c r="AB34" s="17">
        <v>4.5</v>
      </c>
      <c r="AC34" s="17">
        <v>1</v>
      </c>
      <c r="AD34" s="17"/>
      <c r="AE34" s="17"/>
      <c r="AF34" s="17"/>
      <c r="AG34" s="17"/>
      <c r="AH34" s="17"/>
    </row>
    <row r="35" spans="1:34" x14ac:dyDescent="0.25">
      <c r="B35" s="12">
        <v>33</v>
      </c>
      <c r="C35" s="14" t="s">
        <v>193</v>
      </c>
      <c r="D35" s="14">
        <v>90</v>
      </c>
      <c r="E35" s="14">
        <v>14.6</v>
      </c>
      <c r="F35" s="14">
        <v>110</v>
      </c>
      <c r="G35" s="14">
        <v>332</v>
      </c>
      <c r="H35" s="14">
        <v>450</v>
      </c>
      <c r="I35" s="14">
        <v>17.7</v>
      </c>
      <c r="J35" s="14">
        <v>500</v>
      </c>
      <c r="K35" s="14">
        <v>10</v>
      </c>
      <c r="L35" s="14">
        <v>20</v>
      </c>
      <c r="M35" s="14">
        <v>70</v>
      </c>
      <c r="N35" s="14">
        <v>400</v>
      </c>
      <c r="O35" s="14">
        <v>90</v>
      </c>
      <c r="P35" s="14">
        <v>75</v>
      </c>
      <c r="Q35" s="14">
        <v>90</v>
      </c>
      <c r="R35" s="14">
        <v>90</v>
      </c>
      <c r="S35" s="14">
        <v>90</v>
      </c>
      <c r="T35" s="14"/>
      <c r="U35" s="14">
        <v>80</v>
      </c>
      <c r="V35" s="14">
        <v>82</v>
      </c>
      <c r="W35" s="14"/>
      <c r="X35" s="14"/>
      <c r="Y35" s="14"/>
      <c r="Z35" s="14"/>
      <c r="AA35" s="14"/>
      <c r="AB35" s="14">
        <v>2.2000000000000002</v>
      </c>
      <c r="AC35" s="14">
        <v>15.6</v>
      </c>
      <c r="AD35" s="14">
        <v>2.6</v>
      </c>
      <c r="AE35" s="14">
        <v>24</v>
      </c>
      <c r="AF35" s="14">
        <v>2.4</v>
      </c>
      <c r="AG35" s="14"/>
      <c r="AH35" s="14">
        <v>2.4</v>
      </c>
    </row>
    <row r="36" spans="1:34" x14ac:dyDescent="0.25">
      <c r="B36" s="15">
        <v>34</v>
      </c>
      <c r="C36" s="17" t="s">
        <v>194</v>
      </c>
      <c r="D36" s="17">
        <v>88</v>
      </c>
      <c r="E36" s="17">
        <v>15.3</v>
      </c>
      <c r="F36" s="17">
        <v>3</v>
      </c>
      <c r="G36" s="17">
        <v>865</v>
      </c>
      <c r="H36" s="17">
        <v>783</v>
      </c>
      <c r="I36" s="17">
        <v>19.5</v>
      </c>
      <c r="J36" s="17">
        <v>870</v>
      </c>
      <c r="K36" s="17">
        <v>0</v>
      </c>
      <c r="L36" s="17">
        <v>0</v>
      </c>
      <c r="M36" s="17">
        <v>100</v>
      </c>
      <c r="N36" s="17">
        <v>30</v>
      </c>
      <c r="O36" s="17">
        <v>90</v>
      </c>
      <c r="P36" s="17">
        <v>0</v>
      </c>
      <c r="Q36" s="17">
        <v>0</v>
      </c>
      <c r="R36" s="17">
        <v>100</v>
      </c>
      <c r="S36" s="17">
        <v>91</v>
      </c>
      <c r="T36" s="17"/>
      <c r="U36" s="17">
        <v>100</v>
      </c>
      <c r="V36" s="17">
        <v>82</v>
      </c>
      <c r="W36" s="17">
        <v>0</v>
      </c>
      <c r="X36" s="17"/>
      <c r="Y36" s="17">
        <v>0</v>
      </c>
      <c r="Z36" s="17"/>
      <c r="AA36" s="17"/>
      <c r="AB36" s="17">
        <v>34</v>
      </c>
      <c r="AC36" s="17">
        <v>19</v>
      </c>
      <c r="AD36" s="17">
        <v>0.1</v>
      </c>
      <c r="AE36" s="17">
        <v>0</v>
      </c>
      <c r="AF36" s="17">
        <v>0.2</v>
      </c>
      <c r="AG36" s="17"/>
      <c r="AH36" s="17">
        <v>0.2</v>
      </c>
    </row>
    <row r="37" spans="1:34" x14ac:dyDescent="0.25">
      <c r="B37" s="12">
        <v>35</v>
      </c>
      <c r="C37" s="14" t="s">
        <v>195</v>
      </c>
      <c r="D37" s="14">
        <v>94</v>
      </c>
      <c r="E37" s="14">
        <v>14.7</v>
      </c>
      <c r="F37" s="14">
        <v>125</v>
      </c>
      <c r="G37" s="14">
        <v>32</v>
      </c>
      <c r="H37" s="14">
        <v>178</v>
      </c>
      <c r="I37" s="14">
        <v>16.5</v>
      </c>
      <c r="J37" s="14">
        <v>223</v>
      </c>
      <c r="K37" s="14">
        <v>113</v>
      </c>
      <c r="L37" s="14">
        <v>115</v>
      </c>
      <c r="M37" s="14">
        <v>57</v>
      </c>
      <c r="N37" s="14">
        <v>492</v>
      </c>
      <c r="O37" s="14">
        <v>80</v>
      </c>
      <c r="P37" s="14">
        <v>95</v>
      </c>
      <c r="Q37" s="14">
        <v>65</v>
      </c>
      <c r="R37" s="14">
        <v>85</v>
      </c>
      <c r="S37" s="14">
        <v>82</v>
      </c>
      <c r="T37" s="14">
        <v>56</v>
      </c>
      <c r="U37" s="14">
        <v>54</v>
      </c>
      <c r="V37" s="14">
        <v>83</v>
      </c>
      <c r="W37" s="14">
        <v>110</v>
      </c>
      <c r="X37" s="14"/>
      <c r="Y37" s="14">
        <v>6</v>
      </c>
      <c r="Z37" s="14">
        <v>388</v>
      </c>
      <c r="AA37" s="14"/>
      <c r="AB37" s="14">
        <v>1</v>
      </c>
      <c r="AC37" s="14">
        <v>5.4</v>
      </c>
      <c r="AD37" s="14">
        <v>3.3</v>
      </c>
      <c r="AE37" s="14">
        <v>21</v>
      </c>
      <c r="AF37" s="14">
        <v>1</v>
      </c>
      <c r="AG37" s="14">
        <v>202</v>
      </c>
      <c r="AH37" s="14">
        <v>1</v>
      </c>
    </row>
    <row r="38" spans="1:34" x14ac:dyDescent="0.25">
      <c r="B38" s="15">
        <v>36</v>
      </c>
      <c r="C38" s="17" t="s">
        <v>196</v>
      </c>
      <c r="D38" s="17">
        <v>92</v>
      </c>
      <c r="E38" s="17">
        <v>12</v>
      </c>
      <c r="F38" s="17">
        <v>153</v>
      </c>
      <c r="G38" s="17">
        <v>26</v>
      </c>
      <c r="H38" s="17">
        <v>208</v>
      </c>
      <c r="I38" s="17">
        <v>14.3</v>
      </c>
      <c r="J38" s="17">
        <v>260</v>
      </c>
      <c r="K38" s="17">
        <v>10</v>
      </c>
      <c r="L38" s="17">
        <v>160</v>
      </c>
      <c r="M38" s="17">
        <v>70</v>
      </c>
      <c r="N38" s="17">
        <v>500</v>
      </c>
      <c r="O38" s="17">
        <v>80</v>
      </c>
      <c r="P38" s="17">
        <v>80</v>
      </c>
      <c r="Q38" s="17">
        <v>60</v>
      </c>
      <c r="R38" s="17">
        <v>85</v>
      </c>
      <c r="S38" s="17">
        <v>79</v>
      </c>
      <c r="T38" s="17"/>
      <c r="U38" s="17">
        <v>46</v>
      </c>
      <c r="V38" s="17">
        <v>82</v>
      </c>
      <c r="W38" s="17">
        <v>112</v>
      </c>
      <c r="X38" s="17"/>
      <c r="Y38" s="17">
        <v>19</v>
      </c>
      <c r="Z38" s="17">
        <v>580</v>
      </c>
      <c r="AA38" s="17"/>
      <c r="AB38" s="17">
        <v>1.4</v>
      </c>
      <c r="AC38" s="17">
        <v>6.4</v>
      </c>
      <c r="AD38" s="17">
        <v>3.6</v>
      </c>
      <c r="AE38" s="17">
        <v>23</v>
      </c>
      <c r="AF38" s="17">
        <v>0.6</v>
      </c>
      <c r="AG38" s="17"/>
      <c r="AH38" s="17">
        <v>0.6</v>
      </c>
    </row>
    <row r="39" spans="1:34" x14ac:dyDescent="0.25">
      <c r="B39" s="12">
        <v>37</v>
      </c>
      <c r="C39" s="14" t="s">
        <v>197</v>
      </c>
      <c r="D39" s="14">
        <v>7</v>
      </c>
      <c r="E39" s="14">
        <v>12.5</v>
      </c>
      <c r="F39" s="14">
        <v>72</v>
      </c>
      <c r="G39" s="14">
        <v>184</v>
      </c>
      <c r="H39" s="14">
        <v>210</v>
      </c>
      <c r="I39" s="14">
        <v>14.4</v>
      </c>
      <c r="J39" s="14">
        <v>300</v>
      </c>
      <c r="K39" s="14">
        <v>120</v>
      </c>
      <c r="L39" s="14">
        <v>90</v>
      </c>
      <c r="M39" s="14">
        <v>40</v>
      </c>
      <c r="N39" s="14">
        <v>450</v>
      </c>
      <c r="O39" s="14">
        <v>70</v>
      </c>
      <c r="P39" s="14">
        <v>80</v>
      </c>
      <c r="Q39" s="14">
        <v>60</v>
      </c>
      <c r="R39" s="14">
        <v>65</v>
      </c>
      <c r="S39" s="14">
        <v>68</v>
      </c>
      <c r="T39" s="14"/>
      <c r="U39" s="14">
        <v>82</v>
      </c>
      <c r="V39" s="14">
        <v>77</v>
      </c>
      <c r="W39" s="14"/>
      <c r="X39" s="14"/>
      <c r="Y39" s="14"/>
      <c r="Z39" s="14"/>
      <c r="AA39" s="14"/>
      <c r="AB39" s="14">
        <v>2.5</v>
      </c>
      <c r="AC39" s="14">
        <v>7.5</v>
      </c>
      <c r="AD39" s="14">
        <v>2</v>
      </c>
      <c r="AE39" s="14">
        <v>1</v>
      </c>
      <c r="AF39" s="14">
        <v>0.3</v>
      </c>
      <c r="AG39" s="14"/>
      <c r="AH39" s="14">
        <v>0.3</v>
      </c>
    </row>
    <row r="40" spans="1:34" x14ac:dyDescent="0.25">
      <c r="A40" t="s">
        <v>313</v>
      </c>
      <c r="B40" s="15">
        <v>38</v>
      </c>
      <c r="C40" s="17" t="s">
        <v>198</v>
      </c>
      <c r="D40" s="17">
        <v>90</v>
      </c>
      <c r="E40" s="17">
        <v>11.6</v>
      </c>
      <c r="F40" s="17">
        <v>141</v>
      </c>
      <c r="G40" s="17">
        <v>20</v>
      </c>
      <c r="H40" s="17">
        <v>180</v>
      </c>
      <c r="I40" s="17">
        <v>13.6</v>
      </c>
      <c r="J40" s="17">
        <v>240</v>
      </c>
      <c r="K40" s="17">
        <v>80</v>
      </c>
      <c r="L40" s="17">
        <v>170</v>
      </c>
      <c r="M40" s="17">
        <v>40</v>
      </c>
      <c r="N40" s="17">
        <v>470</v>
      </c>
      <c r="O40" s="17">
        <v>75</v>
      </c>
      <c r="P40" s="17">
        <v>85</v>
      </c>
      <c r="Q40" s="17">
        <v>55</v>
      </c>
      <c r="R40" s="17">
        <v>65</v>
      </c>
      <c r="S40" s="17">
        <v>67</v>
      </c>
      <c r="T40" s="17"/>
      <c r="U40" s="17">
        <v>38</v>
      </c>
      <c r="V40" s="17">
        <v>78</v>
      </c>
      <c r="W40" s="17">
        <v>20</v>
      </c>
      <c r="X40" s="17">
        <v>29</v>
      </c>
      <c r="Y40" s="17">
        <v>100</v>
      </c>
      <c r="Z40" s="17">
        <v>460</v>
      </c>
      <c r="AA40" s="17">
        <v>60</v>
      </c>
      <c r="AB40" s="17">
        <v>2</v>
      </c>
      <c r="AC40" s="17">
        <v>5.5</v>
      </c>
      <c r="AD40" s="17">
        <v>2</v>
      </c>
      <c r="AE40" s="17">
        <v>1</v>
      </c>
      <c r="AF40" s="17">
        <v>0.3</v>
      </c>
      <c r="AG40" s="17"/>
      <c r="AH40" s="17">
        <v>0.3</v>
      </c>
    </row>
    <row r="41" spans="1:34" x14ac:dyDescent="0.25">
      <c r="B41" s="12">
        <v>39</v>
      </c>
      <c r="C41" s="14" t="s">
        <v>199</v>
      </c>
      <c r="D41" s="14">
        <v>90</v>
      </c>
      <c r="E41" s="14">
        <v>11.8</v>
      </c>
      <c r="F41" s="14">
        <v>155</v>
      </c>
      <c r="G41" s="14">
        <v>40</v>
      </c>
      <c r="H41" s="14">
        <v>210</v>
      </c>
      <c r="I41" s="14">
        <v>13.9</v>
      </c>
      <c r="J41" s="14">
        <v>280</v>
      </c>
      <c r="K41" s="14">
        <v>80</v>
      </c>
      <c r="L41" s="14">
        <v>170</v>
      </c>
      <c r="M41" s="14">
        <v>40</v>
      </c>
      <c r="N41" s="14">
        <v>430</v>
      </c>
      <c r="O41" s="14">
        <v>75</v>
      </c>
      <c r="P41" s="14">
        <v>85</v>
      </c>
      <c r="Q41" s="14">
        <v>55</v>
      </c>
      <c r="R41" s="14">
        <v>65</v>
      </c>
      <c r="S41" s="14">
        <v>67</v>
      </c>
      <c r="T41" s="14">
        <v>36</v>
      </c>
      <c r="U41" s="14">
        <v>38</v>
      </c>
      <c r="V41" s="14">
        <v>78</v>
      </c>
      <c r="W41" s="14"/>
      <c r="X41" s="14"/>
      <c r="Y41" s="14"/>
      <c r="Z41" s="14">
        <v>483</v>
      </c>
      <c r="AA41" s="14"/>
      <c r="AB41" s="14">
        <v>2</v>
      </c>
      <c r="AC41" s="14">
        <v>5.5</v>
      </c>
      <c r="AD41" s="14">
        <v>1.5</v>
      </c>
      <c r="AE41" s="14">
        <v>1</v>
      </c>
      <c r="AF41" s="14">
        <v>0.6</v>
      </c>
      <c r="AG41" s="14"/>
      <c r="AH41" s="14">
        <v>0.6</v>
      </c>
    </row>
    <row r="42" spans="1:34" x14ac:dyDescent="0.25">
      <c r="B42" s="15">
        <v>40</v>
      </c>
      <c r="C42" s="17" t="s">
        <v>200</v>
      </c>
      <c r="D42" s="17">
        <v>37</v>
      </c>
      <c r="E42" s="17">
        <v>9.8000000000000007</v>
      </c>
      <c r="F42" s="17">
        <v>61</v>
      </c>
      <c r="G42" s="17">
        <v>-9</v>
      </c>
      <c r="H42" s="17">
        <v>75</v>
      </c>
      <c r="I42" s="17">
        <v>11.8</v>
      </c>
      <c r="J42" s="17">
        <v>113</v>
      </c>
      <c r="K42" s="17">
        <v>23</v>
      </c>
      <c r="L42" s="17">
        <v>295</v>
      </c>
      <c r="M42" s="17">
        <v>68</v>
      </c>
      <c r="N42" s="17">
        <v>501</v>
      </c>
      <c r="O42" s="17"/>
      <c r="P42" s="17">
        <v>60</v>
      </c>
      <c r="Q42" s="17">
        <v>60</v>
      </c>
      <c r="R42" s="17">
        <v>75</v>
      </c>
      <c r="S42" s="17">
        <v>72</v>
      </c>
      <c r="T42" s="17">
        <v>45</v>
      </c>
      <c r="U42" s="17">
        <v>80</v>
      </c>
      <c r="V42" s="17">
        <v>17</v>
      </c>
      <c r="W42" s="17">
        <v>18</v>
      </c>
      <c r="X42" s="17">
        <v>31</v>
      </c>
      <c r="Y42" s="17">
        <v>204</v>
      </c>
      <c r="Z42" s="17">
        <v>559</v>
      </c>
      <c r="AA42" s="17"/>
      <c r="AB42" s="17">
        <v>4.7</v>
      </c>
      <c r="AC42" s="17">
        <v>2.7</v>
      </c>
      <c r="AD42" s="17">
        <v>1.4</v>
      </c>
      <c r="AE42" s="17">
        <v>18.2</v>
      </c>
      <c r="AF42" s="17">
        <v>0.7</v>
      </c>
      <c r="AG42" s="17">
        <v>239</v>
      </c>
      <c r="AH42" s="17">
        <v>1.6</v>
      </c>
    </row>
    <row r="43" spans="1:34" x14ac:dyDescent="0.25">
      <c r="B43" s="12">
        <v>41</v>
      </c>
      <c r="C43" s="14" t="s">
        <v>201</v>
      </c>
      <c r="D43" s="14">
        <v>87</v>
      </c>
      <c r="E43" s="14">
        <v>10.3</v>
      </c>
      <c r="F43" s="14">
        <v>70</v>
      </c>
      <c r="G43" s="14">
        <v>28</v>
      </c>
      <c r="H43" s="14">
        <v>105</v>
      </c>
      <c r="I43" s="14">
        <v>11.8</v>
      </c>
      <c r="J43" s="14">
        <v>140</v>
      </c>
      <c r="K43" s="14">
        <v>50</v>
      </c>
      <c r="L43" s="14">
        <v>160</v>
      </c>
      <c r="M43" s="14">
        <v>60</v>
      </c>
      <c r="N43" s="14">
        <v>590</v>
      </c>
      <c r="O43" s="14">
        <v>75</v>
      </c>
      <c r="P43" s="14">
        <v>75</v>
      </c>
      <c r="Q43" s="14">
        <v>30</v>
      </c>
      <c r="R43" s="14">
        <v>70</v>
      </c>
      <c r="S43" s="14">
        <v>64</v>
      </c>
      <c r="T43" s="14"/>
      <c r="U43" s="14">
        <v>79</v>
      </c>
      <c r="V43" s="14">
        <v>82</v>
      </c>
      <c r="W43" s="14"/>
      <c r="X43" s="14"/>
      <c r="Y43" s="14"/>
      <c r="Z43" s="14"/>
      <c r="AA43" s="14"/>
      <c r="AB43" s="14">
        <v>1.1000000000000001</v>
      </c>
      <c r="AC43" s="14">
        <v>8</v>
      </c>
      <c r="AD43" s="14"/>
      <c r="AE43" s="14"/>
      <c r="AF43" s="14"/>
      <c r="AG43" s="14"/>
      <c r="AH43" s="14"/>
    </row>
    <row r="44" spans="1:34" x14ac:dyDescent="0.25">
      <c r="A44" t="s">
        <v>37</v>
      </c>
      <c r="B44" s="15">
        <v>42</v>
      </c>
      <c r="C44" s="17" t="s">
        <v>202</v>
      </c>
      <c r="D44" s="17">
        <v>87</v>
      </c>
      <c r="E44" s="17">
        <v>13.2</v>
      </c>
      <c r="F44" s="17">
        <v>90</v>
      </c>
      <c r="G44" s="17">
        <v>-29</v>
      </c>
      <c r="H44" s="17">
        <v>93</v>
      </c>
      <c r="I44" s="17">
        <v>15</v>
      </c>
      <c r="J44" s="17">
        <v>122</v>
      </c>
      <c r="K44" s="17">
        <v>27</v>
      </c>
      <c r="L44" s="17">
        <v>62</v>
      </c>
      <c r="M44" s="17">
        <v>28</v>
      </c>
      <c r="N44" s="17">
        <v>761</v>
      </c>
      <c r="O44" s="17">
        <v>76</v>
      </c>
      <c r="P44" s="17">
        <v>75</v>
      </c>
      <c r="Q44" s="17">
        <v>30</v>
      </c>
      <c r="R44" s="17">
        <v>89</v>
      </c>
      <c r="S44" s="17">
        <v>86</v>
      </c>
      <c r="T44" s="17">
        <v>53</v>
      </c>
      <c r="U44" s="17">
        <v>78</v>
      </c>
      <c r="V44" s="17">
        <v>69</v>
      </c>
      <c r="W44" s="17">
        <v>24</v>
      </c>
      <c r="X44" s="17">
        <v>22</v>
      </c>
      <c r="Y44" s="17">
        <v>518</v>
      </c>
      <c r="Z44" s="17">
        <v>229</v>
      </c>
      <c r="AA44" s="17">
        <v>20</v>
      </c>
      <c r="AB44" s="17">
        <v>0.4</v>
      </c>
      <c r="AC44" s="17">
        <v>4</v>
      </c>
      <c r="AD44" s="17">
        <v>1.3</v>
      </c>
      <c r="AE44" s="17">
        <v>5.9</v>
      </c>
      <c r="AF44" s="17">
        <v>0.3</v>
      </c>
      <c r="AG44" s="17">
        <v>15</v>
      </c>
      <c r="AH44" s="17">
        <v>0.3</v>
      </c>
    </row>
    <row r="45" spans="1:34" x14ac:dyDescent="0.25">
      <c r="B45" s="12">
        <v>43</v>
      </c>
      <c r="C45" s="14" t="s">
        <v>203</v>
      </c>
      <c r="D45" s="14">
        <v>86</v>
      </c>
      <c r="E45" s="14">
        <v>12.2</v>
      </c>
      <c r="F45" s="14">
        <v>84</v>
      </c>
      <c r="G45" s="14">
        <v>174</v>
      </c>
      <c r="H45" s="14">
        <v>281</v>
      </c>
      <c r="I45" s="14">
        <v>14.7</v>
      </c>
      <c r="J45" s="14">
        <v>351</v>
      </c>
      <c r="K45" s="14">
        <v>36</v>
      </c>
      <c r="L45" s="14">
        <v>137</v>
      </c>
      <c r="M45" s="14">
        <v>70</v>
      </c>
      <c r="N45" s="14">
        <v>406</v>
      </c>
      <c r="O45" s="14">
        <v>80</v>
      </c>
      <c r="P45" s="14">
        <v>75</v>
      </c>
      <c r="Q45" s="14">
        <v>70</v>
      </c>
      <c r="R45" s="14">
        <v>75</v>
      </c>
      <c r="S45" s="14">
        <v>76</v>
      </c>
      <c r="T45" s="14"/>
      <c r="U45" s="14">
        <v>70</v>
      </c>
      <c r="V45" s="14">
        <v>47</v>
      </c>
      <c r="W45" s="14">
        <v>150</v>
      </c>
      <c r="X45" s="14">
        <v>23</v>
      </c>
      <c r="Y45" s="14">
        <v>50</v>
      </c>
      <c r="Z45" s="14">
        <v>422</v>
      </c>
      <c r="AA45" s="14">
        <v>30</v>
      </c>
      <c r="AB45" s="14">
        <v>2.6</v>
      </c>
      <c r="AC45" s="14">
        <v>8.8000000000000007</v>
      </c>
      <c r="AD45" s="14">
        <v>2</v>
      </c>
      <c r="AE45" s="14">
        <v>22</v>
      </c>
      <c r="AF45" s="14">
        <v>0.8</v>
      </c>
      <c r="AG45" s="14"/>
      <c r="AH45" s="14">
        <v>0.8</v>
      </c>
    </row>
    <row r="46" spans="1:34" x14ac:dyDescent="0.25">
      <c r="B46" s="15">
        <v>44</v>
      </c>
      <c r="C46" s="17" t="s">
        <v>204</v>
      </c>
      <c r="D46" s="17">
        <v>12</v>
      </c>
      <c r="E46" s="17">
        <v>12.4</v>
      </c>
      <c r="F46" s="17">
        <v>90</v>
      </c>
      <c r="G46" s="17">
        <v>-53</v>
      </c>
      <c r="H46" s="17">
        <v>63</v>
      </c>
      <c r="I46" s="17">
        <v>14.4</v>
      </c>
      <c r="J46" s="17">
        <v>105</v>
      </c>
      <c r="K46" s="17">
        <v>10</v>
      </c>
      <c r="L46" s="17">
        <v>100</v>
      </c>
      <c r="M46" s="17">
        <v>60</v>
      </c>
      <c r="N46" s="17">
        <v>725</v>
      </c>
      <c r="O46" s="17">
        <v>60</v>
      </c>
      <c r="P46" s="17">
        <v>0</v>
      </c>
      <c r="Q46" s="17">
        <v>75</v>
      </c>
      <c r="R46" s="17">
        <v>95</v>
      </c>
      <c r="S46" s="17">
        <v>87</v>
      </c>
      <c r="T46" s="17"/>
      <c r="U46" s="17">
        <v>80</v>
      </c>
      <c r="V46" s="17">
        <v>61</v>
      </c>
      <c r="W46" s="17">
        <v>400</v>
      </c>
      <c r="X46" s="17"/>
      <c r="Y46" s="17">
        <v>0</v>
      </c>
      <c r="Z46" s="17">
        <v>440</v>
      </c>
      <c r="AA46" s="17">
        <v>100</v>
      </c>
      <c r="AB46" s="17">
        <v>4.2</v>
      </c>
      <c r="AC46" s="17">
        <v>2.8</v>
      </c>
      <c r="AD46" s="17">
        <v>1</v>
      </c>
      <c r="AE46" s="17">
        <v>18</v>
      </c>
      <c r="AF46" s="17">
        <v>1.1000000000000001</v>
      </c>
      <c r="AG46" s="17"/>
      <c r="AH46" s="17">
        <v>1.7</v>
      </c>
    </row>
    <row r="47" spans="1:34" x14ac:dyDescent="0.25">
      <c r="A47" t="s">
        <v>43</v>
      </c>
      <c r="B47" s="12">
        <v>45</v>
      </c>
      <c r="C47" s="14" t="s">
        <v>205</v>
      </c>
      <c r="D47" s="14">
        <v>93</v>
      </c>
      <c r="E47" s="14">
        <v>20.100000000000001</v>
      </c>
      <c r="F47" s="14">
        <v>51</v>
      </c>
      <c r="G47" s="14">
        <v>154</v>
      </c>
      <c r="H47" s="14">
        <v>206</v>
      </c>
      <c r="I47" s="14">
        <v>20.8</v>
      </c>
      <c r="J47" s="14">
        <v>240</v>
      </c>
      <c r="K47" s="14">
        <v>380</v>
      </c>
      <c r="L47" s="14">
        <v>70</v>
      </c>
      <c r="M47" s="14">
        <v>40</v>
      </c>
      <c r="N47" s="14">
        <v>270</v>
      </c>
      <c r="O47" s="14">
        <v>86</v>
      </c>
      <c r="P47" s="14">
        <v>90</v>
      </c>
      <c r="Q47" s="14">
        <v>30</v>
      </c>
      <c r="R47" s="14">
        <v>80</v>
      </c>
      <c r="S47" s="14">
        <v>82</v>
      </c>
      <c r="T47" s="14"/>
      <c r="U47" s="14">
        <v>82</v>
      </c>
      <c r="V47" s="14">
        <v>70</v>
      </c>
      <c r="W47" s="14">
        <v>26</v>
      </c>
      <c r="X47" s="14"/>
      <c r="Y47" s="14">
        <v>54</v>
      </c>
      <c r="Z47" s="14">
        <v>140</v>
      </c>
      <c r="AA47" s="14"/>
      <c r="AB47" s="14">
        <v>2.8</v>
      </c>
      <c r="AC47" s="14">
        <v>5.7</v>
      </c>
      <c r="AD47" s="14">
        <v>3.9</v>
      </c>
      <c r="AE47" s="14">
        <v>9</v>
      </c>
      <c r="AF47" s="14">
        <v>0.4</v>
      </c>
      <c r="AG47" s="14"/>
      <c r="AH47" s="14">
        <v>0.4</v>
      </c>
    </row>
    <row r="48" spans="1:34" x14ac:dyDescent="0.25">
      <c r="B48" s="15">
        <v>46</v>
      </c>
      <c r="C48" s="17" t="s">
        <v>206</v>
      </c>
      <c r="D48" s="17">
        <v>90</v>
      </c>
      <c r="E48" s="17">
        <v>16.2</v>
      </c>
      <c r="F48" s="17">
        <v>78</v>
      </c>
      <c r="G48" s="17">
        <v>178</v>
      </c>
      <c r="H48" s="17">
        <v>255</v>
      </c>
      <c r="I48" s="17">
        <v>17.8</v>
      </c>
      <c r="J48" s="17">
        <v>297</v>
      </c>
      <c r="K48" s="17">
        <v>198</v>
      </c>
      <c r="L48" s="17">
        <v>93</v>
      </c>
      <c r="M48" s="17">
        <v>50</v>
      </c>
      <c r="N48" s="17">
        <v>362</v>
      </c>
      <c r="O48" s="17">
        <v>86</v>
      </c>
      <c r="P48" s="17">
        <v>90</v>
      </c>
      <c r="Q48" s="17">
        <v>30</v>
      </c>
      <c r="R48" s="17">
        <v>80</v>
      </c>
      <c r="S48" s="17">
        <v>82</v>
      </c>
      <c r="T48" s="17">
        <v>50</v>
      </c>
      <c r="U48" s="17">
        <v>79</v>
      </c>
      <c r="V48" s="17">
        <v>83</v>
      </c>
      <c r="W48" s="17">
        <v>54</v>
      </c>
      <c r="X48" s="17"/>
      <c r="Y48" s="17">
        <v>26</v>
      </c>
      <c r="Z48" s="17">
        <v>465</v>
      </c>
      <c r="AA48" s="17"/>
      <c r="AB48" s="17">
        <v>3.7</v>
      </c>
      <c r="AC48" s="17">
        <v>8.6</v>
      </c>
      <c r="AD48" s="17">
        <v>5.2</v>
      </c>
      <c r="AE48" s="17">
        <v>11</v>
      </c>
      <c r="AF48" s="17">
        <v>0.8</v>
      </c>
      <c r="AG48" s="17"/>
      <c r="AH48" s="17">
        <v>0.8</v>
      </c>
    </row>
    <row r="49" spans="1:34" x14ac:dyDescent="0.25">
      <c r="B49" s="12">
        <v>47</v>
      </c>
      <c r="C49" s="14" t="s">
        <v>207</v>
      </c>
      <c r="D49" s="14">
        <v>90</v>
      </c>
      <c r="E49" s="14">
        <v>12.5</v>
      </c>
      <c r="F49" s="14">
        <v>151</v>
      </c>
      <c r="G49" s="14">
        <v>175</v>
      </c>
      <c r="H49" s="14">
        <v>344</v>
      </c>
      <c r="I49" s="14">
        <v>15.1</v>
      </c>
      <c r="J49" s="14">
        <v>400</v>
      </c>
      <c r="K49" s="14">
        <v>20</v>
      </c>
      <c r="L49" s="14">
        <v>110</v>
      </c>
      <c r="M49" s="14">
        <v>60</v>
      </c>
      <c r="N49" s="14">
        <v>410</v>
      </c>
      <c r="O49" s="14">
        <v>86</v>
      </c>
      <c r="P49" s="14">
        <v>70</v>
      </c>
      <c r="Q49" s="14">
        <v>30</v>
      </c>
      <c r="R49" s="14">
        <v>80</v>
      </c>
      <c r="S49" s="14">
        <v>76</v>
      </c>
      <c r="T49" s="14"/>
      <c r="U49" s="14">
        <v>60</v>
      </c>
      <c r="V49" s="14">
        <v>83</v>
      </c>
      <c r="W49" s="14">
        <v>54</v>
      </c>
      <c r="X49" s="14"/>
      <c r="Y49" s="14">
        <v>26</v>
      </c>
      <c r="Z49" s="14"/>
      <c r="AA49" s="14"/>
      <c r="AB49" s="14">
        <v>3.9</v>
      </c>
      <c r="AC49" s="14">
        <v>8.8000000000000007</v>
      </c>
      <c r="AD49" s="14">
        <v>5.2</v>
      </c>
      <c r="AE49" s="14">
        <v>11</v>
      </c>
      <c r="AF49" s="14">
        <v>0.8</v>
      </c>
      <c r="AG49" s="14">
        <v>34</v>
      </c>
      <c r="AH49" s="14">
        <v>0.8</v>
      </c>
    </row>
    <row r="50" spans="1:34" x14ac:dyDescent="0.25">
      <c r="B50" s="15">
        <v>48</v>
      </c>
      <c r="C50" s="17" t="s">
        <v>208</v>
      </c>
      <c r="D50" s="17">
        <v>87</v>
      </c>
      <c r="E50" s="17">
        <v>13.6</v>
      </c>
      <c r="F50" s="17">
        <v>139</v>
      </c>
      <c r="G50" s="17">
        <v>265</v>
      </c>
      <c r="H50" s="17">
        <v>390</v>
      </c>
      <c r="I50" s="17">
        <v>16.600000000000001</v>
      </c>
      <c r="J50" s="17">
        <v>453</v>
      </c>
      <c r="K50" s="17">
        <v>49</v>
      </c>
      <c r="L50" s="17">
        <v>163</v>
      </c>
      <c r="M50" s="17">
        <v>48</v>
      </c>
      <c r="N50" s="17">
        <v>287</v>
      </c>
      <c r="O50" s="17">
        <v>86</v>
      </c>
      <c r="P50" s="17">
        <v>75</v>
      </c>
      <c r="Q50" s="17">
        <v>70</v>
      </c>
      <c r="R50" s="17">
        <v>80</v>
      </c>
      <c r="S50" s="17">
        <v>81</v>
      </c>
      <c r="T50" s="17"/>
      <c r="U50" s="17">
        <v>72</v>
      </c>
      <c r="V50" s="17">
        <v>95</v>
      </c>
      <c r="W50" s="17">
        <v>50</v>
      </c>
      <c r="X50" s="17"/>
      <c r="Y50" s="17">
        <v>220</v>
      </c>
      <c r="Z50" s="17">
        <v>263</v>
      </c>
      <c r="AA50" s="17"/>
      <c r="AB50" s="17">
        <v>3.6</v>
      </c>
      <c r="AC50" s="17">
        <v>7.5</v>
      </c>
      <c r="AD50" s="17">
        <v>3.1</v>
      </c>
      <c r="AE50" s="17">
        <v>14</v>
      </c>
      <c r="AF50" s="17">
        <v>0.2</v>
      </c>
      <c r="AG50" s="17"/>
      <c r="AH50" s="17">
        <v>0.2</v>
      </c>
    </row>
    <row r="51" spans="1:34" x14ac:dyDescent="0.25">
      <c r="B51" s="12">
        <v>49</v>
      </c>
      <c r="C51" s="14" t="s">
        <v>209</v>
      </c>
      <c r="D51" s="14">
        <v>13</v>
      </c>
      <c r="E51" s="14">
        <v>10.1</v>
      </c>
      <c r="F51" s="14">
        <v>66</v>
      </c>
      <c r="G51" s="14">
        <v>57</v>
      </c>
      <c r="H51" s="14">
        <v>138</v>
      </c>
      <c r="I51" s="14">
        <v>12.3</v>
      </c>
      <c r="J51" s="14">
        <v>180</v>
      </c>
      <c r="K51" s="14">
        <v>30</v>
      </c>
      <c r="L51" s="14">
        <v>220</v>
      </c>
      <c r="M51" s="14">
        <v>130</v>
      </c>
      <c r="N51" s="14">
        <v>440</v>
      </c>
      <c r="O51" s="14"/>
      <c r="P51" s="14">
        <v>58</v>
      </c>
      <c r="Q51" s="14">
        <v>62</v>
      </c>
      <c r="R51" s="14">
        <v>79</v>
      </c>
      <c r="S51" s="14">
        <v>74</v>
      </c>
      <c r="T51" s="14"/>
      <c r="U51" s="14">
        <v>80</v>
      </c>
      <c r="V51" s="14">
        <v>61</v>
      </c>
      <c r="W51" s="14">
        <v>10</v>
      </c>
      <c r="X51" s="14"/>
      <c r="Y51" s="14">
        <v>60</v>
      </c>
      <c r="Z51" s="14"/>
      <c r="AA51" s="14"/>
      <c r="AB51" s="14">
        <v>10.199999999999999</v>
      </c>
      <c r="AC51" s="14">
        <v>2.6</v>
      </c>
      <c r="AD51" s="14">
        <v>2.2999999999999998</v>
      </c>
      <c r="AE51" s="14">
        <v>32</v>
      </c>
      <c r="AF51" s="14">
        <v>0.5</v>
      </c>
      <c r="AG51" s="14"/>
      <c r="AH51" s="14">
        <v>0.5</v>
      </c>
    </row>
    <row r="52" spans="1:34" x14ac:dyDescent="0.25">
      <c r="B52" s="15">
        <v>50</v>
      </c>
      <c r="C52" s="17" t="s">
        <v>210</v>
      </c>
      <c r="D52" s="17">
        <v>92</v>
      </c>
      <c r="E52" s="17">
        <v>16</v>
      </c>
      <c r="F52" s="17">
        <v>476</v>
      </c>
      <c r="G52" s="17">
        <v>82</v>
      </c>
      <c r="H52" s="17">
        <v>598</v>
      </c>
      <c r="I52" s="17">
        <v>19.600000000000001</v>
      </c>
      <c r="J52" s="17">
        <v>672</v>
      </c>
      <c r="K52" s="17">
        <v>24</v>
      </c>
      <c r="L52" s="17">
        <v>22</v>
      </c>
      <c r="M52" s="17">
        <v>18</v>
      </c>
      <c r="N52" s="17">
        <v>264</v>
      </c>
      <c r="O52" s="17">
        <v>89</v>
      </c>
      <c r="P52" s="17">
        <v>85</v>
      </c>
      <c r="Q52" s="17">
        <v>30</v>
      </c>
      <c r="R52" s="17">
        <v>95</v>
      </c>
      <c r="S52" s="17">
        <v>88</v>
      </c>
      <c r="T52" s="17">
        <v>71</v>
      </c>
      <c r="U52" s="17">
        <v>19</v>
      </c>
      <c r="V52" s="17">
        <v>97</v>
      </c>
      <c r="W52" s="17">
        <v>0</v>
      </c>
      <c r="X52" s="17">
        <v>12</v>
      </c>
      <c r="Y52" s="17">
        <v>150</v>
      </c>
      <c r="Z52" s="17">
        <v>140</v>
      </c>
      <c r="AA52" s="17">
        <v>10</v>
      </c>
      <c r="AB52" s="17">
        <v>0.4</v>
      </c>
      <c r="AC52" s="17">
        <v>3.3</v>
      </c>
      <c r="AD52" s="17">
        <v>1.2</v>
      </c>
      <c r="AE52" s="17">
        <v>1</v>
      </c>
      <c r="AF52" s="17">
        <v>0.6</v>
      </c>
      <c r="AG52" s="17"/>
      <c r="AH52" s="17">
        <v>0.6</v>
      </c>
    </row>
    <row r="53" spans="1:34" x14ac:dyDescent="0.25">
      <c r="A53" t="s">
        <v>12</v>
      </c>
      <c r="B53" s="12">
        <v>51</v>
      </c>
      <c r="C53" s="14" t="s">
        <v>211</v>
      </c>
      <c r="D53" s="14">
        <v>22</v>
      </c>
      <c r="E53" s="14">
        <v>10.4</v>
      </c>
      <c r="F53" s="14">
        <v>76</v>
      </c>
      <c r="G53" s="14">
        <v>-40</v>
      </c>
      <c r="H53" s="14">
        <v>62</v>
      </c>
      <c r="I53" s="14">
        <v>12.6</v>
      </c>
      <c r="J53" s="14">
        <v>99</v>
      </c>
      <c r="K53" s="14">
        <v>22</v>
      </c>
      <c r="L53" s="14">
        <v>299</v>
      </c>
      <c r="M53" s="14">
        <v>65</v>
      </c>
      <c r="N53" s="14">
        <v>515</v>
      </c>
      <c r="O53" s="14"/>
      <c r="P53" s="14">
        <v>71</v>
      </c>
      <c r="Q53" s="14">
        <v>74</v>
      </c>
      <c r="R53" s="14">
        <v>76</v>
      </c>
      <c r="S53" s="14">
        <v>71</v>
      </c>
      <c r="T53" s="14">
        <v>35</v>
      </c>
      <c r="U53" s="14">
        <v>70</v>
      </c>
      <c r="V53" s="14">
        <v>57</v>
      </c>
      <c r="W53" s="14"/>
      <c r="X53" s="14"/>
      <c r="Y53" s="14"/>
      <c r="Z53" s="14">
        <v>617</v>
      </c>
      <c r="AA53" s="14"/>
      <c r="AB53" s="14">
        <v>6.5</v>
      </c>
      <c r="AC53" s="14">
        <v>2.5</v>
      </c>
      <c r="AD53" s="14">
        <v>1.3</v>
      </c>
      <c r="AE53" s="14">
        <v>16</v>
      </c>
      <c r="AF53" s="14">
        <v>0.4</v>
      </c>
      <c r="AG53" s="14">
        <v>299</v>
      </c>
      <c r="AH53" s="14">
        <v>0.2</v>
      </c>
    </row>
    <row r="54" spans="1:34" x14ac:dyDescent="0.25">
      <c r="B54" s="15">
        <v>52</v>
      </c>
      <c r="C54" s="17" t="s">
        <v>212</v>
      </c>
      <c r="D54" s="17">
        <v>32</v>
      </c>
      <c r="E54" s="17">
        <v>11</v>
      </c>
      <c r="F54" s="17">
        <v>82</v>
      </c>
      <c r="G54" s="17">
        <v>-55</v>
      </c>
      <c r="H54" s="17">
        <v>54</v>
      </c>
      <c r="I54" s="17">
        <v>13</v>
      </c>
      <c r="J54" s="17">
        <v>91</v>
      </c>
      <c r="K54" s="17">
        <v>22</v>
      </c>
      <c r="L54" s="17">
        <v>231</v>
      </c>
      <c r="M54" s="17">
        <v>44</v>
      </c>
      <c r="N54" s="17">
        <v>612</v>
      </c>
      <c r="O54" s="17"/>
      <c r="P54" s="17">
        <v>71</v>
      </c>
      <c r="Q54" s="17">
        <v>68</v>
      </c>
      <c r="R54" s="17">
        <v>80</v>
      </c>
      <c r="S54" s="17">
        <v>75</v>
      </c>
      <c r="T54" s="17">
        <v>31</v>
      </c>
      <c r="U54" s="17">
        <v>67</v>
      </c>
      <c r="V54" s="17">
        <v>67</v>
      </c>
      <c r="W54" s="17">
        <v>75</v>
      </c>
      <c r="X54" s="17">
        <v>28</v>
      </c>
      <c r="Y54" s="17">
        <v>223</v>
      </c>
      <c r="Z54" s="17">
        <v>496</v>
      </c>
      <c r="AA54" s="17"/>
      <c r="AB54" s="17">
        <v>2.4</v>
      </c>
      <c r="AC54" s="17">
        <v>2.2999999999999998</v>
      </c>
      <c r="AD54" s="17">
        <v>1.2</v>
      </c>
      <c r="AE54" s="17">
        <v>11.1</v>
      </c>
      <c r="AF54" s="17">
        <v>0.4</v>
      </c>
      <c r="AG54" s="17">
        <v>174</v>
      </c>
      <c r="AH54" s="17">
        <v>0.2</v>
      </c>
    </row>
    <row r="55" spans="1:34" x14ac:dyDescent="0.25">
      <c r="A55" t="s">
        <v>40</v>
      </c>
      <c r="B55" s="12">
        <v>53</v>
      </c>
      <c r="C55" s="14" t="s">
        <v>213</v>
      </c>
      <c r="D55" s="14">
        <v>48</v>
      </c>
      <c r="E55" s="14">
        <v>12.8</v>
      </c>
      <c r="F55" s="14"/>
      <c r="G55" s="14"/>
      <c r="H55" s="14">
        <v>73</v>
      </c>
      <c r="I55" s="14">
        <v>14.5</v>
      </c>
      <c r="J55" s="14">
        <v>111</v>
      </c>
      <c r="K55" s="14">
        <v>40</v>
      </c>
      <c r="L55" s="14">
        <v>63</v>
      </c>
      <c r="M55" s="14">
        <v>23</v>
      </c>
      <c r="N55" s="14">
        <v>763</v>
      </c>
      <c r="O55" s="14">
        <v>66</v>
      </c>
      <c r="P55" s="14">
        <v>60</v>
      </c>
      <c r="Q55" s="14">
        <v>63</v>
      </c>
      <c r="R55" s="14">
        <v>85</v>
      </c>
      <c r="S55" s="14">
        <v>80</v>
      </c>
      <c r="T55" s="14"/>
      <c r="U55" s="14">
        <v>0</v>
      </c>
      <c r="V55" s="14">
        <v>0</v>
      </c>
      <c r="W55" s="14">
        <v>27</v>
      </c>
      <c r="X55" s="14"/>
      <c r="Y55" s="14">
        <v>550</v>
      </c>
      <c r="Z55" s="14">
        <v>280</v>
      </c>
      <c r="AA55" s="14">
        <v>20</v>
      </c>
      <c r="AB55" s="14">
        <v>0.5</v>
      </c>
      <c r="AC55" s="14">
        <v>3.6</v>
      </c>
      <c r="AD55" s="14">
        <v>0.5</v>
      </c>
      <c r="AE55" s="14">
        <v>5.3</v>
      </c>
      <c r="AF55" s="14">
        <v>0.2</v>
      </c>
      <c r="AG55" s="14"/>
      <c r="AH55" s="14">
        <v>0.2</v>
      </c>
    </row>
    <row r="56" spans="1:34" x14ac:dyDescent="0.25">
      <c r="B56" s="15">
        <v>54</v>
      </c>
      <c r="C56" s="17" t="s">
        <v>214</v>
      </c>
      <c r="D56" s="17">
        <v>87</v>
      </c>
      <c r="E56" s="17">
        <v>14.6</v>
      </c>
      <c r="F56" s="17">
        <v>122</v>
      </c>
      <c r="G56" s="17">
        <v>-89</v>
      </c>
      <c r="H56" s="17">
        <v>73</v>
      </c>
      <c r="I56" s="17">
        <v>16.399999999999999</v>
      </c>
      <c r="J56" s="17">
        <v>100</v>
      </c>
      <c r="K56" s="17">
        <v>50</v>
      </c>
      <c r="L56" s="17">
        <v>25</v>
      </c>
      <c r="M56" s="17">
        <v>15</v>
      </c>
      <c r="N56" s="17">
        <v>810</v>
      </c>
      <c r="O56" s="17">
        <v>73</v>
      </c>
      <c r="P56" s="17">
        <v>85</v>
      </c>
      <c r="Q56" s="17">
        <v>30</v>
      </c>
      <c r="R56" s="17">
        <v>93</v>
      </c>
      <c r="S56" s="17">
        <v>89</v>
      </c>
      <c r="T56" s="17">
        <v>54</v>
      </c>
      <c r="U56" s="17">
        <v>47</v>
      </c>
      <c r="V56" s="17">
        <v>90</v>
      </c>
      <c r="W56" s="17">
        <v>17</v>
      </c>
      <c r="X56" s="17"/>
      <c r="Y56" s="17">
        <v>712</v>
      </c>
      <c r="Z56" s="17">
        <v>94</v>
      </c>
      <c r="AA56" s="17">
        <v>10</v>
      </c>
      <c r="AB56" s="17">
        <v>0.1</v>
      </c>
      <c r="AC56" s="17">
        <v>3</v>
      </c>
      <c r="AD56" s="17">
        <v>1.2</v>
      </c>
      <c r="AE56" s="17">
        <v>3.8</v>
      </c>
      <c r="AF56" s="17">
        <v>0.1</v>
      </c>
      <c r="AG56" s="17"/>
      <c r="AH56" s="17">
        <v>0.1</v>
      </c>
    </row>
    <row r="57" spans="1:34" x14ac:dyDescent="0.25">
      <c r="B57" s="12">
        <v>55</v>
      </c>
      <c r="C57" s="14" t="s">
        <v>215</v>
      </c>
      <c r="D57" s="14">
        <v>13</v>
      </c>
      <c r="E57" s="14">
        <v>21.7</v>
      </c>
      <c r="F57" s="14">
        <v>39</v>
      </c>
      <c r="G57" s="14">
        <v>200</v>
      </c>
      <c r="H57" s="14">
        <v>252</v>
      </c>
      <c r="I57" s="14">
        <v>22.7</v>
      </c>
      <c r="J57" s="14">
        <v>265</v>
      </c>
      <c r="K57" s="14">
        <v>310</v>
      </c>
      <c r="L57" s="14">
        <v>0</v>
      </c>
      <c r="M57" s="14">
        <v>60</v>
      </c>
      <c r="N57" s="14">
        <v>365</v>
      </c>
      <c r="O57" s="14">
        <v>95</v>
      </c>
      <c r="P57" s="14">
        <v>100</v>
      </c>
      <c r="Q57" s="14">
        <v>0</v>
      </c>
      <c r="R57" s="14">
        <v>100</v>
      </c>
      <c r="S57" s="14">
        <v>99</v>
      </c>
      <c r="T57" s="14"/>
      <c r="U57" s="14">
        <v>100</v>
      </c>
      <c r="V57" s="14">
        <v>100</v>
      </c>
      <c r="W57" s="14">
        <v>365</v>
      </c>
      <c r="X57" s="14"/>
      <c r="Y57" s="14">
        <v>0</v>
      </c>
      <c r="Z57" s="14">
        <v>0</v>
      </c>
      <c r="AA57" s="14">
        <v>0</v>
      </c>
      <c r="AB57" s="14">
        <v>10</v>
      </c>
      <c r="AC57" s="14">
        <v>7.4</v>
      </c>
      <c r="AD57" s="14">
        <v>0.9</v>
      </c>
      <c r="AE57" s="14">
        <v>11</v>
      </c>
      <c r="AF57" s="14">
        <v>3.2</v>
      </c>
      <c r="AG57" s="14">
        <v>64</v>
      </c>
      <c r="AH57" s="14">
        <v>3.2</v>
      </c>
    </row>
    <row r="58" spans="1:34" x14ac:dyDescent="0.25">
      <c r="B58" s="15">
        <v>56</v>
      </c>
      <c r="C58" s="17" t="s">
        <v>216</v>
      </c>
      <c r="D58" s="17">
        <v>8</v>
      </c>
      <c r="E58" s="17">
        <v>14.9</v>
      </c>
      <c r="F58" s="17">
        <v>52</v>
      </c>
      <c r="G58" s="17">
        <v>252</v>
      </c>
      <c r="H58" s="17">
        <v>289</v>
      </c>
      <c r="I58" s="17">
        <v>17</v>
      </c>
      <c r="J58" s="17">
        <v>340</v>
      </c>
      <c r="K58" s="17">
        <v>55</v>
      </c>
      <c r="L58" s="17">
        <v>0</v>
      </c>
      <c r="M58" s="17">
        <v>115</v>
      </c>
      <c r="N58" s="17">
        <v>490</v>
      </c>
      <c r="O58" s="17">
        <v>85</v>
      </c>
      <c r="P58" s="17">
        <v>100</v>
      </c>
      <c r="Q58" s="17">
        <v>0</v>
      </c>
      <c r="R58" s="17">
        <v>100</v>
      </c>
      <c r="S58" s="17">
        <v>94</v>
      </c>
      <c r="T58" s="17"/>
      <c r="U58" s="17">
        <v>100</v>
      </c>
      <c r="V58" s="17">
        <v>100</v>
      </c>
      <c r="W58" s="17">
        <v>490</v>
      </c>
      <c r="X58" s="17"/>
      <c r="Y58" s="17">
        <v>0</v>
      </c>
      <c r="Z58" s="17">
        <v>0</v>
      </c>
      <c r="AA58" s="17">
        <v>0</v>
      </c>
      <c r="AB58" s="17">
        <v>16</v>
      </c>
      <c r="AC58" s="17">
        <v>11</v>
      </c>
      <c r="AD58" s="17">
        <v>1.1000000000000001</v>
      </c>
      <c r="AE58" s="17">
        <v>18</v>
      </c>
      <c r="AF58" s="17"/>
      <c r="AG58" s="17"/>
      <c r="AH58" s="17"/>
    </row>
    <row r="59" spans="1:34" x14ac:dyDescent="0.25">
      <c r="A59" t="s">
        <v>54</v>
      </c>
      <c r="B59" s="12">
        <v>57</v>
      </c>
      <c r="C59" s="14" t="s">
        <v>217</v>
      </c>
      <c r="D59" s="14">
        <v>7</v>
      </c>
      <c r="E59" s="14">
        <v>13.6</v>
      </c>
      <c r="F59" s="14">
        <v>82</v>
      </c>
      <c r="G59" s="14">
        <v>-18</v>
      </c>
      <c r="H59" s="14">
        <v>85</v>
      </c>
      <c r="I59" s="14">
        <v>15.1</v>
      </c>
      <c r="J59" s="14">
        <v>120</v>
      </c>
      <c r="K59" s="14">
        <v>10</v>
      </c>
      <c r="L59" s="14">
        <v>0</v>
      </c>
      <c r="M59" s="14">
        <v>100</v>
      </c>
      <c r="N59" s="14">
        <v>770</v>
      </c>
      <c r="O59" s="14">
        <v>71</v>
      </c>
      <c r="P59" s="14">
        <v>100</v>
      </c>
      <c r="Q59" s="14">
        <v>0</v>
      </c>
      <c r="R59" s="14">
        <v>100</v>
      </c>
      <c r="S59" s="14">
        <v>96</v>
      </c>
      <c r="T59" s="14"/>
      <c r="U59" s="14">
        <v>100</v>
      </c>
      <c r="V59" s="14">
        <v>100</v>
      </c>
      <c r="W59" s="14">
        <v>770</v>
      </c>
      <c r="X59" s="14"/>
      <c r="Y59" s="14">
        <v>0</v>
      </c>
      <c r="Z59" s="14">
        <v>0</v>
      </c>
      <c r="AA59" s="14">
        <v>0</v>
      </c>
      <c r="AB59" s="14">
        <v>7.2</v>
      </c>
      <c r="AC59" s="14">
        <v>7.9</v>
      </c>
      <c r="AD59" s="14">
        <v>1.4</v>
      </c>
      <c r="AE59" s="14">
        <v>24</v>
      </c>
      <c r="AF59" s="14">
        <v>10.6</v>
      </c>
      <c r="AG59" s="14"/>
      <c r="AH59" s="14">
        <v>10</v>
      </c>
    </row>
    <row r="60" spans="1:34" x14ac:dyDescent="0.25">
      <c r="B60" s="15">
        <v>58</v>
      </c>
      <c r="C60" s="17" t="s">
        <v>218</v>
      </c>
      <c r="D60" s="17">
        <v>6</v>
      </c>
      <c r="E60" s="17">
        <v>13.5</v>
      </c>
      <c r="F60" s="17">
        <v>91</v>
      </c>
      <c r="G60" s="17">
        <v>-99</v>
      </c>
      <c r="H60" s="17">
        <v>20</v>
      </c>
      <c r="I60" s="17">
        <v>14.8</v>
      </c>
      <c r="J60" s="17">
        <v>54</v>
      </c>
      <c r="K60" s="17">
        <v>5</v>
      </c>
      <c r="L60" s="17">
        <v>0</v>
      </c>
      <c r="M60" s="17">
        <v>87</v>
      </c>
      <c r="N60" s="17">
        <v>854</v>
      </c>
      <c r="O60" s="17">
        <v>37</v>
      </c>
      <c r="P60" s="17">
        <v>100</v>
      </c>
      <c r="Q60" s="17">
        <v>0</v>
      </c>
      <c r="R60" s="17">
        <v>100</v>
      </c>
      <c r="S60" s="17">
        <v>96</v>
      </c>
      <c r="T60" s="17"/>
      <c r="U60" s="17">
        <v>100</v>
      </c>
      <c r="V60" s="17">
        <v>100</v>
      </c>
      <c r="W60" s="17">
        <v>854</v>
      </c>
      <c r="X60" s="17"/>
      <c r="Y60" s="17">
        <v>0</v>
      </c>
      <c r="Z60" s="17">
        <v>0</v>
      </c>
      <c r="AA60" s="17">
        <v>0</v>
      </c>
      <c r="AB60" s="17">
        <v>4.5999999999999996</v>
      </c>
      <c r="AC60" s="17">
        <v>7.4</v>
      </c>
      <c r="AD60" s="17">
        <v>1.4</v>
      </c>
      <c r="AE60" s="17">
        <v>13</v>
      </c>
      <c r="AF60" s="17">
        <v>8.3000000000000007</v>
      </c>
      <c r="AG60" s="17"/>
      <c r="AH60" s="17">
        <v>8.6</v>
      </c>
    </row>
    <row r="61" spans="1:34" x14ac:dyDescent="0.25">
      <c r="B61" s="12">
        <v>59</v>
      </c>
      <c r="C61" s="14" t="s">
        <v>219</v>
      </c>
      <c r="D61" s="14">
        <v>12</v>
      </c>
      <c r="E61" s="14">
        <v>12.1</v>
      </c>
      <c r="F61" s="14">
        <v>88</v>
      </c>
      <c r="G61" s="14">
        <v>-49</v>
      </c>
      <c r="H61" s="14">
        <v>63</v>
      </c>
      <c r="I61" s="14">
        <v>13.9</v>
      </c>
      <c r="J61" s="14">
        <v>105</v>
      </c>
      <c r="K61" s="14">
        <v>10</v>
      </c>
      <c r="L61" s="14">
        <v>110</v>
      </c>
      <c r="M61" s="14">
        <v>80</v>
      </c>
      <c r="N61" s="14">
        <v>695</v>
      </c>
      <c r="O61" s="14">
        <v>60</v>
      </c>
      <c r="P61" s="14">
        <v>0</v>
      </c>
      <c r="Q61" s="14">
        <v>75</v>
      </c>
      <c r="R61" s="14">
        <v>95</v>
      </c>
      <c r="S61" s="14">
        <v>87</v>
      </c>
      <c r="T61" s="14"/>
      <c r="U61" s="14">
        <v>80</v>
      </c>
      <c r="V61" s="14">
        <v>65</v>
      </c>
      <c r="W61" s="14">
        <v>600</v>
      </c>
      <c r="X61" s="14"/>
      <c r="Y61" s="14">
        <v>0</v>
      </c>
      <c r="Z61" s="14">
        <v>90</v>
      </c>
      <c r="AA61" s="14">
        <v>0</v>
      </c>
      <c r="AB61" s="14">
        <v>3.3</v>
      </c>
      <c r="AC61" s="14">
        <v>2.8</v>
      </c>
      <c r="AD61" s="14">
        <v>2</v>
      </c>
      <c r="AE61" s="14">
        <v>28</v>
      </c>
      <c r="AF61" s="14">
        <v>10.4</v>
      </c>
      <c r="AG61" s="14"/>
      <c r="AH61" s="14">
        <v>10.4</v>
      </c>
    </row>
    <row r="62" spans="1:34" x14ac:dyDescent="0.25">
      <c r="A62" t="s">
        <v>47</v>
      </c>
      <c r="B62" s="15">
        <v>60</v>
      </c>
      <c r="C62" s="17" t="s">
        <v>220</v>
      </c>
      <c r="D62" s="17">
        <v>91</v>
      </c>
      <c r="E62" s="17">
        <v>13.4</v>
      </c>
      <c r="F62" s="17">
        <v>115</v>
      </c>
      <c r="G62" s="17">
        <v>-35</v>
      </c>
      <c r="H62" s="17">
        <v>126</v>
      </c>
      <c r="I62" s="17">
        <v>15</v>
      </c>
      <c r="J62" s="17">
        <v>154</v>
      </c>
      <c r="K62" s="17">
        <v>97</v>
      </c>
      <c r="L62" s="17">
        <v>228</v>
      </c>
      <c r="M62" s="17">
        <v>44</v>
      </c>
      <c r="N62" s="17">
        <v>477</v>
      </c>
      <c r="O62" s="17">
        <v>82</v>
      </c>
      <c r="P62" s="17">
        <v>90</v>
      </c>
      <c r="Q62" s="17">
        <v>40</v>
      </c>
      <c r="R62" s="17">
        <v>90</v>
      </c>
      <c r="S62" s="17">
        <v>80</v>
      </c>
      <c r="T62" s="17"/>
      <c r="U62" s="17">
        <v>38</v>
      </c>
      <c r="V62" s="17">
        <v>73</v>
      </c>
      <c r="W62" s="17">
        <v>150</v>
      </c>
      <c r="X62" s="17">
        <v>19</v>
      </c>
      <c r="Y62" s="17">
        <v>0</v>
      </c>
      <c r="Z62" s="17">
        <v>620</v>
      </c>
      <c r="AA62" s="17"/>
      <c r="AB62" s="17">
        <v>2.1</v>
      </c>
      <c r="AC62" s="17">
        <v>6.5</v>
      </c>
      <c r="AD62" s="17">
        <v>3.1</v>
      </c>
      <c r="AE62" s="17">
        <v>8</v>
      </c>
      <c r="AF62" s="17">
        <v>0.1</v>
      </c>
      <c r="AG62" s="17"/>
      <c r="AH62" s="17">
        <v>0.1</v>
      </c>
    </row>
    <row r="63" spans="1:34" x14ac:dyDescent="0.25">
      <c r="B63" s="12">
        <v>61</v>
      </c>
      <c r="C63" s="14" t="s">
        <v>221</v>
      </c>
      <c r="D63" s="14">
        <v>91</v>
      </c>
      <c r="E63" s="14">
        <v>12.5</v>
      </c>
      <c r="F63" s="14">
        <v>151</v>
      </c>
      <c r="G63" s="14">
        <v>-30</v>
      </c>
      <c r="H63" s="14">
        <v>166</v>
      </c>
      <c r="I63" s="14">
        <v>14.7</v>
      </c>
      <c r="J63" s="14">
        <v>202</v>
      </c>
      <c r="K63" s="14">
        <v>13</v>
      </c>
      <c r="L63" s="14">
        <v>168</v>
      </c>
      <c r="M63" s="14">
        <v>46</v>
      </c>
      <c r="N63" s="14">
        <v>571</v>
      </c>
      <c r="O63" s="14">
        <v>82</v>
      </c>
      <c r="P63" s="14">
        <v>75</v>
      </c>
      <c r="Q63" s="14">
        <v>50</v>
      </c>
      <c r="R63" s="14">
        <v>90</v>
      </c>
      <c r="S63" s="14">
        <v>80</v>
      </c>
      <c r="T63" s="14"/>
      <c r="U63" s="14">
        <v>38</v>
      </c>
      <c r="V63" s="14">
        <v>82</v>
      </c>
      <c r="W63" s="14">
        <v>150</v>
      </c>
      <c r="X63" s="14"/>
      <c r="Y63" s="14">
        <v>50</v>
      </c>
      <c r="Z63" s="14">
        <v>620</v>
      </c>
      <c r="AA63" s="14"/>
      <c r="AB63" s="14">
        <v>2.1</v>
      </c>
      <c r="AC63" s="14">
        <v>6.5</v>
      </c>
      <c r="AD63" s="14">
        <v>3.1</v>
      </c>
      <c r="AE63" s="14">
        <v>8</v>
      </c>
      <c r="AF63" s="14">
        <v>0.1</v>
      </c>
      <c r="AG63" s="14"/>
      <c r="AH63" s="14">
        <v>0.1</v>
      </c>
    </row>
    <row r="64" spans="1:34" x14ac:dyDescent="0.25">
      <c r="B64" s="15">
        <v>62</v>
      </c>
      <c r="C64" s="17" t="s">
        <v>222</v>
      </c>
      <c r="D64" s="17">
        <v>6</v>
      </c>
      <c r="E64" s="17">
        <v>11.4</v>
      </c>
      <c r="F64" s="17">
        <v>94</v>
      </c>
      <c r="G64" s="17">
        <v>52</v>
      </c>
      <c r="H64" s="17">
        <v>160</v>
      </c>
      <c r="I64" s="17">
        <v>13.3</v>
      </c>
      <c r="J64" s="17">
        <v>200</v>
      </c>
      <c r="K64" s="17">
        <v>7</v>
      </c>
      <c r="L64" s="17">
        <v>59</v>
      </c>
      <c r="M64" s="17">
        <v>113</v>
      </c>
      <c r="N64" s="17">
        <v>621</v>
      </c>
      <c r="O64" s="17">
        <v>80</v>
      </c>
      <c r="P64" s="17">
        <v>65</v>
      </c>
      <c r="Q64" s="17">
        <v>60</v>
      </c>
      <c r="R64" s="17">
        <v>81</v>
      </c>
      <c r="S64" s="17">
        <v>80</v>
      </c>
      <c r="T64" s="17"/>
      <c r="U64" s="17">
        <v>74</v>
      </c>
      <c r="V64" s="17">
        <v>82</v>
      </c>
      <c r="W64" s="17"/>
      <c r="X64" s="17"/>
      <c r="Y64" s="17"/>
      <c r="Z64" s="17"/>
      <c r="AA64" s="17"/>
      <c r="AB64" s="17">
        <v>2.8</v>
      </c>
      <c r="AC64" s="17">
        <v>7.3</v>
      </c>
      <c r="AD64" s="17">
        <v>0</v>
      </c>
      <c r="AE64" s="17">
        <v>55</v>
      </c>
      <c r="AF64" s="17">
        <v>0.6</v>
      </c>
      <c r="AG64" s="17"/>
      <c r="AH64" s="17">
        <v>0.6</v>
      </c>
    </row>
    <row r="65" spans="1:34" x14ac:dyDescent="0.25">
      <c r="B65" s="12">
        <v>63</v>
      </c>
      <c r="C65" s="14" t="s">
        <v>223</v>
      </c>
      <c r="D65" s="14">
        <v>23</v>
      </c>
      <c r="E65" s="14">
        <v>13.1</v>
      </c>
      <c r="F65" s="14">
        <v>92</v>
      </c>
      <c r="G65" s="14">
        <v>-70</v>
      </c>
      <c r="H65" s="14">
        <v>50</v>
      </c>
      <c r="I65" s="14">
        <v>14.9</v>
      </c>
      <c r="J65" s="14">
        <v>90</v>
      </c>
      <c r="K65" s="14">
        <v>10</v>
      </c>
      <c r="L65" s="14">
        <v>25</v>
      </c>
      <c r="M65" s="14">
        <v>55</v>
      </c>
      <c r="N65" s="14">
        <v>820</v>
      </c>
      <c r="O65" s="14">
        <v>55</v>
      </c>
      <c r="P65" s="14">
        <v>0</v>
      </c>
      <c r="Q65" s="14">
        <v>55</v>
      </c>
      <c r="R65" s="14">
        <v>95</v>
      </c>
      <c r="S65" s="14">
        <v>90</v>
      </c>
      <c r="T65" s="14"/>
      <c r="U65" s="14">
        <v>80</v>
      </c>
      <c r="V65" s="14">
        <v>65</v>
      </c>
      <c r="W65" s="14">
        <v>0</v>
      </c>
      <c r="X65" s="14">
        <v>26</v>
      </c>
      <c r="Y65" s="14">
        <v>740</v>
      </c>
      <c r="Z65" s="14">
        <v>73</v>
      </c>
      <c r="AA65" s="14">
        <v>14</v>
      </c>
      <c r="AB65" s="14">
        <v>0.3</v>
      </c>
      <c r="AC65" s="14">
        <v>2.2999999999999998</v>
      </c>
      <c r="AD65" s="14">
        <v>1.4</v>
      </c>
      <c r="AE65" s="14">
        <v>22</v>
      </c>
      <c r="AF65" s="14">
        <v>0.6</v>
      </c>
      <c r="AG65" s="14">
        <v>404</v>
      </c>
      <c r="AH65" s="14">
        <v>0.6</v>
      </c>
    </row>
    <row r="66" spans="1:34" x14ac:dyDescent="0.25">
      <c r="B66" s="15">
        <v>64</v>
      </c>
      <c r="C66" s="17" t="s">
        <v>224</v>
      </c>
      <c r="D66" s="17">
        <v>14</v>
      </c>
      <c r="E66" s="17">
        <v>10.8</v>
      </c>
      <c r="F66" s="17">
        <v>95</v>
      </c>
      <c r="G66" s="17">
        <v>-7</v>
      </c>
      <c r="H66" s="17">
        <v>50</v>
      </c>
      <c r="I66" s="17">
        <v>12.7</v>
      </c>
      <c r="J66" s="17">
        <v>160</v>
      </c>
      <c r="K66" s="17">
        <v>5</v>
      </c>
      <c r="L66" s="17">
        <v>180</v>
      </c>
      <c r="M66" s="17">
        <v>80</v>
      </c>
      <c r="N66" s="17">
        <v>575</v>
      </c>
      <c r="O66" s="17">
        <v>31</v>
      </c>
      <c r="P66" s="17">
        <v>0</v>
      </c>
      <c r="Q66" s="17">
        <v>73</v>
      </c>
      <c r="R66" s="17">
        <v>93</v>
      </c>
      <c r="S66" s="17"/>
      <c r="T66" s="17"/>
      <c r="U66" s="17">
        <v>70</v>
      </c>
      <c r="V66" s="17">
        <v>77</v>
      </c>
      <c r="W66" s="17">
        <v>10</v>
      </c>
      <c r="X66" s="17"/>
      <c r="Y66" s="17">
        <v>300</v>
      </c>
      <c r="Z66" s="17"/>
      <c r="AA66" s="17"/>
      <c r="AB66" s="17">
        <v>2</v>
      </c>
      <c r="AC66" s="17">
        <v>2.9</v>
      </c>
      <c r="AD66" s="17">
        <v>2.4</v>
      </c>
      <c r="AE66" s="17">
        <v>5</v>
      </c>
      <c r="AF66" s="17">
        <v>0.3</v>
      </c>
      <c r="AG66" s="17"/>
      <c r="AH66" s="17">
        <v>0.3</v>
      </c>
    </row>
    <row r="67" spans="1:34" x14ac:dyDescent="0.25">
      <c r="A67" t="s">
        <v>56</v>
      </c>
      <c r="B67" s="12">
        <v>65</v>
      </c>
      <c r="C67" s="14" t="s">
        <v>225</v>
      </c>
      <c r="D67" s="14">
        <v>90</v>
      </c>
      <c r="E67" s="14">
        <v>15.5</v>
      </c>
      <c r="F67" s="14">
        <v>418</v>
      </c>
      <c r="G67" s="14">
        <v>323</v>
      </c>
      <c r="H67" s="14">
        <v>751</v>
      </c>
      <c r="I67" s="14">
        <v>19.7</v>
      </c>
      <c r="J67" s="14">
        <v>844</v>
      </c>
      <c r="K67" s="14">
        <v>33</v>
      </c>
      <c r="L67" s="14">
        <v>4</v>
      </c>
      <c r="M67" s="14">
        <v>28</v>
      </c>
      <c r="N67" s="14">
        <v>91</v>
      </c>
      <c r="O67" s="14">
        <v>89</v>
      </c>
      <c r="P67" s="14"/>
      <c r="Q67" s="14">
        <v>55</v>
      </c>
      <c r="R67" s="14">
        <v>90</v>
      </c>
      <c r="S67" s="14"/>
      <c r="T67" s="14">
        <v>49</v>
      </c>
      <c r="U67" s="14">
        <v>40</v>
      </c>
      <c r="V67" s="14">
        <v>95</v>
      </c>
      <c r="W67" s="14"/>
      <c r="X67" s="14">
        <v>15</v>
      </c>
      <c r="Y67" s="14"/>
      <c r="Z67" s="14">
        <v>20</v>
      </c>
      <c r="AA67" s="14"/>
      <c r="AB67" s="14">
        <v>1.1000000000000001</v>
      </c>
      <c r="AC67" s="14">
        <v>4.4000000000000004</v>
      </c>
      <c r="AD67" s="14">
        <v>1.1000000000000001</v>
      </c>
      <c r="AE67" s="14">
        <v>8.9</v>
      </c>
      <c r="AF67" s="14">
        <v>0.6</v>
      </c>
      <c r="AG67" s="14"/>
      <c r="AH67" s="14">
        <v>0.6</v>
      </c>
    </row>
    <row r="68" spans="1:34" x14ac:dyDescent="0.25">
      <c r="A68" t="s">
        <v>308</v>
      </c>
      <c r="B68" s="15">
        <v>66</v>
      </c>
      <c r="C68" s="17" t="s">
        <v>226</v>
      </c>
      <c r="D68" s="17">
        <v>94</v>
      </c>
      <c r="E68" s="17">
        <v>15.6</v>
      </c>
      <c r="F68" s="17">
        <v>80</v>
      </c>
      <c r="G68" s="17">
        <v>180</v>
      </c>
      <c r="H68" s="17">
        <v>268</v>
      </c>
      <c r="I68" s="17">
        <v>17.3</v>
      </c>
      <c r="J68" s="17">
        <v>315</v>
      </c>
      <c r="K68" s="17">
        <v>174</v>
      </c>
      <c r="L68" s="17">
        <v>117</v>
      </c>
      <c r="M68" s="17">
        <v>67</v>
      </c>
      <c r="N68" s="17">
        <v>327</v>
      </c>
      <c r="O68" s="17">
        <v>85</v>
      </c>
      <c r="P68" s="17">
        <v>95</v>
      </c>
      <c r="Q68" s="17">
        <v>30</v>
      </c>
      <c r="R68" s="17">
        <v>80</v>
      </c>
      <c r="S68" s="17">
        <v>77</v>
      </c>
      <c r="T68" s="17">
        <v>39</v>
      </c>
      <c r="U68" s="17">
        <v>74</v>
      </c>
      <c r="V68" s="17">
        <v>70</v>
      </c>
      <c r="W68" s="17">
        <v>20</v>
      </c>
      <c r="X68" s="17">
        <v>53</v>
      </c>
      <c r="Y68" s="17">
        <v>10</v>
      </c>
      <c r="Z68" s="17"/>
      <c r="AA68" s="17"/>
      <c r="AB68" s="17">
        <v>8</v>
      </c>
      <c r="AC68" s="17">
        <v>11</v>
      </c>
      <c r="AD68" s="17">
        <v>5</v>
      </c>
      <c r="AE68" s="17">
        <v>13</v>
      </c>
      <c r="AF68" s="17">
        <v>0.5</v>
      </c>
      <c r="AG68" s="17">
        <v>-60</v>
      </c>
      <c r="AH68" s="17">
        <v>0.5</v>
      </c>
    </row>
    <row r="69" spans="1:34" x14ac:dyDescent="0.25">
      <c r="B69" s="12">
        <v>67</v>
      </c>
      <c r="C69" s="14" t="s">
        <v>227</v>
      </c>
      <c r="D69" s="14">
        <v>94</v>
      </c>
      <c r="E69" s="14">
        <v>15.5</v>
      </c>
      <c r="F69" s="14">
        <v>171</v>
      </c>
      <c r="G69" s="14">
        <v>87</v>
      </c>
      <c r="H69" s="14">
        <v>288</v>
      </c>
      <c r="I69" s="14">
        <v>17.2</v>
      </c>
      <c r="J69" s="14">
        <v>339</v>
      </c>
      <c r="K69" s="14">
        <v>169</v>
      </c>
      <c r="L69" s="14">
        <v>137</v>
      </c>
      <c r="M69" s="14">
        <v>66</v>
      </c>
      <c r="N69" s="14">
        <v>289</v>
      </c>
      <c r="O69" s="14">
        <v>85</v>
      </c>
      <c r="P69" s="14">
        <v>95</v>
      </c>
      <c r="Q69" s="14">
        <v>30</v>
      </c>
      <c r="R69" s="14">
        <v>80</v>
      </c>
      <c r="S69" s="14">
        <v>77</v>
      </c>
      <c r="T69" s="14">
        <v>39</v>
      </c>
      <c r="U69" s="14">
        <v>40</v>
      </c>
      <c r="V69" s="14">
        <v>82</v>
      </c>
      <c r="W69" s="14">
        <v>20</v>
      </c>
      <c r="X69" s="14">
        <v>53</v>
      </c>
      <c r="Y69" s="14">
        <v>6</v>
      </c>
      <c r="Z69" s="14">
        <v>311</v>
      </c>
      <c r="AA69" s="14"/>
      <c r="AB69" s="14">
        <v>7.5</v>
      </c>
      <c r="AC69" s="14">
        <v>12.4</v>
      </c>
      <c r="AD69" s="14">
        <v>4.2</v>
      </c>
      <c r="AE69" s="14">
        <v>13.2</v>
      </c>
      <c r="AF69" s="14">
        <v>0.8</v>
      </c>
      <c r="AG69" s="14">
        <v>-42</v>
      </c>
      <c r="AH69" s="14">
        <v>0.5</v>
      </c>
    </row>
    <row r="70" spans="1:34" x14ac:dyDescent="0.25">
      <c r="B70" s="15">
        <v>68</v>
      </c>
      <c r="C70" s="17" t="s">
        <v>228</v>
      </c>
      <c r="D70" s="17">
        <v>21</v>
      </c>
      <c r="E70" s="17">
        <v>11.1</v>
      </c>
      <c r="F70" s="17">
        <v>80</v>
      </c>
      <c r="G70" s="17">
        <v>5</v>
      </c>
      <c r="H70" s="17">
        <v>102</v>
      </c>
      <c r="I70" s="17">
        <v>13.5</v>
      </c>
      <c r="J70" s="17">
        <v>142</v>
      </c>
      <c r="K70" s="17">
        <v>30</v>
      </c>
      <c r="L70" s="17">
        <v>261</v>
      </c>
      <c r="M70" s="17">
        <v>100</v>
      </c>
      <c r="N70" s="17">
        <v>467</v>
      </c>
      <c r="O70" s="17"/>
      <c r="P70" s="17">
        <v>50</v>
      </c>
      <c r="Q70" s="17">
        <v>79</v>
      </c>
      <c r="R70" s="17">
        <v>86</v>
      </c>
      <c r="S70" s="17">
        <v>81</v>
      </c>
      <c r="T70" s="17"/>
      <c r="U70" s="17">
        <v>80</v>
      </c>
      <c r="V70" s="17">
        <v>82</v>
      </c>
      <c r="W70" s="17"/>
      <c r="X70" s="17"/>
      <c r="Y70" s="17"/>
      <c r="Z70" s="17"/>
      <c r="AA70" s="17"/>
      <c r="AB70" s="17">
        <v>10</v>
      </c>
      <c r="AC70" s="17">
        <v>2.8</v>
      </c>
      <c r="AD70" s="17"/>
      <c r="AE70" s="17"/>
      <c r="AF70" s="17"/>
      <c r="AG70" s="17"/>
      <c r="AH70" s="17"/>
    </row>
    <row r="71" spans="1:34" x14ac:dyDescent="0.25">
      <c r="B71" s="12">
        <v>69</v>
      </c>
      <c r="C71" s="14" t="s">
        <v>229</v>
      </c>
      <c r="D71" s="14">
        <v>90</v>
      </c>
      <c r="E71" s="14">
        <v>12.4</v>
      </c>
      <c r="F71" s="14">
        <v>112</v>
      </c>
      <c r="G71" s="14">
        <v>231</v>
      </c>
      <c r="H71" s="14">
        <v>340</v>
      </c>
      <c r="I71" s="14">
        <v>14.8</v>
      </c>
      <c r="J71" s="14">
        <v>400</v>
      </c>
      <c r="K71" s="14">
        <v>45</v>
      </c>
      <c r="L71" s="14">
        <v>123</v>
      </c>
      <c r="M71" s="14">
        <v>77</v>
      </c>
      <c r="N71" s="14">
        <v>355</v>
      </c>
      <c r="O71" s="14">
        <v>85</v>
      </c>
      <c r="P71" s="14">
        <v>67</v>
      </c>
      <c r="Q71" s="14">
        <v>30</v>
      </c>
      <c r="R71" s="14">
        <v>80</v>
      </c>
      <c r="S71" s="14">
        <v>77</v>
      </c>
      <c r="T71" s="14">
        <v>47</v>
      </c>
      <c r="U71" s="14">
        <v>72</v>
      </c>
      <c r="V71" s="14">
        <v>82</v>
      </c>
      <c r="W71" s="14">
        <v>20</v>
      </c>
      <c r="X71" s="14">
        <v>50</v>
      </c>
      <c r="Y71" s="14">
        <v>13</v>
      </c>
      <c r="Z71" s="14">
        <v>243</v>
      </c>
      <c r="AA71" s="14"/>
      <c r="AB71" s="14">
        <v>7.9</v>
      </c>
      <c r="AC71" s="14">
        <v>14.4</v>
      </c>
      <c r="AD71" s="14">
        <v>5.6</v>
      </c>
      <c r="AE71" s="14">
        <v>15.8</v>
      </c>
      <c r="AF71" s="14">
        <v>0.1</v>
      </c>
      <c r="AG71" s="14">
        <v>-13</v>
      </c>
      <c r="AH71" s="14">
        <v>0.1</v>
      </c>
    </row>
    <row r="72" spans="1:34" x14ac:dyDescent="0.25">
      <c r="A72" t="s">
        <v>36</v>
      </c>
      <c r="B72" s="15">
        <v>70</v>
      </c>
      <c r="C72" s="17" t="s">
        <v>230</v>
      </c>
      <c r="D72" s="17">
        <v>90</v>
      </c>
      <c r="E72" s="17">
        <v>12.2</v>
      </c>
      <c r="F72" s="17">
        <v>221</v>
      </c>
      <c r="G72" s="17">
        <v>79</v>
      </c>
      <c r="H72" s="17">
        <v>331</v>
      </c>
      <c r="I72" s="17">
        <v>14.6</v>
      </c>
      <c r="J72" s="17">
        <v>389</v>
      </c>
      <c r="K72" s="17">
        <v>46</v>
      </c>
      <c r="L72" s="17">
        <v>140</v>
      </c>
      <c r="M72" s="17">
        <v>75</v>
      </c>
      <c r="N72" s="17">
        <v>350</v>
      </c>
      <c r="O72" s="17">
        <v>85</v>
      </c>
      <c r="P72" s="17">
        <v>67</v>
      </c>
      <c r="Q72" s="17">
        <v>30</v>
      </c>
      <c r="R72" s="17">
        <v>80</v>
      </c>
      <c r="S72" s="17">
        <v>77</v>
      </c>
      <c r="T72" s="17">
        <v>47</v>
      </c>
      <c r="U72" s="17">
        <v>35</v>
      </c>
      <c r="V72" s="17">
        <v>87</v>
      </c>
      <c r="W72" s="17">
        <v>20</v>
      </c>
      <c r="X72" s="17">
        <v>50</v>
      </c>
      <c r="Y72" s="17">
        <v>6</v>
      </c>
      <c r="Z72" s="17">
        <v>332</v>
      </c>
      <c r="AA72" s="17"/>
      <c r="AB72" s="17">
        <v>8</v>
      </c>
      <c r="AC72" s="17">
        <v>12</v>
      </c>
      <c r="AD72" s="17">
        <v>6</v>
      </c>
      <c r="AE72" s="17">
        <v>16</v>
      </c>
      <c r="AF72" s="17">
        <v>0.3</v>
      </c>
      <c r="AG72" s="17">
        <v>1</v>
      </c>
      <c r="AH72" s="17">
        <v>0.1</v>
      </c>
    </row>
    <row r="73" spans="1:34" x14ac:dyDescent="0.25">
      <c r="A73" t="s">
        <v>35</v>
      </c>
      <c r="B73" s="12">
        <v>71</v>
      </c>
      <c r="C73" s="14" t="s">
        <v>231</v>
      </c>
      <c r="D73" s="14">
        <v>93</v>
      </c>
      <c r="E73" s="14">
        <v>22.1</v>
      </c>
      <c r="F73" s="14">
        <v>56</v>
      </c>
      <c r="G73" s="14">
        <v>111</v>
      </c>
      <c r="H73" s="14">
        <v>170</v>
      </c>
      <c r="I73" s="14">
        <v>22.1</v>
      </c>
      <c r="J73" s="14">
        <v>210</v>
      </c>
      <c r="K73" s="14">
        <v>460</v>
      </c>
      <c r="L73" s="14">
        <v>80</v>
      </c>
      <c r="M73" s="14">
        <v>50</v>
      </c>
      <c r="N73" s="14">
        <v>200</v>
      </c>
      <c r="O73" s="14">
        <v>81</v>
      </c>
      <c r="P73" s="14">
        <v>95</v>
      </c>
      <c r="Q73" s="14">
        <v>25</v>
      </c>
      <c r="R73" s="14">
        <v>80</v>
      </c>
      <c r="S73" s="14">
        <v>82</v>
      </c>
      <c r="T73" s="14">
        <v>45</v>
      </c>
      <c r="U73" s="14">
        <v>68</v>
      </c>
      <c r="V73" s="14">
        <v>64</v>
      </c>
      <c r="W73" s="14">
        <v>10</v>
      </c>
      <c r="X73" s="14">
        <v>26</v>
      </c>
      <c r="Y73" s="14">
        <v>10</v>
      </c>
      <c r="Z73" s="14">
        <v>120</v>
      </c>
      <c r="AA73" s="14">
        <v>30</v>
      </c>
      <c r="AB73" s="14">
        <v>4.3</v>
      </c>
      <c r="AC73" s="14">
        <v>8.6</v>
      </c>
      <c r="AD73" s="14">
        <v>2.4</v>
      </c>
      <c r="AE73" s="14">
        <v>8.1999999999999993</v>
      </c>
      <c r="AF73" s="14">
        <v>0.1</v>
      </c>
      <c r="AG73" s="14"/>
      <c r="AH73" s="14">
        <v>0.1</v>
      </c>
    </row>
    <row r="74" spans="1:34" x14ac:dyDescent="0.25">
      <c r="B74" s="15">
        <v>72</v>
      </c>
      <c r="C74" s="17" t="s">
        <v>232</v>
      </c>
      <c r="D74" s="17">
        <v>35</v>
      </c>
      <c r="E74" s="17">
        <v>7.6</v>
      </c>
      <c r="F74" s="17">
        <v>54</v>
      </c>
      <c r="G74" s="17">
        <v>-90</v>
      </c>
      <c r="H74" s="17">
        <v>0</v>
      </c>
      <c r="I74" s="17">
        <v>9.1999999999999993</v>
      </c>
      <c r="J74" s="17">
        <v>30</v>
      </c>
      <c r="K74" s="17">
        <v>20</v>
      </c>
      <c r="L74" s="17">
        <v>410</v>
      </c>
      <c r="M74" s="17">
        <v>10</v>
      </c>
      <c r="N74" s="17">
        <v>530</v>
      </c>
      <c r="O74" s="17">
        <v>0</v>
      </c>
      <c r="P74" s="17">
        <v>70</v>
      </c>
      <c r="Q74" s="17">
        <v>45</v>
      </c>
      <c r="R74" s="17">
        <v>60</v>
      </c>
      <c r="S74" s="17">
        <v>52</v>
      </c>
      <c r="T74" s="17">
        <v>3</v>
      </c>
      <c r="U74" s="17">
        <v>0</v>
      </c>
      <c r="V74" s="17">
        <v>0</v>
      </c>
      <c r="W74" s="17"/>
      <c r="X74" s="17"/>
      <c r="Y74" s="17"/>
      <c r="Z74" s="17"/>
      <c r="AA74" s="17"/>
      <c r="AB74" s="17">
        <v>0.9</v>
      </c>
      <c r="AC74" s="17">
        <v>0.3</v>
      </c>
      <c r="AD74" s="17"/>
      <c r="AE74" s="17"/>
      <c r="AF74" s="17"/>
      <c r="AG74" s="17"/>
      <c r="AH74" s="17"/>
    </row>
    <row r="75" spans="1:34" x14ac:dyDescent="0.25">
      <c r="B75" s="12">
        <v>73</v>
      </c>
      <c r="C75" s="14" t="s">
        <v>233</v>
      </c>
      <c r="D75" s="14">
        <v>89</v>
      </c>
      <c r="E75" s="14">
        <v>12.7</v>
      </c>
      <c r="F75" s="14">
        <v>99</v>
      </c>
      <c r="G75" s="14">
        <v>-77</v>
      </c>
      <c r="H75" s="14">
        <v>51</v>
      </c>
      <c r="I75" s="14">
        <v>14.5</v>
      </c>
      <c r="J75" s="14">
        <v>82</v>
      </c>
      <c r="K75" s="14">
        <v>19</v>
      </c>
      <c r="L75" s="14">
        <v>112</v>
      </c>
      <c r="M75" s="14">
        <v>51</v>
      </c>
      <c r="N75" s="14">
        <v>736</v>
      </c>
      <c r="O75" s="14">
        <v>62</v>
      </c>
      <c r="P75" s="14">
        <v>50</v>
      </c>
      <c r="Q75" s="14">
        <v>45</v>
      </c>
      <c r="R75" s="14">
        <v>95</v>
      </c>
      <c r="S75" s="14">
        <v>85</v>
      </c>
      <c r="T75" s="14"/>
      <c r="U75" s="14">
        <v>70</v>
      </c>
      <c r="V75" s="14">
        <v>90</v>
      </c>
      <c r="W75" s="14">
        <v>0</v>
      </c>
      <c r="X75" s="14"/>
      <c r="Y75" s="14">
        <v>691</v>
      </c>
      <c r="Z75" s="14">
        <v>160</v>
      </c>
      <c r="AA75" s="14"/>
      <c r="AB75" s="14">
        <v>0.7</v>
      </c>
      <c r="AC75" s="14">
        <v>2.9</v>
      </c>
      <c r="AD75" s="14">
        <v>1.5</v>
      </c>
      <c r="AE75" s="14">
        <v>3.6</v>
      </c>
      <c r="AF75" s="14">
        <v>0.6</v>
      </c>
      <c r="AG75" s="14"/>
      <c r="AH75" s="14">
        <v>0.6</v>
      </c>
    </row>
    <row r="76" spans="1:34" x14ac:dyDescent="0.25">
      <c r="B76" s="15">
        <v>74</v>
      </c>
      <c r="C76" s="17" t="s">
        <v>234</v>
      </c>
      <c r="D76" s="17">
        <v>87</v>
      </c>
      <c r="E76" s="17">
        <v>14.4</v>
      </c>
      <c r="F76" s="17">
        <v>110</v>
      </c>
      <c r="G76" s="17">
        <v>-96</v>
      </c>
      <c r="H76" s="17">
        <v>50</v>
      </c>
      <c r="I76" s="17">
        <v>16.2</v>
      </c>
      <c r="J76" s="17">
        <v>81</v>
      </c>
      <c r="K76" s="17">
        <v>10</v>
      </c>
      <c r="L76" s="17">
        <v>8</v>
      </c>
      <c r="M76" s="17">
        <v>5</v>
      </c>
      <c r="N76" s="17">
        <v>896</v>
      </c>
      <c r="O76" s="17">
        <v>62</v>
      </c>
      <c r="P76" s="17">
        <v>50</v>
      </c>
      <c r="Q76" s="17">
        <v>45</v>
      </c>
      <c r="R76" s="17">
        <v>95</v>
      </c>
      <c r="S76" s="17">
        <v>91</v>
      </c>
      <c r="T76" s="17">
        <v>80</v>
      </c>
      <c r="U76" s="17">
        <v>70</v>
      </c>
      <c r="V76" s="17">
        <v>90</v>
      </c>
      <c r="W76" s="17">
        <v>0</v>
      </c>
      <c r="X76" s="17"/>
      <c r="Y76" s="17">
        <v>850</v>
      </c>
      <c r="Z76" s="17">
        <v>13</v>
      </c>
      <c r="AA76" s="17"/>
      <c r="AB76" s="17">
        <v>0.3</v>
      </c>
      <c r="AC76" s="17">
        <v>1.1000000000000001</v>
      </c>
      <c r="AD76" s="17">
        <v>1.2</v>
      </c>
      <c r="AE76" s="17">
        <v>1.5</v>
      </c>
      <c r="AF76" s="17">
        <v>0.8</v>
      </c>
      <c r="AG76" s="17"/>
      <c r="AH76" s="17">
        <v>0.8</v>
      </c>
    </row>
    <row r="77" spans="1:34" x14ac:dyDescent="0.25">
      <c r="B77" s="12">
        <v>75</v>
      </c>
      <c r="C77" s="14" t="s">
        <v>235</v>
      </c>
      <c r="D77" s="14">
        <v>9</v>
      </c>
      <c r="E77" s="14">
        <v>10.9</v>
      </c>
      <c r="F77" s="14">
        <v>79</v>
      </c>
      <c r="G77" s="14">
        <v>-21</v>
      </c>
      <c r="H77" s="14">
        <v>72</v>
      </c>
      <c r="I77" s="14">
        <v>12.7</v>
      </c>
      <c r="J77" s="14">
        <v>120</v>
      </c>
      <c r="K77" s="14">
        <v>10</v>
      </c>
      <c r="L77" s="14">
        <v>110</v>
      </c>
      <c r="M77" s="14">
        <v>110</v>
      </c>
      <c r="N77" s="14">
        <v>650</v>
      </c>
      <c r="O77" s="14">
        <v>60</v>
      </c>
      <c r="P77" s="14">
        <v>0</v>
      </c>
      <c r="Q77" s="14">
        <v>60</v>
      </c>
      <c r="R77" s="14">
        <v>90</v>
      </c>
      <c r="S77" s="14">
        <v>81</v>
      </c>
      <c r="T77" s="14"/>
      <c r="U77" s="14">
        <v>80</v>
      </c>
      <c r="V77" s="14">
        <v>61</v>
      </c>
      <c r="W77" s="14">
        <v>400</v>
      </c>
      <c r="X77" s="14"/>
      <c r="Y77" s="14">
        <v>0</v>
      </c>
      <c r="Z77" s="14"/>
      <c r="AA77" s="14"/>
      <c r="AB77" s="14">
        <v>4.2</v>
      </c>
      <c r="AC77" s="14">
        <v>2.8</v>
      </c>
      <c r="AD77" s="14">
        <v>1</v>
      </c>
      <c r="AE77" s="14">
        <v>18</v>
      </c>
      <c r="AF77" s="14">
        <v>1.1000000000000001</v>
      </c>
      <c r="AG77" s="14"/>
      <c r="AH77" s="14">
        <v>1.1000000000000001</v>
      </c>
    </row>
    <row r="78" spans="1:34" x14ac:dyDescent="0.25">
      <c r="B78" s="15">
        <v>76</v>
      </c>
      <c r="C78" s="17" t="s">
        <v>236</v>
      </c>
      <c r="D78" s="17">
        <v>87</v>
      </c>
      <c r="E78" s="17">
        <v>11.6</v>
      </c>
      <c r="F78" s="17">
        <v>78</v>
      </c>
      <c r="G78" s="17">
        <v>34</v>
      </c>
      <c r="H78" s="17">
        <v>120</v>
      </c>
      <c r="I78" s="17">
        <v>13.2</v>
      </c>
      <c r="J78" s="17">
        <v>160</v>
      </c>
      <c r="K78" s="17">
        <v>40</v>
      </c>
      <c r="L78" s="17">
        <v>55</v>
      </c>
      <c r="M78" s="17">
        <v>45</v>
      </c>
      <c r="N78" s="17">
        <v>700</v>
      </c>
      <c r="O78" s="17">
        <v>75</v>
      </c>
      <c r="P78" s="17">
        <v>70</v>
      </c>
      <c r="Q78" s="17">
        <v>30</v>
      </c>
      <c r="R78" s="17">
        <v>75</v>
      </c>
      <c r="S78" s="17">
        <v>72</v>
      </c>
      <c r="T78" s="17"/>
      <c r="U78" s="17">
        <v>82</v>
      </c>
      <c r="V78" s="17">
        <v>83</v>
      </c>
      <c r="W78" s="17">
        <v>153</v>
      </c>
      <c r="X78" s="17"/>
      <c r="Y78" s="17">
        <v>167</v>
      </c>
      <c r="Z78" s="17"/>
      <c r="AA78" s="17"/>
      <c r="AB78" s="17">
        <v>1.1000000000000001</v>
      </c>
      <c r="AC78" s="17">
        <v>11.1</v>
      </c>
      <c r="AD78" s="17">
        <v>3.5</v>
      </c>
      <c r="AE78" s="17">
        <v>16</v>
      </c>
      <c r="AF78" s="17">
        <v>0.1</v>
      </c>
      <c r="AG78" s="17"/>
      <c r="AH78" s="17">
        <v>0.1</v>
      </c>
    </row>
    <row r="79" spans="1:34" x14ac:dyDescent="0.25">
      <c r="A79" t="s">
        <v>317</v>
      </c>
      <c r="B79" s="12">
        <v>77</v>
      </c>
      <c r="C79" s="14" t="s">
        <v>237</v>
      </c>
      <c r="D79" s="14">
        <v>87</v>
      </c>
      <c r="E79" s="14">
        <v>13.9</v>
      </c>
      <c r="F79" s="14">
        <v>95</v>
      </c>
      <c r="G79" s="14">
        <v>-57</v>
      </c>
      <c r="H79" s="14">
        <v>80</v>
      </c>
      <c r="I79" s="14">
        <v>15.8</v>
      </c>
      <c r="J79" s="14">
        <v>100</v>
      </c>
      <c r="K79" s="14">
        <v>20</v>
      </c>
      <c r="L79" s="14">
        <v>25</v>
      </c>
      <c r="M79" s="14">
        <v>20</v>
      </c>
      <c r="N79" s="14">
        <v>835</v>
      </c>
      <c r="O79" s="14">
        <v>80</v>
      </c>
      <c r="P79" s="14">
        <v>60</v>
      </c>
      <c r="Q79" s="14">
        <v>30</v>
      </c>
      <c r="R79" s="14">
        <v>92</v>
      </c>
      <c r="S79" s="14">
        <v>89</v>
      </c>
      <c r="T79" s="14">
        <v>47</v>
      </c>
      <c r="U79" s="14">
        <v>82</v>
      </c>
      <c r="V79" s="14">
        <v>83</v>
      </c>
      <c r="W79" s="14">
        <v>70</v>
      </c>
      <c r="X79" s="14"/>
      <c r="Y79" s="14">
        <v>640</v>
      </c>
      <c r="Z79" s="14">
        <v>136</v>
      </c>
      <c r="AA79" s="14"/>
      <c r="AB79" s="14">
        <v>0.4</v>
      </c>
      <c r="AC79" s="14">
        <v>3.4</v>
      </c>
      <c r="AD79" s="14">
        <v>1</v>
      </c>
      <c r="AE79" s="14">
        <v>5.5</v>
      </c>
      <c r="AF79" s="14">
        <v>0.1</v>
      </c>
      <c r="AG79" s="14"/>
      <c r="AH79" s="14">
        <v>0.1</v>
      </c>
    </row>
    <row r="80" spans="1:34" x14ac:dyDescent="0.25">
      <c r="A80" t="s">
        <v>39</v>
      </c>
      <c r="B80" s="15">
        <v>78</v>
      </c>
      <c r="C80" s="17" t="s">
        <v>238</v>
      </c>
      <c r="D80" s="17">
        <v>87</v>
      </c>
      <c r="E80" s="17">
        <v>14</v>
      </c>
      <c r="F80" s="17">
        <v>95</v>
      </c>
      <c r="G80" s="17">
        <v>-31</v>
      </c>
      <c r="H80" s="17">
        <v>98</v>
      </c>
      <c r="I80" s="17">
        <v>15.8</v>
      </c>
      <c r="J80" s="17">
        <v>123</v>
      </c>
      <c r="K80" s="17">
        <v>26</v>
      </c>
      <c r="L80" s="17">
        <v>33</v>
      </c>
      <c r="M80" s="17">
        <v>19</v>
      </c>
      <c r="N80" s="17">
        <v>799</v>
      </c>
      <c r="O80" s="17">
        <v>80</v>
      </c>
      <c r="P80" s="17">
        <v>65</v>
      </c>
      <c r="Q80" s="17">
        <v>30</v>
      </c>
      <c r="R80" s="17">
        <v>92</v>
      </c>
      <c r="S80" s="17">
        <v>89</v>
      </c>
      <c r="T80" s="17">
        <v>56</v>
      </c>
      <c r="U80" s="17">
        <v>83</v>
      </c>
      <c r="V80" s="17">
        <v>90</v>
      </c>
      <c r="W80" s="17">
        <v>32</v>
      </c>
      <c r="X80" s="17">
        <v>20</v>
      </c>
      <c r="Y80" s="17">
        <v>609</v>
      </c>
      <c r="Z80" s="17">
        <v>148</v>
      </c>
      <c r="AA80" s="17"/>
      <c r="AB80" s="17">
        <v>0.4</v>
      </c>
      <c r="AC80" s="17">
        <v>4</v>
      </c>
      <c r="AD80" s="17">
        <v>1.4</v>
      </c>
      <c r="AE80" s="17">
        <v>5.4</v>
      </c>
      <c r="AF80" s="17">
        <v>0.1</v>
      </c>
      <c r="AG80" s="17"/>
      <c r="AH80" s="17">
        <v>0.1</v>
      </c>
    </row>
    <row r="81" spans="1:34" x14ac:dyDescent="0.25">
      <c r="B81" s="12">
        <v>79</v>
      </c>
      <c r="C81" s="14" t="s">
        <v>239</v>
      </c>
      <c r="D81" s="14">
        <v>78</v>
      </c>
      <c r="E81" s="14">
        <v>11.4</v>
      </c>
      <c r="F81" s="14">
        <v>78</v>
      </c>
      <c r="G81" s="14">
        <v>-76</v>
      </c>
      <c r="H81" s="14">
        <v>21</v>
      </c>
      <c r="I81" s="14">
        <v>12.7</v>
      </c>
      <c r="J81" s="14">
        <v>55</v>
      </c>
      <c r="K81" s="14">
        <v>0</v>
      </c>
      <c r="L81" s="14">
        <v>0</v>
      </c>
      <c r="M81" s="14">
        <v>142</v>
      </c>
      <c r="N81" s="14">
        <v>803</v>
      </c>
      <c r="O81" s="14">
        <v>38</v>
      </c>
      <c r="P81" s="14"/>
      <c r="Q81" s="14"/>
      <c r="R81" s="14">
        <v>91</v>
      </c>
      <c r="S81" s="14">
        <v>86</v>
      </c>
      <c r="T81" s="14"/>
      <c r="U81" s="14">
        <v>100</v>
      </c>
      <c r="V81" s="14">
        <v>100</v>
      </c>
      <c r="W81" s="14">
        <v>618</v>
      </c>
      <c r="X81" s="14"/>
      <c r="Y81" s="14">
        <v>0</v>
      </c>
      <c r="Z81" s="14"/>
      <c r="AA81" s="14"/>
      <c r="AB81" s="14">
        <v>8</v>
      </c>
      <c r="AC81" s="14">
        <v>0.8</v>
      </c>
      <c r="AD81" s="14">
        <v>4.4000000000000004</v>
      </c>
      <c r="AE81" s="14">
        <v>50</v>
      </c>
      <c r="AF81" s="14">
        <v>2.4</v>
      </c>
      <c r="AG81" s="14"/>
      <c r="AH81" s="14">
        <v>11.6</v>
      </c>
    </row>
    <row r="82" spans="1:34" x14ac:dyDescent="0.25">
      <c r="B82" s="15">
        <v>80</v>
      </c>
      <c r="C82" s="17" t="s">
        <v>240</v>
      </c>
      <c r="D82" s="17">
        <v>93</v>
      </c>
      <c r="E82" s="17">
        <v>22.1</v>
      </c>
      <c r="F82" s="17"/>
      <c r="G82" s="17"/>
      <c r="H82" s="17">
        <v>170</v>
      </c>
      <c r="I82" s="17">
        <v>22.1</v>
      </c>
      <c r="J82" s="17">
        <v>210</v>
      </c>
      <c r="K82" s="17">
        <v>460</v>
      </c>
      <c r="L82" s="17">
        <v>80</v>
      </c>
      <c r="M82" s="17">
        <v>50</v>
      </c>
      <c r="N82" s="17">
        <v>200</v>
      </c>
      <c r="O82" s="17">
        <v>81</v>
      </c>
      <c r="P82" s="17">
        <v>95</v>
      </c>
      <c r="Q82" s="17">
        <v>25</v>
      </c>
      <c r="R82" s="17">
        <v>80</v>
      </c>
      <c r="S82" s="17">
        <v>82</v>
      </c>
      <c r="T82" s="17"/>
      <c r="U82" s="17"/>
      <c r="V82" s="17"/>
      <c r="W82" s="17"/>
      <c r="X82" s="17"/>
      <c r="Y82" s="17"/>
      <c r="Z82" s="17"/>
      <c r="AA82" s="17"/>
      <c r="AB82" s="17">
        <v>4.3</v>
      </c>
      <c r="AC82" s="17">
        <v>8.6</v>
      </c>
      <c r="AD82" s="17"/>
      <c r="AE82" s="17"/>
      <c r="AF82" s="17"/>
      <c r="AG82" s="17"/>
      <c r="AH82" s="17"/>
    </row>
    <row r="83" spans="1:34" x14ac:dyDescent="0.25">
      <c r="B83" s="12">
        <v>81</v>
      </c>
      <c r="C83" s="14" t="s">
        <v>241</v>
      </c>
      <c r="D83" s="14">
        <v>90</v>
      </c>
      <c r="E83" s="14">
        <v>14.4</v>
      </c>
      <c r="F83" s="14"/>
      <c r="G83" s="14"/>
      <c r="H83" s="14">
        <v>405</v>
      </c>
      <c r="I83" s="14">
        <v>16.899999999999999</v>
      </c>
      <c r="J83" s="14">
        <v>450</v>
      </c>
      <c r="K83" s="14">
        <v>90</v>
      </c>
      <c r="L83" s="14">
        <v>80</v>
      </c>
      <c r="M83" s="14">
        <v>120</v>
      </c>
      <c r="N83" s="14">
        <v>260</v>
      </c>
      <c r="O83" s="14">
        <v>90</v>
      </c>
      <c r="P83" s="14">
        <v>95</v>
      </c>
      <c r="Q83" s="14">
        <v>60</v>
      </c>
      <c r="R83" s="14">
        <v>75</v>
      </c>
      <c r="S83" s="14">
        <v>83</v>
      </c>
      <c r="T83" s="14"/>
      <c r="U83" s="14">
        <v>70</v>
      </c>
      <c r="V83" s="14">
        <v>83</v>
      </c>
      <c r="W83" s="14">
        <v>100</v>
      </c>
      <c r="X83" s="14"/>
      <c r="Y83" s="14">
        <v>25</v>
      </c>
      <c r="Z83" s="14"/>
      <c r="AA83" s="14"/>
      <c r="AB83" s="14">
        <v>18.899999999999999</v>
      </c>
      <c r="AC83" s="14">
        <v>11.4</v>
      </c>
      <c r="AD83" s="14">
        <v>6.4</v>
      </c>
      <c r="AE83" s="14">
        <v>7</v>
      </c>
      <c r="AF83" s="14">
        <v>0.1</v>
      </c>
      <c r="AG83" s="14"/>
      <c r="AH83" s="14">
        <v>0.1</v>
      </c>
    </row>
    <row r="84" spans="1:34" x14ac:dyDescent="0.25">
      <c r="B84" s="15">
        <v>82</v>
      </c>
      <c r="C84" s="17" t="s">
        <v>242</v>
      </c>
      <c r="D84" s="17">
        <v>94</v>
      </c>
      <c r="E84" s="17">
        <v>23.2</v>
      </c>
      <c r="F84" s="17"/>
      <c r="G84" s="17"/>
      <c r="H84" s="17">
        <v>198</v>
      </c>
      <c r="I84" s="17">
        <v>23.2</v>
      </c>
      <c r="J84" s="17">
        <v>220</v>
      </c>
      <c r="K84" s="17">
        <v>500</v>
      </c>
      <c r="L84" s="17">
        <v>70</v>
      </c>
      <c r="M84" s="17">
        <v>60</v>
      </c>
      <c r="N84" s="17">
        <v>150</v>
      </c>
      <c r="O84" s="17">
        <v>90</v>
      </c>
      <c r="P84" s="17">
        <v>95</v>
      </c>
      <c r="Q84" s="17">
        <v>30</v>
      </c>
      <c r="R84" s="17">
        <v>70</v>
      </c>
      <c r="S84" s="17">
        <v>85</v>
      </c>
      <c r="T84" s="17"/>
      <c r="U84" s="17"/>
      <c r="V84" s="17"/>
      <c r="W84" s="17"/>
      <c r="X84" s="17"/>
      <c r="Y84" s="17"/>
      <c r="Z84" s="17"/>
      <c r="AA84" s="17"/>
      <c r="AB84" s="17">
        <v>12.8</v>
      </c>
      <c r="AC84" s="17">
        <v>6.4</v>
      </c>
      <c r="AD84" s="17"/>
      <c r="AE84" s="17"/>
      <c r="AF84" s="17"/>
      <c r="AG84" s="17"/>
      <c r="AH84" s="17"/>
    </row>
    <row r="85" spans="1:34" x14ac:dyDescent="0.25">
      <c r="B85" s="12">
        <v>83</v>
      </c>
      <c r="C85" s="14" t="s">
        <v>243</v>
      </c>
      <c r="D85" s="14">
        <v>90</v>
      </c>
      <c r="E85" s="14">
        <v>12.5</v>
      </c>
      <c r="F85" s="14"/>
      <c r="G85" s="14"/>
      <c r="H85" s="14">
        <v>450</v>
      </c>
      <c r="I85" s="14">
        <v>15.5</v>
      </c>
      <c r="J85" s="14">
        <v>500</v>
      </c>
      <c r="K85" s="14">
        <v>15</v>
      </c>
      <c r="L85" s="14">
        <v>85</v>
      </c>
      <c r="M85" s="14">
        <v>135</v>
      </c>
      <c r="N85" s="14">
        <v>265</v>
      </c>
      <c r="O85" s="14">
        <v>90</v>
      </c>
      <c r="P85" s="14">
        <v>95</v>
      </c>
      <c r="Q85" s="14">
        <v>60</v>
      </c>
      <c r="R85" s="14">
        <v>70</v>
      </c>
      <c r="S85" s="14">
        <v>81</v>
      </c>
      <c r="T85" s="14"/>
      <c r="U85" s="14">
        <v>70</v>
      </c>
      <c r="V85" s="14">
        <v>77</v>
      </c>
      <c r="W85" s="14">
        <v>100</v>
      </c>
      <c r="X85" s="14"/>
      <c r="Y85" s="14">
        <v>25</v>
      </c>
      <c r="Z85" s="14"/>
      <c r="AA85" s="14"/>
      <c r="AB85" s="14">
        <v>18.899999999999999</v>
      </c>
      <c r="AC85" s="14">
        <v>11.4</v>
      </c>
      <c r="AD85" s="14">
        <v>6.4</v>
      </c>
      <c r="AE85" s="14">
        <v>7</v>
      </c>
      <c r="AF85" s="14">
        <v>0.1</v>
      </c>
      <c r="AG85" s="14"/>
      <c r="AH85" s="14">
        <v>0.1</v>
      </c>
    </row>
    <row r="86" spans="1:34" x14ac:dyDescent="0.25">
      <c r="B86" s="15">
        <v>84</v>
      </c>
      <c r="C86" s="17" t="s">
        <v>244</v>
      </c>
      <c r="D86" s="17">
        <v>90</v>
      </c>
      <c r="E86" s="17">
        <v>9.5</v>
      </c>
      <c r="F86" s="17">
        <v>31</v>
      </c>
      <c r="G86" s="17">
        <v>9</v>
      </c>
      <c r="H86" s="17">
        <v>0</v>
      </c>
      <c r="I86" s="17">
        <v>9.6999999999999993</v>
      </c>
      <c r="J86" s="17">
        <v>133</v>
      </c>
      <c r="K86" s="17">
        <v>152</v>
      </c>
      <c r="L86" s="17">
        <v>74</v>
      </c>
      <c r="M86" s="17">
        <v>51</v>
      </c>
      <c r="N86" s="17">
        <v>590</v>
      </c>
      <c r="O86" s="17">
        <v>0</v>
      </c>
      <c r="P86" s="17">
        <v>89</v>
      </c>
      <c r="Q86" s="17">
        <v>14</v>
      </c>
      <c r="R86" s="17">
        <v>48</v>
      </c>
      <c r="S86" s="17">
        <v>43</v>
      </c>
      <c r="T86" s="17">
        <v>44</v>
      </c>
      <c r="U86" s="17">
        <v>46</v>
      </c>
      <c r="V86" s="17">
        <v>0</v>
      </c>
      <c r="W86" s="17"/>
      <c r="X86" s="17"/>
      <c r="Y86" s="17"/>
      <c r="Z86" s="17">
        <v>293</v>
      </c>
      <c r="AA86" s="17"/>
      <c r="AB86" s="17">
        <v>2.4</v>
      </c>
      <c r="AC86" s="17">
        <v>2.6</v>
      </c>
      <c r="AD86" s="17"/>
      <c r="AE86" s="17"/>
      <c r="AF86" s="17"/>
      <c r="AG86" s="17"/>
      <c r="AH86" s="17"/>
    </row>
    <row r="87" spans="1:34" x14ac:dyDescent="0.25">
      <c r="B87" s="12">
        <v>85</v>
      </c>
      <c r="C87" s="14" t="s">
        <v>245</v>
      </c>
      <c r="D87" s="14">
        <v>24</v>
      </c>
      <c r="E87" s="14">
        <v>12.8</v>
      </c>
      <c r="F87" s="14">
        <v>92</v>
      </c>
      <c r="G87" s="14">
        <v>-99</v>
      </c>
      <c r="H87" s="14">
        <v>27</v>
      </c>
      <c r="I87" s="14">
        <v>14.4</v>
      </c>
      <c r="J87" s="14">
        <v>60</v>
      </c>
      <c r="K87" s="14">
        <v>10</v>
      </c>
      <c r="L87" s="14">
        <v>60</v>
      </c>
      <c r="M87" s="14">
        <v>50</v>
      </c>
      <c r="N87" s="14">
        <v>820</v>
      </c>
      <c r="O87" s="14">
        <v>45</v>
      </c>
      <c r="P87" s="14"/>
      <c r="Q87" s="14">
        <v>70</v>
      </c>
      <c r="R87" s="14">
        <v>95</v>
      </c>
      <c r="S87" s="14">
        <v>90</v>
      </c>
      <c r="T87" s="14"/>
      <c r="U87" s="14">
        <v>80</v>
      </c>
      <c r="V87" s="14">
        <v>61</v>
      </c>
      <c r="W87" s="14">
        <v>650</v>
      </c>
      <c r="X87" s="14"/>
      <c r="Y87" s="14">
        <v>0</v>
      </c>
      <c r="Z87" s="14"/>
      <c r="AA87" s="14"/>
      <c r="AB87" s="14">
        <v>2.2000000000000002</v>
      </c>
      <c r="AC87" s="14">
        <v>1.4</v>
      </c>
      <c r="AD87" s="14">
        <v>1.2</v>
      </c>
      <c r="AE87" s="14">
        <v>10</v>
      </c>
      <c r="AF87" s="14">
        <v>1</v>
      </c>
      <c r="AG87" s="14"/>
      <c r="AH87" s="14">
        <v>1</v>
      </c>
    </row>
    <row r="88" spans="1:34" x14ac:dyDescent="0.25">
      <c r="B88" s="15">
        <v>86</v>
      </c>
      <c r="C88" s="17" t="s">
        <v>246</v>
      </c>
      <c r="D88" s="17">
        <v>14</v>
      </c>
      <c r="E88" s="17">
        <v>11.7</v>
      </c>
      <c r="F88" s="17">
        <v>87</v>
      </c>
      <c r="G88" s="17">
        <v>-44</v>
      </c>
      <c r="H88" s="17">
        <v>74</v>
      </c>
      <c r="I88" s="17">
        <v>13.8</v>
      </c>
      <c r="J88" s="17">
        <v>107</v>
      </c>
      <c r="K88" s="17">
        <v>10</v>
      </c>
      <c r="L88" s="17">
        <v>197</v>
      </c>
      <c r="M88" s="17">
        <v>65</v>
      </c>
      <c r="N88" s="17">
        <v>621</v>
      </c>
      <c r="O88" s="17">
        <v>69</v>
      </c>
      <c r="P88" s="17"/>
      <c r="Q88" s="17">
        <v>70</v>
      </c>
      <c r="R88" s="17">
        <v>90</v>
      </c>
      <c r="S88" s="17">
        <v>83</v>
      </c>
      <c r="T88" s="17"/>
      <c r="U88" s="17">
        <v>75</v>
      </c>
      <c r="V88" s="17">
        <v>75</v>
      </c>
      <c r="W88" s="17"/>
      <c r="X88" s="17"/>
      <c r="Y88" s="17"/>
      <c r="Z88" s="17"/>
      <c r="AA88" s="17"/>
      <c r="AB88" s="17">
        <v>7</v>
      </c>
      <c r="AC88" s="17">
        <v>1</v>
      </c>
      <c r="AD88" s="17">
        <v>1.4</v>
      </c>
      <c r="AE88" s="17">
        <v>6</v>
      </c>
      <c r="AF88" s="17">
        <v>0.8</v>
      </c>
      <c r="AG88" s="17"/>
      <c r="AH88" s="17">
        <v>0.8</v>
      </c>
    </row>
    <row r="89" spans="1:34" ht="30" x14ac:dyDescent="0.25">
      <c r="B89" s="12">
        <v>87</v>
      </c>
      <c r="C89" s="14" t="s">
        <v>247</v>
      </c>
      <c r="D89" s="14">
        <v>27</v>
      </c>
      <c r="E89" s="14">
        <v>12.8</v>
      </c>
      <c r="F89" s="14">
        <v>100</v>
      </c>
      <c r="G89" s="14">
        <v>-69</v>
      </c>
      <c r="H89" s="14">
        <v>80</v>
      </c>
      <c r="I89" s="14">
        <v>15.3</v>
      </c>
      <c r="J89" s="14">
        <v>108</v>
      </c>
      <c r="K89" s="14">
        <v>8</v>
      </c>
      <c r="L89" s="14">
        <v>176</v>
      </c>
      <c r="M89" s="14">
        <v>73</v>
      </c>
      <c r="N89" s="14">
        <v>635</v>
      </c>
      <c r="O89" s="14">
        <v>74</v>
      </c>
      <c r="P89" s="14"/>
      <c r="Q89" s="14">
        <v>96</v>
      </c>
      <c r="R89" s="14">
        <v>95</v>
      </c>
      <c r="S89" s="14"/>
      <c r="T89" s="14">
        <v>74</v>
      </c>
      <c r="U89" s="14">
        <v>61</v>
      </c>
      <c r="V89" s="14">
        <v>70</v>
      </c>
      <c r="W89" s="14">
        <v>38</v>
      </c>
      <c r="X89" s="14"/>
      <c r="Y89" s="14">
        <v>5</v>
      </c>
      <c r="Z89" s="14">
        <v>445</v>
      </c>
      <c r="AA89" s="14">
        <v>28</v>
      </c>
      <c r="AB89" s="14">
        <v>8.8000000000000007</v>
      </c>
      <c r="AC89" s="14">
        <v>0.8</v>
      </c>
      <c r="AD89" s="14">
        <v>1.7</v>
      </c>
      <c r="AE89" s="14">
        <v>13.7</v>
      </c>
      <c r="AF89" s="14">
        <v>1.4</v>
      </c>
      <c r="AG89" s="14"/>
      <c r="AH89" s="14">
        <v>0.8</v>
      </c>
    </row>
    <row r="90" spans="1:34" x14ac:dyDescent="0.25">
      <c r="A90" t="s">
        <v>52</v>
      </c>
      <c r="B90" s="15">
        <v>88</v>
      </c>
      <c r="C90" s="17" t="s">
        <v>248</v>
      </c>
      <c r="D90" s="17">
        <v>75</v>
      </c>
      <c r="E90" s="17">
        <v>12.4</v>
      </c>
      <c r="F90" s="17">
        <v>76</v>
      </c>
      <c r="G90" s="17">
        <v>3</v>
      </c>
      <c r="H90" s="17">
        <v>92</v>
      </c>
      <c r="I90" s="17">
        <v>14.1</v>
      </c>
      <c r="J90" s="17">
        <v>131</v>
      </c>
      <c r="K90" s="17"/>
      <c r="L90" s="17"/>
      <c r="M90" s="17">
        <v>109</v>
      </c>
      <c r="N90" s="17">
        <v>760</v>
      </c>
      <c r="O90" s="17">
        <v>70</v>
      </c>
      <c r="P90" s="17"/>
      <c r="Q90" s="17"/>
      <c r="R90" s="17">
        <v>94</v>
      </c>
      <c r="S90" s="17">
        <v>90</v>
      </c>
      <c r="T90" s="17"/>
      <c r="U90" s="17">
        <v>100</v>
      </c>
      <c r="V90" s="17">
        <v>100</v>
      </c>
      <c r="W90" s="17">
        <v>590</v>
      </c>
      <c r="X90" s="17"/>
      <c r="Y90" s="17"/>
      <c r="Z90" s="17">
        <v>0</v>
      </c>
      <c r="AA90" s="17"/>
      <c r="AB90" s="17">
        <v>2</v>
      </c>
      <c r="AC90" s="17">
        <v>0.2</v>
      </c>
      <c r="AD90" s="17">
        <v>0.1</v>
      </c>
      <c r="AE90" s="17">
        <v>45</v>
      </c>
      <c r="AF90" s="17">
        <v>12</v>
      </c>
      <c r="AG90" s="17">
        <v>1200</v>
      </c>
      <c r="AH90" s="17">
        <v>12</v>
      </c>
    </row>
    <row r="91" spans="1:34" x14ac:dyDescent="0.25">
      <c r="B91" s="12">
        <v>89</v>
      </c>
      <c r="C91" s="14" t="s">
        <v>249</v>
      </c>
      <c r="D91" s="14">
        <v>19</v>
      </c>
      <c r="E91" s="14">
        <v>10.1</v>
      </c>
      <c r="F91" s="14">
        <v>69</v>
      </c>
      <c r="G91" s="14">
        <v>24</v>
      </c>
      <c r="H91" s="14">
        <v>106</v>
      </c>
      <c r="I91" s="14">
        <v>12.1</v>
      </c>
      <c r="J91" s="14">
        <v>146</v>
      </c>
      <c r="K91" s="14">
        <v>30</v>
      </c>
      <c r="L91" s="14">
        <v>150</v>
      </c>
      <c r="M91" s="14">
        <v>173</v>
      </c>
      <c r="N91" s="14">
        <v>501</v>
      </c>
      <c r="O91" s="14"/>
      <c r="P91" s="14">
        <v>50</v>
      </c>
      <c r="Q91" s="14">
        <v>80</v>
      </c>
      <c r="R91" s="14">
        <v>80</v>
      </c>
      <c r="S91" s="14"/>
      <c r="T91" s="14"/>
      <c r="U91" s="14">
        <v>80</v>
      </c>
      <c r="V91" s="14">
        <v>73</v>
      </c>
      <c r="W91" s="14">
        <v>120</v>
      </c>
      <c r="X91" s="14"/>
      <c r="Y91" s="14"/>
      <c r="Z91" s="14"/>
      <c r="AA91" s="14"/>
      <c r="AB91" s="14">
        <v>13</v>
      </c>
      <c r="AC91" s="14">
        <v>2.7</v>
      </c>
      <c r="AD91" s="14">
        <v>4.0999999999999996</v>
      </c>
      <c r="AE91" s="14">
        <v>30</v>
      </c>
      <c r="AF91" s="14">
        <v>9.6999999999999993</v>
      </c>
      <c r="AG91" s="14"/>
      <c r="AH91" s="14">
        <v>9.6999999999999993</v>
      </c>
    </row>
    <row r="92" spans="1:34" x14ac:dyDescent="0.25">
      <c r="B92" s="15">
        <v>90</v>
      </c>
      <c r="C92" s="17" t="s">
        <v>250</v>
      </c>
      <c r="D92" s="17">
        <v>91</v>
      </c>
      <c r="E92" s="17">
        <v>12.5</v>
      </c>
      <c r="F92" s="17">
        <v>97</v>
      </c>
      <c r="G92" s="17">
        <v>-56</v>
      </c>
      <c r="H92" s="17">
        <v>77</v>
      </c>
      <c r="I92" s="17">
        <v>14.5</v>
      </c>
      <c r="J92" s="17">
        <v>111</v>
      </c>
      <c r="K92" s="17">
        <v>23</v>
      </c>
      <c r="L92" s="17">
        <v>120</v>
      </c>
      <c r="M92" s="17">
        <v>86</v>
      </c>
      <c r="N92" s="17">
        <v>660</v>
      </c>
      <c r="O92" s="17">
        <v>69</v>
      </c>
      <c r="P92" s="17"/>
      <c r="Q92" s="17">
        <v>95</v>
      </c>
      <c r="R92" s="17">
        <v>95</v>
      </c>
      <c r="S92" s="17"/>
      <c r="T92" s="17">
        <v>72</v>
      </c>
      <c r="U92" s="17">
        <v>69</v>
      </c>
      <c r="V92" s="17">
        <v>82</v>
      </c>
      <c r="W92" s="17">
        <v>242</v>
      </c>
      <c r="X92" s="17">
        <v>164</v>
      </c>
      <c r="Y92" s="17">
        <v>0</v>
      </c>
      <c r="Z92" s="17">
        <v>334</v>
      </c>
      <c r="AA92" s="17">
        <v>14</v>
      </c>
      <c r="AB92" s="17">
        <v>9.5</v>
      </c>
      <c r="AC92" s="17">
        <v>0.7</v>
      </c>
      <c r="AD92" s="17">
        <v>1.3</v>
      </c>
      <c r="AE92" s="17">
        <v>21</v>
      </c>
      <c r="AF92" s="17">
        <v>5.5</v>
      </c>
      <c r="AG92" s="17">
        <v>495</v>
      </c>
      <c r="AH92" s="17">
        <v>5.5</v>
      </c>
    </row>
    <row r="93" spans="1:34" x14ac:dyDescent="0.25">
      <c r="A93" t="s">
        <v>53</v>
      </c>
      <c r="B93" s="12">
        <v>91</v>
      </c>
      <c r="C93" s="14" t="s">
        <v>251</v>
      </c>
      <c r="D93" s="14">
        <v>90</v>
      </c>
      <c r="E93" s="14">
        <v>12.3</v>
      </c>
      <c r="F93" s="14">
        <v>107</v>
      </c>
      <c r="G93" s="14">
        <v>-96</v>
      </c>
      <c r="H93" s="14">
        <v>59</v>
      </c>
      <c r="I93" s="14">
        <v>14.7</v>
      </c>
      <c r="J93" s="14">
        <v>90</v>
      </c>
      <c r="K93" s="14">
        <v>32</v>
      </c>
      <c r="L93" s="14">
        <v>187</v>
      </c>
      <c r="M93" s="14">
        <v>66</v>
      </c>
      <c r="N93" s="14">
        <v>625</v>
      </c>
      <c r="O93" s="14">
        <v>65</v>
      </c>
      <c r="P93" s="14"/>
      <c r="Q93" s="14">
        <v>95</v>
      </c>
      <c r="R93" s="14">
        <v>94</v>
      </c>
      <c r="S93" s="14">
        <v>89</v>
      </c>
      <c r="T93" s="14">
        <v>69</v>
      </c>
      <c r="U93" s="14">
        <v>46</v>
      </c>
      <c r="V93" s="14">
        <v>80</v>
      </c>
      <c r="W93" s="14">
        <v>100</v>
      </c>
      <c r="X93" s="14">
        <v>239</v>
      </c>
      <c r="Y93" s="14"/>
      <c r="Z93" s="14">
        <v>454</v>
      </c>
      <c r="AA93" s="14"/>
      <c r="AB93" s="14">
        <v>7</v>
      </c>
      <c r="AC93" s="14">
        <v>1</v>
      </c>
      <c r="AD93" s="14">
        <v>1.4</v>
      </c>
      <c r="AE93" s="14">
        <v>6</v>
      </c>
      <c r="AF93" s="14">
        <v>0.8</v>
      </c>
      <c r="AG93" s="14"/>
      <c r="AH93" s="14">
        <v>0.8</v>
      </c>
    </row>
    <row r="94" spans="1:34" x14ac:dyDescent="0.25">
      <c r="A94" t="s">
        <v>318</v>
      </c>
      <c r="B94" s="15">
        <v>92</v>
      </c>
      <c r="C94" s="17" t="s">
        <v>252</v>
      </c>
      <c r="D94" s="17">
        <v>87</v>
      </c>
      <c r="E94" s="17">
        <v>16.399999999999999</v>
      </c>
      <c r="F94" s="17">
        <v>69</v>
      </c>
      <c r="G94" s="17">
        <v>273</v>
      </c>
      <c r="H94" s="17">
        <v>360</v>
      </c>
      <c r="I94" s="17">
        <v>18.399999999999999</v>
      </c>
      <c r="J94" s="17">
        <v>400</v>
      </c>
      <c r="K94" s="17">
        <v>180</v>
      </c>
      <c r="L94" s="17">
        <v>60</v>
      </c>
      <c r="M94" s="17">
        <v>50</v>
      </c>
      <c r="N94" s="17">
        <v>310</v>
      </c>
      <c r="O94" s="17">
        <v>90</v>
      </c>
      <c r="P94" s="17">
        <v>90</v>
      </c>
      <c r="Q94" s="17">
        <v>40</v>
      </c>
      <c r="R94" s="17">
        <v>70</v>
      </c>
      <c r="S94" s="17">
        <v>80</v>
      </c>
      <c r="T94" s="17"/>
      <c r="U94" s="17">
        <v>79</v>
      </c>
      <c r="V94" s="17">
        <v>60</v>
      </c>
      <c r="W94" s="17">
        <v>50</v>
      </c>
      <c r="X94" s="17"/>
      <c r="Y94" s="17">
        <v>150</v>
      </c>
      <c r="Z94" s="17">
        <v>101</v>
      </c>
      <c r="AA94" s="17"/>
      <c r="AB94" s="17">
        <v>2.6</v>
      </c>
      <c r="AC94" s="17">
        <v>6.3</v>
      </c>
      <c r="AD94" s="17">
        <v>2.8</v>
      </c>
      <c r="AE94" s="17">
        <v>19</v>
      </c>
      <c r="AF94" s="17">
        <v>0.3</v>
      </c>
      <c r="AG94" s="17"/>
      <c r="AH94" s="17">
        <v>0.1</v>
      </c>
    </row>
    <row r="95" spans="1:34" x14ac:dyDescent="0.25">
      <c r="A95" t="s">
        <v>44</v>
      </c>
      <c r="B95" s="12">
        <v>93</v>
      </c>
      <c r="C95" s="14" t="s">
        <v>253</v>
      </c>
      <c r="D95" s="14">
        <v>87</v>
      </c>
      <c r="E95" s="14">
        <v>14.6</v>
      </c>
      <c r="F95" s="14">
        <v>182</v>
      </c>
      <c r="G95" s="14">
        <v>261</v>
      </c>
      <c r="H95" s="14">
        <v>469</v>
      </c>
      <c r="I95" s="14">
        <v>17.8</v>
      </c>
      <c r="J95" s="14">
        <v>510</v>
      </c>
      <c r="K95" s="14">
        <v>10</v>
      </c>
      <c r="L95" s="14">
        <v>60</v>
      </c>
      <c r="M95" s="14">
        <v>70</v>
      </c>
      <c r="N95" s="14">
        <v>350</v>
      </c>
      <c r="O95" s="14">
        <v>92</v>
      </c>
      <c r="P95" s="14">
        <v>50</v>
      </c>
      <c r="Q95" s="14">
        <v>70</v>
      </c>
      <c r="R95" s="14">
        <v>92</v>
      </c>
      <c r="S95" s="14">
        <v>90</v>
      </c>
      <c r="T95" s="14">
        <v>72</v>
      </c>
      <c r="U95" s="14">
        <v>64</v>
      </c>
      <c r="V95" s="14">
        <v>92</v>
      </c>
      <c r="W95" s="14">
        <v>121</v>
      </c>
      <c r="X95" s="14">
        <v>51</v>
      </c>
      <c r="Y95" s="14">
        <v>62</v>
      </c>
      <c r="Z95" s="14">
        <v>95</v>
      </c>
      <c r="AA95" s="14"/>
      <c r="AB95" s="14">
        <v>3.2</v>
      </c>
      <c r="AC95" s="14">
        <v>7.2</v>
      </c>
      <c r="AD95" s="14">
        <v>2.7</v>
      </c>
      <c r="AE95" s="14">
        <v>23</v>
      </c>
      <c r="AF95" s="14">
        <v>0.3</v>
      </c>
      <c r="AG95" s="14"/>
      <c r="AH95" s="14">
        <v>0.3</v>
      </c>
    </row>
    <row r="96" spans="1:34" x14ac:dyDescent="0.25">
      <c r="B96" s="15">
        <v>94</v>
      </c>
      <c r="C96" s="17" t="s">
        <v>254</v>
      </c>
      <c r="D96" s="17">
        <v>87</v>
      </c>
      <c r="E96" s="17">
        <v>13.8</v>
      </c>
      <c r="F96" s="17">
        <v>292</v>
      </c>
      <c r="G96" s="17">
        <v>79</v>
      </c>
      <c r="H96" s="17">
        <v>437</v>
      </c>
      <c r="I96" s="17">
        <v>16.899999999999999</v>
      </c>
      <c r="J96" s="17">
        <v>475</v>
      </c>
      <c r="K96" s="17">
        <v>8</v>
      </c>
      <c r="L96" s="17">
        <v>60</v>
      </c>
      <c r="M96" s="17">
        <v>70</v>
      </c>
      <c r="N96" s="17">
        <v>387</v>
      </c>
      <c r="O96" s="17">
        <v>92</v>
      </c>
      <c r="P96" s="17">
        <v>50</v>
      </c>
      <c r="Q96" s="17">
        <v>70</v>
      </c>
      <c r="R96" s="17">
        <v>81</v>
      </c>
      <c r="S96" s="17"/>
      <c r="T96" s="17">
        <v>50</v>
      </c>
      <c r="U96" s="17">
        <v>30</v>
      </c>
      <c r="V96" s="17">
        <v>90</v>
      </c>
      <c r="W96" s="17"/>
      <c r="X96" s="17">
        <v>53</v>
      </c>
      <c r="Y96" s="17"/>
      <c r="Z96" s="17"/>
      <c r="AA96" s="17"/>
      <c r="AB96" s="17">
        <v>4.9000000000000004</v>
      </c>
      <c r="AC96" s="17">
        <v>6.6</v>
      </c>
      <c r="AD96" s="17">
        <v>3.5</v>
      </c>
      <c r="AE96" s="17">
        <v>22</v>
      </c>
      <c r="AF96" s="17">
        <v>0.2</v>
      </c>
      <c r="AG96" s="17"/>
      <c r="AH96" s="17"/>
    </row>
    <row r="97" spans="1:34" x14ac:dyDescent="0.25">
      <c r="B97" s="12">
        <v>95</v>
      </c>
      <c r="C97" s="14" t="s">
        <v>255</v>
      </c>
      <c r="D97" s="14">
        <v>92</v>
      </c>
      <c r="E97" s="14">
        <v>11.7</v>
      </c>
      <c r="F97" s="14">
        <v>89</v>
      </c>
      <c r="G97" s="14">
        <v>194</v>
      </c>
      <c r="H97" s="14">
        <v>275</v>
      </c>
      <c r="I97" s="14">
        <v>13.6</v>
      </c>
      <c r="J97" s="14">
        <v>320</v>
      </c>
      <c r="K97" s="14">
        <v>90</v>
      </c>
      <c r="L97" s="14">
        <v>235</v>
      </c>
      <c r="M97" s="14">
        <v>70</v>
      </c>
      <c r="N97" s="14">
        <v>285</v>
      </c>
      <c r="O97" s="14">
        <v>86</v>
      </c>
      <c r="P97" s="14">
        <v>90</v>
      </c>
      <c r="Q97" s="14">
        <v>30</v>
      </c>
      <c r="R97" s="14">
        <v>60</v>
      </c>
      <c r="S97" s="14">
        <v>64</v>
      </c>
      <c r="T97" s="14"/>
      <c r="U97" s="14">
        <v>74</v>
      </c>
      <c r="V97" s="14">
        <v>89</v>
      </c>
      <c r="W97" s="14">
        <v>69</v>
      </c>
      <c r="X97" s="14"/>
      <c r="Y97" s="14">
        <v>42</v>
      </c>
      <c r="Z97" s="14">
        <v>380</v>
      </c>
      <c r="AA97" s="14"/>
      <c r="AB97" s="14">
        <v>4.3</v>
      </c>
      <c r="AC97" s="14">
        <v>13</v>
      </c>
      <c r="AD97" s="14">
        <v>6.5</v>
      </c>
      <c r="AE97" s="14">
        <v>17.399999999999999</v>
      </c>
      <c r="AF97" s="14">
        <v>0.2</v>
      </c>
      <c r="AG97" s="14"/>
      <c r="AH97" s="14">
        <v>0.2</v>
      </c>
    </row>
    <row r="98" spans="1:34" x14ac:dyDescent="0.25">
      <c r="B98" s="15">
        <v>96</v>
      </c>
      <c r="C98" s="17" t="s">
        <v>256</v>
      </c>
      <c r="D98" s="17">
        <v>92</v>
      </c>
      <c r="E98" s="17">
        <v>12.8</v>
      </c>
      <c r="F98" s="17">
        <v>100</v>
      </c>
      <c r="G98" s="17">
        <v>265</v>
      </c>
      <c r="H98" s="17">
        <v>369</v>
      </c>
      <c r="I98" s="17">
        <v>15.1</v>
      </c>
      <c r="J98" s="17">
        <v>410</v>
      </c>
      <c r="K98" s="17">
        <v>80</v>
      </c>
      <c r="L98" s="17">
        <v>160</v>
      </c>
      <c r="M98" s="17">
        <v>70</v>
      </c>
      <c r="N98" s="17">
        <v>280</v>
      </c>
      <c r="O98" s="17">
        <v>90</v>
      </c>
      <c r="P98" s="17">
        <v>90</v>
      </c>
      <c r="Q98" s="17">
        <v>30</v>
      </c>
      <c r="R98" s="17">
        <v>60</v>
      </c>
      <c r="S98" s="17">
        <v>71</v>
      </c>
      <c r="T98" s="17"/>
      <c r="U98" s="17">
        <v>74</v>
      </c>
      <c r="V98" s="17">
        <v>85</v>
      </c>
      <c r="W98" s="17">
        <v>69</v>
      </c>
      <c r="X98" s="17">
        <v>66</v>
      </c>
      <c r="Y98" s="17">
        <v>42</v>
      </c>
      <c r="Z98" s="17">
        <v>280</v>
      </c>
      <c r="AA98" s="17"/>
      <c r="AB98" s="17">
        <v>3.7</v>
      </c>
      <c r="AC98" s="17">
        <v>11.1</v>
      </c>
      <c r="AD98" s="17">
        <v>6</v>
      </c>
      <c r="AE98" s="17">
        <v>17.2</v>
      </c>
      <c r="AF98" s="17">
        <v>0.2</v>
      </c>
      <c r="AG98" s="17"/>
      <c r="AH98" s="17">
        <v>0.2</v>
      </c>
    </row>
    <row r="99" spans="1:34" x14ac:dyDescent="0.25">
      <c r="B99" s="12">
        <v>97</v>
      </c>
      <c r="C99" s="14" t="s">
        <v>257</v>
      </c>
      <c r="D99" s="14">
        <v>93</v>
      </c>
      <c r="E99" s="14">
        <v>15.2</v>
      </c>
      <c r="F99" s="14">
        <v>29</v>
      </c>
      <c r="G99" s="14">
        <v>118</v>
      </c>
      <c r="H99" s="14">
        <v>145</v>
      </c>
      <c r="I99" s="14">
        <v>15.8</v>
      </c>
      <c r="J99" s="14">
        <v>170</v>
      </c>
      <c r="K99" s="14">
        <v>300</v>
      </c>
      <c r="L99" s="14">
        <v>300</v>
      </c>
      <c r="M99" s="14">
        <v>40</v>
      </c>
      <c r="N99" s="14">
        <v>190</v>
      </c>
      <c r="O99" s="14">
        <v>85</v>
      </c>
      <c r="P99" s="14">
        <v>95</v>
      </c>
      <c r="Q99" s="14">
        <v>30</v>
      </c>
      <c r="R99" s="14">
        <v>30</v>
      </c>
      <c r="S99" s="14">
        <v>60</v>
      </c>
      <c r="T99" s="14"/>
      <c r="U99" s="14">
        <v>85</v>
      </c>
      <c r="V99" s="14">
        <v>60</v>
      </c>
      <c r="W99" s="14">
        <v>230</v>
      </c>
      <c r="X99" s="14"/>
      <c r="Y99" s="14">
        <v>150</v>
      </c>
      <c r="Z99" s="14"/>
      <c r="AA99" s="14"/>
      <c r="AB99" s="14">
        <v>2.2000000000000002</v>
      </c>
      <c r="AC99" s="14">
        <v>6.1</v>
      </c>
      <c r="AD99" s="14">
        <v>3.8</v>
      </c>
      <c r="AE99" s="14">
        <v>9</v>
      </c>
      <c r="AF99" s="14">
        <v>0.7</v>
      </c>
      <c r="AG99" s="14"/>
      <c r="AH99" s="14">
        <v>0.7</v>
      </c>
    </row>
    <row r="100" spans="1:34" x14ac:dyDescent="0.25">
      <c r="B100" s="15">
        <v>98</v>
      </c>
      <c r="C100" s="17" t="s">
        <v>258</v>
      </c>
      <c r="D100" s="17">
        <v>92</v>
      </c>
      <c r="E100" s="17">
        <v>8</v>
      </c>
      <c r="F100" s="17">
        <v>78</v>
      </c>
      <c r="G100" s="17">
        <v>175</v>
      </c>
      <c r="H100" s="17">
        <v>247</v>
      </c>
      <c r="I100" s="17">
        <v>10.1</v>
      </c>
      <c r="J100" s="17">
        <v>290</v>
      </c>
      <c r="K100" s="17">
        <v>10</v>
      </c>
      <c r="L100" s="17">
        <v>370</v>
      </c>
      <c r="M100" s="17">
        <v>60</v>
      </c>
      <c r="N100" s="17">
        <v>270</v>
      </c>
      <c r="O100" s="17">
        <v>85</v>
      </c>
      <c r="P100" s="17">
        <v>90</v>
      </c>
      <c r="Q100" s="17">
        <v>30</v>
      </c>
      <c r="R100" s="17">
        <v>40</v>
      </c>
      <c r="S100" s="17">
        <v>50</v>
      </c>
      <c r="T100" s="17"/>
      <c r="U100" s="17">
        <v>74</v>
      </c>
      <c r="V100" s="17">
        <v>85</v>
      </c>
      <c r="W100" s="17">
        <v>69</v>
      </c>
      <c r="X100" s="17"/>
      <c r="Y100" s="17">
        <v>42</v>
      </c>
      <c r="Z100" s="17">
        <v>410</v>
      </c>
      <c r="AA100" s="17"/>
      <c r="AB100" s="17">
        <v>3.7</v>
      </c>
      <c r="AC100" s="17">
        <v>10.4</v>
      </c>
      <c r="AD100" s="17">
        <v>5.6</v>
      </c>
      <c r="AE100" s="17">
        <v>15</v>
      </c>
      <c r="AF100" s="17">
        <v>0.2</v>
      </c>
      <c r="AG100" s="17"/>
      <c r="AH100" s="17">
        <v>0.2</v>
      </c>
    </row>
    <row r="101" spans="1:34" x14ac:dyDescent="0.25">
      <c r="A101" t="s">
        <v>46</v>
      </c>
      <c r="B101" s="12">
        <v>99</v>
      </c>
      <c r="C101" s="14" t="s">
        <v>259</v>
      </c>
      <c r="D101" s="14">
        <v>92</v>
      </c>
      <c r="E101" s="14">
        <v>11.4</v>
      </c>
      <c r="F101" s="14">
        <v>109</v>
      </c>
      <c r="G101" s="14">
        <v>301</v>
      </c>
      <c r="H101" s="14">
        <v>414</v>
      </c>
      <c r="I101" s="14">
        <v>14.1</v>
      </c>
      <c r="J101" s="14">
        <v>460</v>
      </c>
      <c r="K101" s="14">
        <v>10</v>
      </c>
      <c r="L101" s="14">
        <v>170</v>
      </c>
      <c r="M101" s="14">
        <v>80</v>
      </c>
      <c r="N101" s="14">
        <v>280</v>
      </c>
      <c r="O101" s="14">
        <v>90</v>
      </c>
      <c r="P101" s="14">
        <v>90</v>
      </c>
      <c r="Q101" s="14">
        <v>30</v>
      </c>
      <c r="R101" s="14">
        <v>60</v>
      </c>
      <c r="S101" s="14">
        <v>70</v>
      </c>
      <c r="T101" s="14"/>
      <c r="U101" s="14">
        <v>74</v>
      </c>
      <c r="V101" s="14">
        <v>85</v>
      </c>
      <c r="W101" s="14">
        <v>69</v>
      </c>
      <c r="X101" s="14"/>
      <c r="Y101" s="14">
        <v>42</v>
      </c>
      <c r="Z101" s="14">
        <v>280</v>
      </c>
      <c r="AA101" s="14"/>
      <c r="AB101" s="14">
        <v>4.5</v>
      </c>
      <c r="AC101" s="14">
        <v>13.5</v>
      </c>
      <c r="AD101" s="14">
        <v>6.7</v>
      </c>
      <c r="AE101" s="14">
        <v>18</v>
      </c>
      <c r="AF101" s="14">
        <v>0.2</v>
      </c>
      <c r="AG101" s="14">
        <v>222</v>
      </c>
      <c r="AH101" s="14">
        <v>0.2</v>
      </c>
    </row>
    <row r="102" spans="1:34" x14ac:dyDescent="0.25">
      <c r="B102" s="15">
        <v>100</v>
      </c>
      <c r="C102" s="17" t="s">
        <v>260</v>
      </c>
      <c r="D102" s="17">
        <v>87</v>
      </c>
      <c r="E102" s="17">
        <v>14.4</v>
      </c>
      <c r="F102" s="17">
        <v>145</v>
      </c>
      <c r="G102" s="17">
        <v>-99</v>
      </c>
      <c r="H102" s="17">
        <v>94</v>
      </c>
      <c r="I102" s="17">
        <v>16.2</v>
      </c>
      <c r="J102" s="17">
        <v>120</v>
      </c>
      <c r="K102" s="17">
        <v>30</v>
      </c>
      <c r="L102" s="17">
        <v>25</v>
      </c>
      <c r="M102" s="17">
        <v>20</v>
      </c>
      <c r="N102" s="17">
        <v>805</v>
      </c>
      <c r="O102" s="17">
        <v>78</v>
      </c>
      <c r="P102" s="17">
        <v>85</v>
      </c>
      <c r="Q102" s="17">
        <v>30</v>
      </c>
      <c r="R102" s="17">
        <v>93</v>
      </c>
      <c r="S102" s="17">
        <v>89</v>
      </c>
      <c r="T102" s="17"/>
      <c r="U102" s="17">
        <v>30</v>
      </c>
      <c r="V102" s="17">
        <v>90</v>
      </c>
      <c r="W102" s="17">
        <v>11</v>
      </c>
      <c r="X102" s="17"/>
      <c r="Y102" s="17">
        <v>749</v>
      </c>
      <c r="Z102" s="17"/>
      <c r="AA102" s="17"/>
      <c r="AB102" s="17">
        <v>0.5</v>
      </c>
      <c r="AC102" s="17">
        <v>3.1</v>
      </c>
      <c r="AD102" s="17">
        <v>1.4</v>
      </c>
      <c r="AE102" s="17">
        <v>4</v>
      </c>
      <c r="AF102" s="17">
        <v>0.1</v>
      </c>
      <c r="AG102" s="17"/>
      <c r="AH102" s="17">
        <v>0.1</v>
      </c>
    </row>
    <row r="103" spans="1:34" x14ac:dyDescent="0.25">
      <c r="B103" s="12">
        <v>101</v>
      </c>
      <c r="C103" s="14" t="s">
        <v>261</v>
      </c>
      <c r="D103" s="14">
        <v>50</v>
      </c>
      <c r="E103" s="14">
        <v>7.5</v>
      </c>
      <c r="F103" s="14">
        <v>45</v>
      </c>
      <c r="G103" s="14">
        <v>-76</v>
      </c>
      <c r="H103" s="14">
        <v>0</v>
      </c>
      <c r="I103" s="14">
        <v>8.5</v>
      </c>
      <c r="J103" s="14">
        <v>30</v>
      </c>
      <c r="K103" s="14">
        <v>50</v>
      </c>
      <c r="L103" s="14">
        <v>270</v>
      </c>
      <c r="M103" s="14">
        <v>30</v>
      </c>
      <c r="N103" s="14">
        <v>620</v>
      </c>
      <c r="O103" s="14">
        <v>0</v>
      </c>
      <c r="P103" s="14">
        <v>65</v>
      </c>
      <c r="Q103" s="14">
        <v>20</v>
      </c>
      <c r="R103" s="14">
        <v>60</v>
      </c>
      <c r="S103" s="14">
        <v>47</v>
      </c>
      <c r="T103" s="14"/>
      <c r="U103" s="14">
        <v>0</v>
      </c>
      <c r="V103" s="14">
        <v>0</v>
      </c>
      <c r="W103" s="14"/>
      <c r="X103" s="14"/>
      <c r="Y103" s="14"/>
      <c r="Z103" s="14"/>
      <c r="AA103" s="14"/>
      <c r="AB103" s="14">
        <v>10</v>
      </c>
      <c r="AC103" s="14">
        <v>0.6</v>
      </c>
      <c r="AD103" s="14"/>
      <c r="AE103" s="14"/>
      <c r="AF103" s="14"/>
      <c r="AG103" s="14"/>
      <c r="AH103" s="14"/>
    </row>
    <row r="104" spans="1:34" x14ac:dyDescent="0.25">
      <c r="B104" s="15">
        <v>102</v>
      </c>
      <c r="C104" s="17" t="s">
        <v>262</v>
      </c>
      <c r="D104" s="17">
        <v>88</v>
      </c>
      <c r="E104" s="17">
        <v>13.1</v>
      </c>
      <c r="F104" s="17">
        <v>93</v>
      </c>
      <c r="G104" s="17">
        <v>-124</v>
      </c>
      <c r="H104" s="17">
        <v>3</v>
      </c>
      <c r="I104" s="17">
        <v>14.7</v>
      </c>
      <c r="J104" s="17">
        <v>32</v>
      </c>
      <c r="K104" s="17">
        <v>8</v>
      </c>
      <c r="L104" s="17">
        <v>44</v>
      </c>
      <c r="M104" s="17">
        <v>62</v>
      </c>
      <c r="N104" s="17">
        <v>854</v>
      </c>
      <c r="O104" s="17">
        <v>10</v>
      </c>
      <c r="P104" s="17">
        <v>70</v>
      </c>
      <c r="Q104" s="17">
        <v>55</v>
      </c>
      <c r="R104" s="17">
        <v>95</v>
      </c>
      <c r="S104" s="17">
        <v>90</v>
      </c>
      <c r="T104" s="17"/>
      <c r="U104" s="17">
        <v>80</v>
      </c>
      <c r="V104" s="17">
        <v>77</v>
      </c>
      <c r="W104" s="17">
        <v>50</v>
      </c>
      <c r="X104" s="17"/>
      <c r="Y104" s="17">
        <v>750</v>
      </c>
      <c r="Z104" s="17">
        <v>80</v>
      </c>
      <c r="AA104" s="17"/>
      <c r="AB104" s="17">
        <v>2.4</v>
      </c>
      <c r="AC104" s="17">
        <v>1.2</v>
      </c>
      <c r="AD104" s="17">
        <v>1.3</v>
      </c>
      <c r="AE104" s="17">
        <v>9</v>
      </c>
      <c r="AF104" s="17">
        <v>0.2</v>
      </c>
      <c r="AG104" s="17"/>
      <c r="AH104" s="17">
        <v>0.2</v>
      </c>
    </row>
    <row r="105" spans="1:34" x14ac:dyDescent="0.25">
      <c r="B105" s="12">
        <v>103</v>
      </c>
      <c r="C105" s="14" t="s">
        <v>263</v>
      </c>
      <c r="D105" s="14">
        <v>50</v>
      </c>
      <c r="E105" s="14">
        <v>12.4</v>
      </c>
      <c r="F105" s="14">
        <v>85</v>
      </c>
      <c r="G105" s="14">
        <v>-133</v>
      </c>
      <c r="H105" s="14">
        <v>0</v>
      </c>
      <c r="I105" s="14">
        <v>13.8</v>
      </c>
      <c r="J105" s="14">
        <v>10</v>
      </c>
      <c r="K105" s="14">
        <v>10</v>
      </c>
      <c r="L105" s="14"/>
      <c r="M105" s="14">
        <v>30</v>
      </c>
      <c r="N105" s="14">
        <v>950</v>
      </c>
      <c r="O105" s="14">
        <v>0</v>
      </c>
      <c r="P105" s="14">
        <v>0</v>
      </c>
      <c r="Q105" s="14">
        <v>0</v>
      </c>
      <c r="R105" s="14">
        <v>84</v>
      </c>
      <c r="S105" s="14">
        <v>82</v>
      </c>
      <c r="T105" s="14"/>
      <c r="U105" s="14">
        <v>100</v>
      </c>
      <c r="V105" s="14">
        <v>100</v>
      </c>
      <c r="W105" s="14"/>
      <c r="X105" s="14"/>
      <c r="Y105" s="14"/>
      <c r="Z105" s="14"/>
      <c r="AA105" s="14"/>
      <c r="AB105" s="14">
        <v>5.6</v>
      </c>
      <c r="AC105" s="14">
        <v>0.9</v>
      </c>
      <c r="AD105" s="14">
        <v>1</v>
      </c>
      <c r="AE105" s="14">
        <v>6</v>
      </c>
      <c r="AF105" s="14">
        <v>0.2</v>
      </c>
      <c r="AG105" s="14"/>
      <c r="AH105" s="14">
        <v>0.2</v>
      </c>
    </row>
    <row r="106" spans="1:34" x14ac:dyDescent="0.25">
      <c r="B106" s="15">
        <v>104</v>
      </c>
      <c r="C106" s="17" t="s">
        <v>264</v>
      </c>
      <c r="D106" s="17">
        <v>89</v>
      </c>
      <c r="E106" s="17">
        <v>6.4</v>
      </c>
      <c r="F106" s="17"/>
      <c r="G106" s="17"/>
      <c r="H106" s="17">
        <v>0</v>
      </c>
      <c r="I106" s="17">
        <v>7</v>
      </c>
      <c r="J106" s="17">
        <v>60</v>
      </c>
      <c r="K106" s="17">
        <v>40</v>
      </c>
      <c r="L106" s="17">
        <v>50</v>
      </c>
      <c r="M106" s="17">
        <v>190</v>
      </c>
      <c r="N106" s="17">
        <v>660</v>
      </c>
      <c r="O106" s="17">
        <v>0</v>
      </c>
      <c r="P106" s="17">
        <v>95</v>
      </c>
      <c r="Q106" s="17">
        <v>0</v>
      </c>
      <c r="R106" s="17">
        <v>50</v>
      </c>
      <c r="S106" s="17">
        <v>45</v>
      </c>
      <c r="T106" s="17"/>
      <c r="U106" s="17"/>
      <c r="V106" s="17"/>
      <c r="W106" s="17"/>
      <c r="X106" s="17"/>
      <c r="Y106" s="17"/>
      <c r="Z106" s="17"/>
      <c r="AA106" s="17"/>
      <c r="AB106" s="17">
        <v>9.5</v>
      </c>
      <c r="AC106" s="17">
        <v>1.6</v>
      </c>
      <c r="AD106" s="17"/>
      <c r="AE106" s="17"/>
      <c r="AF106" s="17"/>
      <c r="AG106" s="17"/>
      <c r="AH106" s="17"/>
    </row>
    <row r="107" spans="1:34" x14ac:dyDescent="0.25">
      <c r="B107" s="12">
        <v>105</v>
      </c>
      <c r="C107" s="14" t="s">
        <v>265</v>
      </c>
      <c r="D107" s="14">
        <v>98</v>
      </c>
      <c r="E107" s="14"/>
      <c r="F107" s="14">
        <v>0</v>
      </c>
      <c r="G107" s="14">
        <v>2900</v>
      </c>
      <c r="H107" s="14">
        <v>2320</v>
      </c>
      <c r="I107" s="14"/>
      <c r="J107" s="14">
        <v>2900</v>
      </c>
      <c r="K107" s="14">
        <v>0</v>
      </c>
      <c r="L107" s="14">
        <v>0</v>
      </c>
      <c r="M107" s="14">
        <v>0</v>
      </c>
      <c r="N107" s="14">
        <v>0</v>
      </c>
      <c r="O107" s="14">
        <v>80</v>
      </c>
      <c r="P107" s="14"/>
      <c r="Q107" s="14"/>
      <c r="R107" s="14"/>
      <c r="S107" s="14"/>
      <c r="T107" s="14"/>
      <c r="U107" s="14">
        <v>100</v>
      </c>
      <c r="V107" s="14">
        <v>100</v>
      </c>
      <c r="W107" s="14">
        <v>0</v>
      </c>
      <c r="X107" s="14"/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/>
      <c r="AH107" s="14"/>
    </row>
    <row r="108" spans="1:34" x14ac:dyDescent="0.25">
      <c r="B108" s="15">
        <v>106</v>
      </c>
      <c r="C108" s="17" t="s">
        <v>266</v>
      </c>
      <c r="D108" s="17">
        <v>93</v>
      </c>
      <c r="E108" s="17">
        <v>20.8</v>
      </c>
      <c r="F108" s="17"/>
      <c r="G108" s="17"/>
      <c r="H108" s="17">
        <v>176</v>
      </c>
      <c r="I108" s="17">
        <v>21</v>
      </c>
      <c r="J108" s="17">
        <v>220</v>
      </c>
      <c r="K108" s="17">
        <v>450</v>
      </c>
      <c r="L108" s="17">
        <v>80</v>
      </c>
      <c r="M108" s="17">
        <v>70</v>
      </c>
      <c r="N108" s="17">
        <v>180</v>
      </c>
      <c r="O108" s="17">
        <v>80</v>
      </c>
      <c r="P108" s="17">
        <v>90</v>
      </c>
      <c r="Q108" s="17">
        <v>30</v>
      </c>
      <c r="R108" s="17">
        <v>80</v>
      </c>
      <c r="S108" s="17">
        <v>81</v>
      </c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</row>
    <row r="109" spans="1:34" x14ac:dyDescent="0.25">
      <c r="B109" s="12">
        <v>107</v>
      </c>
      <c r="C109" s="14" t="s">
        <v>267</v>
      </c>
      <c r="D109" s="14">
        <v>90</v>
      </c>
      <c r="E109" s="14">
        <v>10.7</v>
      </c>
      <c r="F109" s="14"/>
      <c r="G109" s="14"/>
      <c r="H109" s="14">
        <v>349</v>
      </c>
      <c r="I109" s="14">
        <v>13.2</v>
      </c>
      <c r="J109" s="14">
        <v>410</v>
      </c>
      <c r="K109" s="14">
        <v>20</v>
      </c>
      <c r="L109" s="14">
        <v>160</v>
      </c>
      <c r="M109" s="14">
        <v>140</v>
      </c>
      <c r="N109" s="14">
        <v>270</v>
      </c>
      <c r="O109" s="14">
        <v>85</v>
      </c>
      <c r="P109" s="14">
        <v>90</v>
      </c>
      <c r="Q109" s="14">
        <v>30</v>
      </c>
      <c r="R109" s="14">
        <v>70</v>
      </c>
      <c r="S109" s="14">
        <v>70</v>
      </c>
      <c r="T109" s="14"/>
      <c r="U109" s="14"/>
      <c r="V109" s="14"/>
      <c r="W109" s="14"/>
      <c r="X109" s="14"/>
      <c r="Y109" s="14"/>
      <c r="Z109" s="14"/>
      <c r="AA109" s="14"/>
      <c r="AB109" s="14">
        <v>24</v>
      </c>
      <c r="AC109" s="14">
        <v>14</v>
      </c>
      <c r="AD109" s="14"/>
      <c r="AE109" s="14"/>
      <c r="AF109" s="14"/>
      <c r="AG109" s="14"/>
      <c r="AH109" s="14"/>
    </row>
    <row r="110" spans="1:34" x14ac:dyDescent="0.25">
      <c r="B110" s="15">
        <v>108</v>
      </c>
      <c r="C110" s="17" t="s">
        <v>268</v>
      </c>
      <c r="D110" s="17">
        <v>85</v>
      </c>
      <c r="E110" s="17">
        <v>6.4</v>
      </c>
      <c r="F110" s="17"/>
      <c r="G110" s="17"/>
      <c r="H110" s="17">
        <v>94</v>
      </c>
      <c r="I110" s="17">
        <v>8</v>
      </c>
      <c r="J110" s="17">
        <v>170</v>
      </c>
      <c r="K110" s="17">
        <v>20</v>
      </c>
      <c r="L110" s="17">
        <v>330</v>
      </c>
      <c r="M110" s="17">
        <v>80</v>
      </c>
      <c r="N110" s="17">
        <v>400</v>
      </c>
      <c r="O110" s="17">
        <v>55</v>
      </c>
      <c r="P110" s="17">
        <v>40</v>
      </c>
      <c r="Q110" s="17">
        <v>48</v>
      </c>
      <c r="R110" s="17">
        <v>40</v>
      </c>
      <c r="S110" s="17">
        <v>46</v>
      </c>
      <c r="T110" s="17"/>
      <c r="U110" s="17"/>
      <c r="V110" s="17"/>
      <c r="W110" s="17"/>
      <c r="X110" s="17"/>
      <c r="Y110" s="17"/>
      <c r="Z110" s="17"/>
      <c r="AA110" s="17"/>
      <c r="AB110" s="17">
        <v>3.5</v>
      </c>
      <c r="AC110" s="17">
        <v>0.6</v>
      </c>
      <c r="AD110" s="17"/>
      <c r="AE110" s="17"/>
      <c r="AF110" s="17"/>
      <c r="AG110" s="17"/>
      <c r="AH110" s="17"/>
    </row>
    <row r="111" spans="1:34" x14ac:dyDescent="0.25">
      <c r="A111" t="s">
        <v>50</v>
      </c>
      <c r="B111" s="12">
        <v>109</v>
      </c>
      <c r="C111" s="14" t="s">
        <v>269</v>
      </c>
      <c r="D111" s="14">
        <v>90</v>
      </c>
      <c r="E111" s="14">
        <v>13.3</v>
      </c>
      <c r="F111" s="14">
        <v>116</v>
      </c>
      <c r="G111" s="14">
        <v>142</v>
      </c>
      <c r="H111" s="14">
        <v>272</v>
      </c>
      <c r="I111" s="14">
        <v>15.7</v>
      </c>
      <c r="J111" s="14">
        <v>320</v>
      </c>
      <c r="K111" s="14">
        <v>45</v>
      </c>
      <c r="L111" s="14">
        <v>106</v>
      </c>
      <c r="M111" s="14">
        <v>37</v>
      </c>
      <c r="N111" s="14">
        <v>492</v>
      </c>
      <c r="O111" s="14">
        <v>85</v>
      </c>
      <c r="P111" s="14">
        <v>80</v>
      </c>
      <c r="Q111" s="14">
        <v>60</v>
      </c>
      <c r="R111" s="14">
        <v>80</v>
      </c>
      <c r="S111" s="14">
        <v>84</v>
      </c>
      <c r="T111" s="14">
        <v>49</v>
      </c>
      <c r="U111" s="14">
        <v>70</v>
      </c>
      <c r="V111" s="14">
        <v>82</v>
      </c>
      <c r="W111" s="14"/>
      <c r="X111" s="14">
        <v>19</v>
      </c>
      <c r="Y111" s="14">
        <v>0</v>
      </c>
      <c r="Z111" s="14">
        <v>270</v>
      </c>
      <c r="AA111" s="14"/>
      <c r="AB111" s="14">
        <v>2.6</v>
      </c>
      <c r="AC111" s="14">
        <v>10.3</v>
      </c>
      <c r="AD111" s="14">
        <v>3</v>
      </c>
      <c r="AE111" s="14">
        <v>13.7</v>
      </c>
      <c r="AF111" s="14">
        <v>1.6</v>
      </c>
      <c r="AG111" s="14"/>
      <c r="AH111" s="14"/>
    </row>
    <row r="112" spans="1:34" x14ac:dyDescent="0.25">
      <c r="B112" s="15">
        <v>110</v>
      </c>
      <c r="C112" s="17" t="s">
        <v>270</v>
      </c>
      <c r="D112" s="17">
        <v>87</v>
      </c>
      <c r="E112" s="17">
        <v>15.8</v>
      </c>
      <c r="F112" s="17">
        <v>99</v>
      </c>
      <c r="G112" s="17">
        <v>150</v>
      </c>
      <c r="H112" s="17">
        <v>276</v>
      </c>
      <c r="I112" s="17">
        <v>18.2</v>
      </c>
      <c r="J112" s="17">
        <v>300</v>
      </c>
      <c r="K112" s="17">
        <v>90</v>
      </c>
      <c r="L112" s="17">
        <v>25</v>
      </c>
      <c r="M112" s="17">
        <v>45</v>
      </c>
      <c r="N112" s="17">
        <v>540</v>
      </c>
      <c r="O112" s="17">
        <v>92</v>
      </c>
      <c r="P112" s="17">
        <v>90</v>
      </c>
      <c r="Q112" s="17">
        <v>30</v>
      </c>
      <c r="R112" s="17">
        <v>92</v>
      </c>
      <c r="S112" s="17">
        <v>90</v>
      </c>
      <c r="T112" s="17"/>
      <c r="U112" s="17">
        <v>80</v>
      </c>
      <c r="V112" s="17">
        <v>89</v>
      </c>
      <c r="W112" s="17"/>
      <c r="X112" s="17"/>
      <c r="Y112" s="17"/>
      <c r="Z112" s="17"/>
      <c r="AA112" s="17"/>
      <c r="AB112" s="17">
        <v>1.3</v>
      </c>
      <c r="AC112" s="17">
        <v>11.2</v>
      </c>
      <c r="AD112" s="17">
        <v>3.1</v>
      </c>
      <c r="AE112" s="17">
        <v>12</v>
      </c>
      <c r="AF112" s="17">
        <v>0.1</v>
      </c>
      <c r="AG112" s="17"/>
      <c r="AH112" s="17">
        <v>0.1</v>
      </c>
    </row>
    <row r="113" spans="1:34" x14ac:dyDescent="0.25">
      <c r="A113" t="s">
        <v>48</v>
      </c>
      <c r="B113" s="12">
        <v>111</v>
      </c>
      <c r="C113" s="14" t="s">
        <v>271</v>
      </c>
      <c r="D113" s="14">
        <v>87</v>
      </c>
      <c r="E113" s="14">
        <v>11</v>
      </c>
      <c r="F113" s="14">
        <v>73</v>
      </c>
      <c r="G113" s="14">
        <v>36</v>
      </c>
      <c r="H113" s="14">
        <v>125</v>
      </c>
      <c r="I113" s="14">
        <v>12.7</v>
      </c>
      <c r="J113" s="14">
        <v>160</v>
      </c>
      <c r="K113" s="14">
        <v>45</v>
      </c>
      <c r="L113" s="14">
        <v>115</v>
      </c>
      <c r="M113" s="14">
        <v>60</v>
      </c>
      <c r="N113" s="14">
        <v>620</v>
      </c>
      <c r="O113" s="14">
        <v>78</v>
      </c>
      <c r="P113" s="14">
        <v>80</v>
      </c>
      <c r="Q113" s="14">
        <v>30</v>
      </c>
      <c r="R113" s="14">
        <v>73</v>
      </c>
      <c r="S113" s="14">
        <v>69</v>
      </c>
      <c r="T113" s="14">
        <v>44</v>
      </c>
      <c r="U113" s="14">
        <v>77</v>
      </c>
      <c r="V113" s="14">
        <v>68</v>
      </c>
      <c r="W113" s="14">
        <v>56</v>
      </c>
      <c r="X113" s="14">
        <v>25</v>
      </c>
      <c r="Y113" s="14">
        <v>210</v>
      </c>
      <c r="Z113" s="14">
        <v>464</v>
      </c>
      <c r="AA113" s="14"/>
      <c r="AB113" s="14">
        <v>1.7</v>
      </c>
      <c r="AC113" s="14">
        <v>12</v>
      </c>
      <c r="AD113" s="14">
        <v>5.3</v>
      </c>
      <c r="AE113" s="14">
        <v>12</v>
      </c>
      <c r="AF113" s="14">
        <v>0.5</v>
      </c>
      <c r="AG113" s="14"/>
      <c r="AH113" s="14">
        <v>0.5</v>
      </c>
    </row>
    <row r="114" spans="1:34" x14ac:dyDescent="0.25">
      <c r="A114" t="s">
        <v>17</v>
      </c>
      <c r="B114" s="15">
        <v>112</v>
      </c>
      <c r="C114" s="17" t="s">
        <v>272</v>
      </c>
      <c r="D114" s="17">
        <v>87</v>
      </c>
      <c r="E114" s="17">
        <v>14.1</v>
      </c>
      <c r="F114" s="17">
        <v>95</v>
      </c>
      <c r="G114" s="17">
        <v>-33</v>
      </c>
      <c r="H114" s="17">
        <v>98</v>
      </c>
      <c r="I114" s="17">
        <v>16</v>
      </c>
      <c r="J114" s="17">
        <v>121</v>
      </c>
      <c r="K114" s="17">
        <v>25</v>
      </c>
      <c r="L114" s="17">
        <v>30</v>
      </c>
      <c r="M114" s="17">
        <v>18</v>
      </c>
      <c r="N114" s="17">
        <v>806</v>
      </c>
      <c r="O114" s="17">
        <v>81</v>
      </c>
      <c r="P114" s="17">
        <v>70</v>
      </c>
      <c r="Q114" s="17">
        <v>30</v>
      </c>
      <c r="R114" s="17">
        <v>92</v>
      </c>
      <c r="S114" s="17">
        <v>88</v>
      </c>
      <c r="T114" s="17">
        <v>55</v>
      </c>
      <c r="U114" s="17">
        <v>84</v>
      </c>
      <c r="V114" s="17">
        <v>89</v>
      </c>
      <c r="W114" s="17">
        <v>31</v>
      </c>
      <c r="X114" s="17">
        <v>26</v>
      </c>
      <c r="Y114" s="17">
        <v>644</v>
      </c>
      <c r="Z114" s="17">
        <v>138</v>
      </c>
      <c r="AA114" s="17"/>
      <c r="AB114" s="17">
        <v>0.3</v>
      </c>
      <c r="AC114" s="17">
        <v>3.7</v>
      </c>
      <c r="AD114" s="17">
        <v>1.3</v>
      </c>
      <c r="AE114" s="17">
        <v>4.7</v>
      </c>
      <c r="AF114" s="17">
        <v>0.2</v>
      </c>
      <c r="AG114" s="17">
        <v>13</v>
      </c>
      <c r="AH114" s="17">
        <v>0.2</v>
      </c>
    </row>
    <row r="115" spans="1:34" x14ac:dyDescent="0.25">
      <c r="B115" s="12">
        <v>113</v>
      </c>
      <c r="C115" s="14" t="s">
        <v>273</v>
      </c>
      <c r="D115" s="14">
        <v>87</v>
      </c>
      <c r="E115" s="14">
        <v>13.9</v>
      </c>
      <c r="F115" s="14">
        <v>101</v>
      </c>
      <c r="G115" s="14">
        <v>141</v>
      </c>
      <c r="H115" s="14">
        <v>264</v>
      </c>
      <c r="I115" s="14">
        <v>16.399999999999999</v>
      </c>
      <c r="J115" s="14">
        <v>300</v>
      </c>
      <c r="K115" s="14">
        <v>20</v>
      </c>
      <c r="L115" s="14">
        <v>70</v>
      </c>
      <c r="M115" s="14">
        <v>40</v>
      </c>
      <c r="N115" s="14">
        <v>570</v>
      </c>
      <c r="O115" s="14">
        <v>88</v>
      </c>
      <c r="P115" s="14">
        <v>70</v>
      </c>
      <c r="Q115" s="14">
        <v>40</v>
      </c>
      <c r="R115" s="14">
        <v>92</v>
      </c>
      <c r="S115" s="14">
        <v>87</v>
      </c>
      <c r="T115" s="14"/>
      <c r="U115" s="14">
        <v>80</v>
      </c>
      <c r="V115" s="14">
        <v>82</v>
      </c>
      <c r="W115" s="14"/>
      <c r="X115" s="14"/>
      <c r="Y115" s="14"/>
      <c r="Z115" s="14"/>
      <c r="AA115" s="14"/>
      <c r="AB115" s="14">
        <v>1.5</v>
      </c>
      <c r="AC115" s="14">
        <v>5.2</v>
      </c>
      <c r="AD115" s="14"/>
      <c r="AE115" s="14"/>
      <c r="AF115" s="14"/>
      <c r="AG115" s="14"/>
      <c r="AH115" s="14"/>
    </row>
    <row r="116" spans="1:34" x14ac:dyDescent="0.25">
      <c r="B116" s="15">
        <v>114</v>
      </c>
      <c r="C116" s="17" t="s">
        <v>274</v>
      </c>
      <c r="D116" s="17">
        <v>19</v>
      </c>
      <c r="E116" s="17">
        <v>12.2</v>
      </c>
      <c r="F116" s="17">
        <v>77</v>
      </c>
      <c r="G116" s="17">
        <v>39</v>
      </c>
      <c r="H116" s="17">
        <v>152</v>
      </c>
      <c r="I116" s="17">
        <v>14.7</v>
      </c>
      <c r="J116" s="17">
        <v>183</v>
      </c>
      <c r="K116" s="17">
        <v>28</v>
      </c>
      <c r="L116" s="17">
        <v>213</v>
      </c>
      <c r="M116" s="17">
        <v>49</v>
      </c>
      <c r="N116" s="17">
        <v>527</v>
      </c>
      <c r="O116" s="17">
        <v>83</v>
      </c>
      <c r="P116" s="17">
        <v>65</v>
      </c>
      <c r="Q116" s="17">
        <v>60</v>
      </c>
      <c r="R116" s="17">
        <v>90</v>
      </c>
      <c r="S116" s="17"/>
      <c r="T116" s="17"/>
      <c r="U116" s="17">
        <v>80</v>
      </c>
      <c r="V116" s="17">
        <v>53</v>
      </c>
      <c r="W116" s="17">
        <v>60</v>
      </c>
      <c r="X116" s="17">
        <v>102</v>
      </c>
      <c r="Y116" s="17">
        <v>160</v>
      </c>
      <c r="Z116" s="17">
        <v>310</v>
      </c>
      <c r="AA116" s="17">
        <v>60</v>
      </c>
      <c r="AB116" s="17">
        <v>11</v>
      </c>
      <c r="AC116" s="17">
        <v>2.7</v>
      </c>
      <c r="AD116" s="17">
        <v>2.2999999999999998</v>
      </c>
      <c r="AE116" s="17">
        <v>20</v>
      </c>
      <c r="AF116" s="17">
        <v>1.1000000000000001</v>
      </c>
      <c r="AG116" s="17"/>
      <c r="AH116" s="17">
        <v>0.4</v>
      </c>
    </row>
    <row r="117" spans="1:34" x14ac:dyDescent="0.25">
      <c r="A117" t="s">
        <v>41</v>
      </c>
      <c r="B117" s="12">
        <v>115</v>
      </c>
      <c r="C117" s="14" t="s">
        <v>275</v>
      </c>
      <c r="D117" s="14">
        <v>87</v>
      </c>
      <c r="E117" s="14">
        <v>13.8</v>
      </c>
      <c r="F117" s="14">
        <v>97</v>
      </c>
      <c r="G117" s="14">
        <v>69</v>
      </c>
      <c r="H117" s="14">
        <v>199</v>
      </c>
      <c r="I117" s="14">
        <v>16</v>
      </c>
      <c r="J117" s="14">
        <v>226</v>
      </c>
      <c r="K117" s="14">
        <v>17</v>
      </c>
      <c r="L117" s="14">
        <v>78</v>
      </c>
      <c r="M117" s="14">
        <v>33</v>
      </c>
      <c r="N117" s="14">
        <v>646</v>
      </c>
      <c r="O117" s="14">
        <v>88</v>
      </c>
      <c r="P117" s="14">
        <v>70</v>
      </c>
      <c r="Q117" s="14">
        <v>40</v>
      </c>
      <c r="R117" s="14">
        <v>92</v>
      </c>
      <c r="S117" s="14">
        <v>87</v>
      </c>
      <c r="T117" s="14">
        <v>55</v>
      </c>
      <c r="U117" s="14">
        <v>80</v>
      </c>
      <c r="V117" s="14">
        <v>78</v>
      </c>
      <c r="W117" s="14">
        <v>50</v>
      </c>
      <c r="X117" s="14">
        <v>38</v>
      </c>
      <c r="Y117" s="14">
        <v>550</v>
      </c>
      <c r="Z117" s="14">
        <v>100</v>
      </c>
      <c r="AA117" s="14"/>
      <c r="AB117" s="14">
        <v>0.9</v>
      </c>
      <c r="AC117" s="14">
        <v>4.3</v>
      </c>
      <c r="AD117" s="14">
        <v>1.3</v>
      </c>
      <c r="AE117" s="14">
        <v>11.1</v>
      </c>
      <c r="AF117" s="14">
        <v>0.3</v>
      </c>
      <c r="AG117" s="14">
        <v>113</v>
      </c>
      <c r="AH117" s="14">
        <v>0.3</v>
      </c>
    </row>
    <row r="118" spans="1:34" x14ac:dyDescent="0.25">
      <c r="B118" s="15">
        <v>116</v>
      </c>
      <c r="C118" s="17" t="s">
        <v>276</v>
      </c>
      <c r="D118" s="17">
        <v>31</v>
      </c>
      <c r="E118" s="17">
        <v>10</v>
      </c>
      <c r="F118" s="17">
        <v>65</v>
      </c>
      <c r="G118" s="17">
        <v>5</v>
      </c>
      <c r="H118" s="17">
        <v>89</v>
      </c>
      <c r="I118" s="17">
        <v>12.2</v>
      </c>
      <c r="J118" s="17">
        <v>128</v>
      </c>
      <c r="K118" s="17">
        <v>30</v>
      </c>
      <c r="L118" s="17">
        <v>291</v>
      </c>
      <c r="M118" s="17">
        <v>71</v>
      </c>
      <c r="N118" s="17">
        <v>480</v>
      </c>
      <c r="O118" s="17"/>
      <c r="P118" s="17">
        <v>60</v>
      </c>
      <c r="Q118" s="17">
        <v>62</v>
      </c>
      <c r="R118" s="17">
        <v>76</v>
      </c>
      <c r="S118" s="17">
        <v>73</v>
      </c>
      <c r="T118" s="17"/>
      <c r="U118" s="17">
        <v>80</v>
      </c>
      <c r="V118" s="17">
        <v>43</v>
      </c>
      <c r="W118" s="17"/>
      <c r="X118" s="17"/>
      <c r="Y118" s="17"/>
      <c r="Z118" s="17">
        <v>499</v>
      </c>
      <c r="AA118" s="17"/>
      <c r="AB118" s="17">
        <v>8</v>
      </c>
      <c r="AC118" s="17">
        <v>2.8</v>
      </c>
      <c r="AD118" s="17">
        <v>2.1</v>
      </c>
      <c r="AE118" s="17">
        <v>19.600000000000001</v>
      </c>
      <c r="AF118" s="17"/>
      <c r="AG118" s="17"/>
      <c r="AH118" s="17"/>
    </row>
    <row r="119" spans="1:34" ht="30" x14ac:dyDescent="0.25">
      <c r="B119" s="12">
        <v>117</v>
      </c>
      <c r="C119" s="14" t="s">
        <v>277</v>
      </c>
      <c r="D119" s="14">
        <v>31</v>
      </c>
      <c r="E119" s="14">
        <v>9</v>
      </c>
      <c r="F119" s="14">
        <v>57</v>
      </c>
      <c r="G119" s="14">
        <v>10</v>
      </c>
      <c r="H119" s="14">
        <v>83</v>
      </c>
      <c r="I119" s="14">
        <v>11</v>
      </c>
      <c r="J119" s="14">
        <v>122</v>
      </c>
      <c r="K119" s="14">
        <v>30</v>
      </c>
      <c r="L119" s="14">
        <v>299</v>
      </c>
      <c r="M119" s="14">
        <v>74</v>
      </c>
      <c r="N119" s="14">
        <v>475</v>
      </c>
      <c r="O119" s="14"/>
      <c r="P119" s="14">
        <v>54</v>
      </c>
      <c r="Q119" s="14">
        <v>57</v>
      </c>
      <c r="R119" s="14">
        <v>67</v>
      </c>
      <c r="S119" s="14">
        <v>64</v>
      </c>
      <c r="T119" s="14"/>
      <c r="U119" s="14">
        <v>80</v>
      </c>
      <c r="V119" s="14">
        <v>33</v>
      </c>
      <c r="W119" s="14"/>
      <c r="X119" s="14"/>
      <c r="Y119" s="14"/>
      <c r="Z119" s="14">
        <v>535</v>
      </c>
      <c r="AA119" s="14"/>
      <c r="AB119" s="14">
        <v>6.2</v>
      </c>
      <c r="AC119" s="14">
        <v>2.9</v>
      </c>
      <c r="AD119" s="14">
        <v>1.7</v>
      </c>
      <c r="AE119" s="14">
        <v>20</v>
      </c>
      <c r="AF119" s="14"/>
      <c r="AG119" s="14"/>
      <c r="AH119" s="14"/>
    </row>
    <row r="120" spans="1:34" x14ac:dyDescent="0.25">
      <c r="B120" s="15">
        <v>118</v>
      </c>
      <c r="C120" s="17" t="s">
        <v>278</v>
      </c>
      <c r="D120" s="17">
        <v>18</v>
      </c>
      <c r="E120" s="17">
        <v>9.1999999999999993</v>
      </c>
      <c r="F120" s="17">
        <v>51</v>
      </c>
      <c r="G120" s="17">
        <v>80</v>
      </c>
      <c r="H120" s="17">
        <v>149</v>
      </c>
      <c r="I120" s="17">
        <v>11.4</v>
      </c>
      <c r="J120" s="17">
        <v>192</v>
      </c>
      <c r="K120" s="17">
        <v>36</v>
      </c>
      <c r="L120" s="17">
        <v>299</v>
      </c>
      <c r="M120" s="17">
        <v>114</v>
      </c>
      <c r="N120" s="17">
        <v>359</v>
      </c>
      <c r="O120" s="17"/>
      <c r="P120" s="17">
        <v>56</v>
      </c>
      <c r="Q120" s="17">
        <v>54</v>
      </c>
      <c r="R120" s="17">
        <v>70</v>
      </c>
      <c r="S120" s="17">
        <v>64</v>
      </c>
      <c r="T120" s="17"/>
      <c r="U120" s="17">
        <v>80</v>
      </c>
      <c r="V120" s="17">
        <v>28</v>
      </c>
      <c r="W120" s="17"/>
      <c r="X120" s="17"/>
      <c r="Y120" s="17"/>
      <c r="Z120" s="17"/>
      <c r="AA120" s="17"/>
      <c r="AB120" s="17">
        <v>13</v>
      </c>
      <c r="AC120" s="17">
        <v>4.7</v>
      </c>
      <c r="AD120" s="17">
        <v>2.5</v>
      </c>
      <c r="AE120" s="17">
        <v>17</v>
      </c>
      <c r="AF120" s="17">
        <v>2.7</v>
      </c>
      <c r="AG120" s="17"/>
      <c r="AH120" s="1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default</vt:lpstr>
      <vt:lpstr>feed pars</vt:lpstr>
      <vt:lpstr>pigs</vt:lpstr>
      <vt:lpstr>cattle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2023-05-18T05:51:10Z</dcterms:modified>
</cp:coreProperties>
</file>