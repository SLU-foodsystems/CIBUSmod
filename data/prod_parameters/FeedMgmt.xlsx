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  <sheet name="poultry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90" i="1" l="1"/>
  <c r="N110" i="1" l="1"/>
  <c r="N109" i="1"/>
  <c r="N108" i="1"/>
  <c r="N107" i="1"/>
  <c r="N106" i="1"/>
  <c r="M108" i="1"/>
  <c r="M107" i="1"/>
  <c r="M106" i="1"/>
  <c r="L110" i="1"/>
  <c r="L109" i="1"/>
  <c r="L108" i="1"/>
  <c r="L107" i="1"/>
  <c r="L106" i="1"/>
  <c r="K110" i="1"/>
  <c r="K109" i="1"/>
  <c r="K107" i="1"/>
  <c r="K106" i="1"/>
  <c r="J110" i="1"/>
  <c r="J109" i="1"/>
  <c r="J108" i="1"/>
  <c r="J107" i="1"/>
  <c r="J106" i="1"/>
  <c r="E107" i="1"/>
  <c r="E106" i="1"/>
  <c r="B106" i="1"/>
  <c r="A110" i="1"/>
  <c r="A109" i="1"/>
  <c r="A108" i="1"/>
  <c r="A107" i="1"/>
  <c r="N104" i="1"/>
  <c r="N103" i="1"/>
  <c r="N102" i="1"/>
  <c r="N101" i="1"/>
  <c r="N100" i="1"/>
  <c r="M102" i="1"/>
  <c r="M101" i="1"/>
  <c r="M100" i="1"/>
  <c r="L104" i="1"/>
  <c r="L103" i="1"/>
  <c r="L102" i="1"/>
  <c r="L101" i="1"/>
  <c r="L100" i="1"/>
  <c r="K104" i="1"/>
  <c r="K103" i="1"/>
  <c r="K101" i="1"/>
  <c r="K100" i="1"/>
  <c r="E101" i="1"/>
  <c r="E100" i="1"/>
  <c r="B100" i="1"/>
  <c r="A104" i="1"/>
  <c r="A103" i="1"/>
  <c r="A102" i="1"/>
  <c r="A101" i="1"/>
  <c r="J104" i="1"/>
  <c r="J103" i="1"/>
  <c r="J102" i="1"/>
  <c r="J101" i="1"/>
  <c r="J100" i="1"/>
  <c r="A106" i="1"/>
  <c r="A100" i="1"/>
  <c r="N98" i="1"/>
  <c r="N97" i="1"/>
  <c r="N96" i="1"/>
  <c r="N95" i="1"/>
  <c r="N94" i="1"/>
  <c r="M96" i="1"/>
  <c r="M95" i="1"/>
  <c r="M94" i="1"/>
  <c r="L98" i="1"/>
  <c r="K98" i="1"/>
  <c r="L97" i="1"/>
  <c r="K97" i="1"/>
  <c r="L96" i="1"/>
  <c r="L95" i="1"/>
  <c r="K95" i="1"/>
  <c r="L94" i="1"/>
  <c r="K94" i="1"/>
  <c r="J98" i="1"/>
  <c r="J97" i="1"/>
  <c r="J96" i="1"/>
  <c r="J95" i="1"/>
  <c r="J94" i="1"/>
  <c r="E95" i="1"/>
  <c r="E94" i="1"/>
  <c r="B94" i="1"/>
  <c r="A98" i="1"/>
  <c r="A97" i="1"/>
  <c r="A96" i="1"/>
  <c r="A95" i="1"/>
  <c r="A94" i="1"/>
  <c r="N85" i="1"/>
  <c r="N86" i="1"/>
  <c r="N87" i="1"/>
  <c r="N88" i="1"/>
  <c r="N89" i="1"/>
  <c r="N90" i="1"/>
  <c r="N91" i="1"/>
  <c r="N92" i="1"/>
  <c r="N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L92" i="1"/>
  <c r="M84" i="1"/>
  <c r="L84" i="1"/>
  <c r="K86" i="1"/>
  <c r="K87" i="1"/>
  <c r="K88" i="1"/>
  <c r="K89" i="1"/>
  <c r="K91" i="1"/>
  <c r="K92" i="1"/>
  <c r="J85" i="1"/>
  <c r="J86" i="1"/>
  <c r="J87" i="1"/>
  <c r="J88" i="1"/>
  <c r="J89" i="1"/>
  <c r="J90" i="1"/>
  <c r="J91" i="1"/>
  <c r="J92" i="1"/>
  <c r="J84" i="1"/>
  <c r="E89" i="1"/>
  <c r="E88" i="1"/>
  <c r="B88" i="1"/>
  <c r="E84" i="1"/>
  <c r="B84" i="1"/>
  <c r="A85" i="1"/>
  <c r="A86" i="1"/>
  <c r="A87" i="1"/>
  <c r="A88" i="1"/>
  <c r="A89" i="1"/>
  <c r="A90" i="1"/>
  <c r="A91" i="1"/>
  <c r="A92" i="1"/>
  <c r="A84" i="1"/>
  <c r="K81" i="1"/>
  <c r="K108" i="1" s="1"/>
  <c r="K76" i="1"/>
  <c r="K85" i="1" s="1"/>
  <c r="K75" i="1"/>
  <c r="K84" i="1" s="1"/>
  <c r="K113" i="1"/>
  <c r="K112" i="1"/>
  <c r="K102" i="1" l="1"/>
  <c r="K90" i="1"/>
  <c r="K96" i="1"/>
  <c r="K149" i="1"/>
  <c r="C37" i="2"/>
  <c r="O37" i="2"/>
  <c r="N37" i="2"/>
  <c r="K120" i="1" l="1"/>
  <c r="K121" i="1"/>
  <c r="K122" i="1"/>
  <c r="K123" i="1"/>
  <c r="K124" i="1"/>
  <c r="K143" i="1"/>
  <c r="K119" i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3" i="2"/>
  <c r="O23" i="2" s="1"/>
  <c r="N26" i="2"/>
  <c r="O26" i="2" s="1"/>
  <c r="N28" i="2"/>
  <c r="O28" i="2" s="1"/>
  <c r="N32" i="2"/>
  <c r="O32" i="2" s="1"/>
  <c r="N33" i="2"/>
  <c r="O33" i="2" s="1"/>
  <c r="N42" i="2"/>
  <c r="O42" i="2" s="1"/>
  <c r="N43" i="2"/>
  <c r="O43" i="2" s="1"/>
  <c r="K13" i="2"/>
  <c r="N13" i="2"/>
  <c r="O13" i="2" s="1"/>
  <c r="J13" i="2"/>
  <c r="K174" i="1" l="1"/>
  <c r="K170" i="1"/>
  <c r="K202" i="1" s="1"/>
  <c r="K180" i="1"/>
  <c r="K167" i="1"/>
  <c r="K199" i="1" s="1"/>
  <c r="K29" i="1"/>
  <c r="J25" i="2"/>
  <c r="K25" i="2" s="1"/>
  <c r="C25" i="2" s="1"/>
  <c r="K17" i="2"/>
  <c r="C17" i="2" s="1"/>
  <c r="C31" i="2"/>
  <c r="J17" i="2"/>
  <c r="L17" i="2" s="1"/>
  <c r="E17" i="2"/>
  <c r="K14" i="1" l="1"/>
  <c r="K129" i="1"/>
  <c r="K23" i="1"/>
  <c r="K137" i="1"/>
  <c r="L25" i="2"/>
  <c r="K175" i="1" s="1"/>
  <c r="K252" i="1"/>
  <c r="K34" i="1"/>
  <c r="K9" i="1"/>
  <c r="K8" i="1"/>
  <c r="K5" i="1"/>
  <c r="K6" i="1"/>
  <c r="K7" i="1"/>
  <c r="K4" i="1"/>
  <c r="K158" i="1"/>
  <c r="K159" i="1"/>
  <c r="K160" i="1"/>
  <c r="K161" i="1"/>
  <c r="K191" i="1" s="1"/>
  <c r="K157" i="1"/>
  <c r="E23" i="2"/>
  <c r="H23" i="2" s="1"/>
  <c r="K215" i="1" s="1"/>
  <c r="J36" i="2"/>
  <c r="K36" i="2" s="1"/>
  <c r="C36" i="2" s="1"/>
  <c r="K148" i="1" s="1"/>
  <c r="F23" i="2" l="1"/>
  <c r="C23" i="2" s="1"/>
  <c r="G23" i="2"/>
  <c r="K242" i="1" s="1"/>
  <c r="L36" i="2"/>
  <c r="K183" i="1" s="1"/>
  <c r="K20" i="1" l="1"/>
  <c r="K135" i="1"/>
  <c r="J40" i="2"/>
  <c r="L40" i="2" s="1"/>
  <c r="K186" i="1" s="1"/>
  <c r="J14" i="2"/>
  <c r="K14" i="2" s="1"/>
  <c r="J15" i="2"/>
  <c r="K15" i="2" s="1"/>
  <c r="J16" i="2"/>
  <c r="K16" i="2" s="1"/>
  <c r="J18" i="2"/>
  <c r="L18" i="2" s="1"/>
  <c r="K168" i="1" s="1"/>
  <c r="K200" i="1" s="1"/>
  <c r="J19" i="2"/>
  <c r="K19" i="2" s="1"/>
  <c r="J21" i="2"/>
  <c r="K21" i="2" s="1"/>
  <c r="J22" i="2"/>
  <c r="K22" i="2" s="1"/>
  <c r="J24" i="2"/>
  <c r="L24" i="2" s="1"/>
  <c r="K173" i="1" s="1"/>
  <c r="J26" i="2"/>
  <c r="J28" i="2"/>
  <c r="K28" i="2" s="1"/>
  <c r="J29" i="2"/>
  <c r="K29" i="2" s="1"/>
  <c r="J30" i="2"/>
  <c r="L30" i="2" s="1"/>
  <c r="K179" i="1" s="1"/>
  <c r="J32" i="2"/>
  <c r="K32" i="2" s="1"/>
  <c r="J34" i="2"/>
  <c r="K34" i="2" s="1"/>
  <c r="J38" i="2"/>
  <c r="K38" i="2" s="1"/>
  <c r="J39" i="2"/>
  <c r="L39" i="2" s="1"/>
  <c r="K185" i="1" s="1"/>
  <c r="J42" i="2"/>
  <c r="K42" i="2" s="1"/>
  <c r="L13" i="2"/>
  <c r="K163" i="1" s="1"/>
  <c r="K195" i="1" s="1"/>
  <c r="E13" i="2"/>
  <c r="K26" i="2" l="1"/>
  <c r="L26" i="2"/>
  <c r="K40" i="2"/>
  <c r="L34" i="2"/>
  <c r="K182" i="1" s="1"/>
  <c r="L28" i="2"/>
  <c r="K177" i="1" s="1"/>
  <c r="L21" i="2"/>
  <c r="K171" i="1" s="1"/>
  <c r="L15" i="2"/>
  <c r="K165" i="1" s="1"/>
  <c r="K39" i="2"/>
  <c r="K30" i="2"/>
  <c r="K24" i="2"/>
  <c r="C24" i="2" s="1"/>
  <c r="K18" i="2"/>
  <c r="L42" i="2"/>
  <c r="K187" i="1" s="1"/>
  <c r="L38" i="2"/>
  <c r="K184" i="1" s="1"/>
  <c r="L32" i="2"/>
  <c r="K181" i="1" s="1"/>
  <c r="L29" i="2"/>
  <c r="K178" i="1" s="1"/>
  <c r="K176" i="1"/>
  <c r="L22" i="2"/>
  <c r="K172" i="1" s="1"/>
  <c r="L19" i="2"/>
  <c r="K169" i="1" s="1"/>
  <c r="K201" i="1" s="1"/>
  <c r="L16" i="2"/>
  <c r="K166" i="1" s="1"/>
  <c r="K198" i="1" s="1"/>
  <c r="L14" i="2"/>
  <c r="K164" i="1" s="1"/>
  <c r="E43" i="2"/>
  <c r="H43" i="2" s="1"/>
  <c r="K231" i="1" s="1"/>
  <c r="E14" i="2"/>
  <c r="F14" i="2" s="1"/>
  <c r="C14" i="2" s="1"/>
  <c r="E15" i="2"/>
  <c r="G15" i="2" s="1"/>
  <c r="K235" i="1" s="1"/>
  <c r="E16" i="2"/>
  <c r="H16" i="2" s="1"/>
  <c r="K209" i="1" s="1"/>
  <c r="E18" i="2"/>
  <c r="F18" i="2" s="1"/>
  <c r="E19" i="2"/>
  <c r="F19" i="2" s="1"/>
  <c r="C19" i="2" s="1"/>
  <c r="E20" i="2"/>
  <c r="G20" i="2" s="1"/>
  <c r="K239" i="1" s="1"/>
  <c r="E21" i="2"/>
  <c r="H21" i="2" s="1"/>
  <c r="K213" i="1" s="1"/>
  <c r="E22" i="2"/>
  <c r="F22" i="2" s="1"/>
  <c r="C22" i="2" s="1"/>
  <c r="E26" i="2"/>
  <c r="F26" i="2" s="1"/>
  <c r="C26" i="2" s="1"/>
  <c r="E27" i="2"/>
  <c r="G27" i="2" s="1"/>
  <c r="K244" i="1" s="1"/>
  <c r="E28" i="2"/>
  <c r="H28" i="2" s="1"/>
  <c r="K218" i="1" s="1"/>
  <c r="E29" i="2"/>
  <c r="F29" i="2" s="1"/>
  <c r="C29" i="2" s="1"/>
  <c r="E30" i="2"/>
  <c r="F30" i="2" s="1"/>
  <c r="E32" i="2"/>
  <c r="G32" i="2" s="1"/>
  <c r="K248" i="1" s="1"/>
  <c r="E33" i="2"/>
  <c r="H33" i="2" s="1"/>
  <c r="K222" i="1" s="1"/>
  <c r="E34" i="2"/>
  <c r="F34" i="2" s="1"/>
  <c r="C34" i="2" s="1"/>
  <c r="K146" i="1" s="1"/>
  <c r="E35" i="2"/>
  <c r="F35" i="2" s="1"/>
  <c r="C35" i="2" s="1"/>
  <c r="K147" i="1" s="1"/>
  <c r="E38" i="2"/>
  <c r="G38" i="2" s="1"/>
  <c r="K253" i="1" s="1"/>
  <c r="E39" i="2"/>
  <c r="H39" i="2" s="1"/>
  <c r="K227" i="1" s="1"/>
  <c r="E40" i="2"/>
  <c r="F40" i="2" s="1"/>
  <c r="E41" i="2"/>
  <c r="F41" i="2" s="1"/>
  <c r="C41" i="2" s="1"/>
  <c r="K153" i="1" s="1"/>
  <c r="E42" i="2"/>
  <c r="G42" i="2" s="1"/>
  <c r="K257" i="1" s="1"/>
  <c r="G13" i="2"/>
  <c r="K233" i="1" s="1"/>
  <c r="K193" i="1" l="1"/>
  <c r="K197" i="1"/>
  <c r="K194" i="1"/>
  <c r="K196" i="1"/>
  <c r="K22" i="1"/>
  <c r="K136" i="1"/>
  <c r="K24" i="1"/>
  <c r="K138" i="1"/>
  <c r="K16" i="1"/>
  <c r="K131" i="1"/>
  <c r="K11" i="1"/>
  <c r="K126" i="1"/>
  <c r="K27" i="1"/>
  <c r="K141" i="1"/>
  <c r="K19" i="1"/>
  <c r="K134" i="1"/>
  <c r="K33" i="1"/>
  <c r="K32" i="1" s="1"/>
  <c r="C30" i="2"/>
  <c r="C40" i="2"/>
  <c r="K152" i="1" s="1"/>
  <c r="C18" i="2"/>
  <c r="F42" i="2"/>
  <c r="C42" i="2" s="1"/>
  <c r="F38" i="2"/>
  <c r="C38" i="2" s="1"/>
  <c r="F32" i="2"/>
  <c r="C32" i="2" s="1"/>
  <c r="F27" i="2"/>
  <c r="C27" i="2" s="1"/>
  <c r="F20" i="2"/>
  <c r="C20" i="2" s="1"/>
  <c r="F15" i="2"/>
  <c r="C15" i="2" s="1"/>
  <c r="H41" i="2"/>
  <c r="K229" i="1" s="1"/>
  <c r="H35" i="2"/>
  <c r="K224" i="1" s="1"/>
  <c r="H30" i="2"/>
  <c r="K220" i="1" s="1"/>
  <c r="H26" i="2"/>
  <c r="K216" i="1" s="1"/>
  <c r="H19" i="2"/>
  <c r="K211" i="1" s="1"/>
  <c r="H14" i="2"/>
  <c r="K207" i="1" s="1"/>
  <c r="G43" i="2"/>
  <c r="K258" i="1" s="1"/>
  <c r="H40" i="2"/>
  <c r="K228" i="1" s="1"/>
  <c r="H34" i="2"/>
  <c r="H29" i="2"/>
  <c r="K219" i="1" s="1"/>
  <c r="H22" i="2"/>
  <c r="K214" i="1" s="1"/>
  <c r="H18" i="2"/>
  <c r="K210" i="1" s="1"/>
  <c r="F43" i="2"/>
  <c r="C43" i="2" s="1"/>
  <c r="G40" i="2"/>
  <c r="K255" i="1" s="1"/>
  <c r="G34" i="2"/>
  <c r="K250" i="1" s="1"/>
  <c r="G29" i="2"/>
  <c r="K246" i="1" s="1"/>
  <c r="G22" i="2"/>
  <c r="K241" i="1" s="1"/>
  <c r="G18" i="2"/>
  <c r="K237" i="1" s="1"/>
  <c r="F13" i="2"/>
  <c r="C13" i="2" s="1"/>
  <c r="G39" i="2"/>
  <c r="K254" i="1" s="1"/>
  <c r="F39" i="2"/>
  <c r="C39" i="2" s="1"/>
  <c r="F21" i="2"/>
  <c r="G33" i="2"/>
  <c r="K249" i="1" s="1"/>
  <c r="G16" i="2"/>
  <c r="K236" i="1" s="1"/>
  <c r="H13" i="2"/>
  <c r="K206" i="1" s="1"/>
  <c r="F16" i="2"/>
  <c r="C16" i="2" s="1"/>
  <c r="H42" i="2"/>
  <c r="K230" i="1" s="1"/>
  <c r="G41" i="2"/>
  <c r="K256" i="1" s="1"/>
  <c r="H38" i="2"/>
  <c r="K226" i="1" s="1"/>
  <c r="G35" i="2"/>
  <c r="K251" i="1" s="1"/>
  <c r="H32" i="2"/>
  <c r="K221" i="1" s="1"/>
  <c r="G30" i="2"/>
  <c r="K247" i="1" s="1"/>
  <c r="H27" i="2"/>
  <c r="K217" i="1" s="1"/>
  <c r="G26" i="2"/>
  <c r="K243" i="1" s="1"/>
  <c r="H20" i="2"/>
  <c r="K212" i="1" s="1"/>
  <c r="G19" i="2"/>
  <c r="K238" i="1" s="1"/>
  <c r="H15" i="2"/>
  <c r="K208" i="1" s="1"/>
  <c r="G14" i="2"/>
  <c r="K234" i="1" s="1"/>
  <c r="G28" i="2"/>
  <c r="K245" i="1" s="1"/>
  <c r="G21" i="2"/>
  <c r="K240" i="1" s="1"/>
  <c r="F33" i="2"/>
  <c r="C33" i="2" s="1"/>
  <c r="F28" i="2"/>
  <c r="C28" i="2" s="1"/>
  <c r="K26" i="1" l="1"/>
  <c r="K140" i="1"/>
  <c r="K15" i="1"/>
  <c r="K130" i="1"/>
  <c r="K30" i="1"/>
  <c r="K144" i="1"/>
  <c r="K25" i="1"/>
  <c r="K139" i="1"/>
  <c r="K36" i="1"/>
  <c r="K151" i="1"/>
  <c r="K12" i="1"/>
  <c r="K127" i="1"/>
  <c r="K35" i="1"/>
  <c r="K150" i="1"/>
  <c r="K28" i="1"/>
  <c r="K142" i="1"/>
  <c r="K13" i="1"/>
  <c r="K128" i="1"/>
  <c r="K31" i="1"/>
  <c r="K145" i="1"/>
  <c r="K40" i="1"/>
  <c r="K155" i="1"/>
  <c r="K10" i="1"/>
  <c r="K125" i="1"/>
  <c r="K17" i="1"/>
  <c r="K132" i="1"/>
  <c r="K39" i="1"/>
  <c r="K154" i="1"/>
  <c r="K18" i="1"/>
  <c r="C21" i="2"/>
  <c r="K133" i="1" s="1"/>
  <c r="K223" i="1"/>
  <c r="H36" i="2"/>
  <c r="K225" i="1" s="1"/>
  <c r="K37" i="1"/>
  <c r="K38" i="1" s="1"/>
</calcChain>
</file>

<file path=xl/sharedStrings.xml><?xml version="1.0" encoding="utf-8"?>
<sst xmlns="http://schemas.openxmlformats.org/spreadsheetml/2006/main" count="1258" uniqueCount="414">
  <si>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</si>
  <si>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</si>
  <si>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</si>
  <si>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</si>
  <si>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</si>
  <si>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</si>
  <si>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</si>
  <si>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</si>
  <si>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</si>
  <si>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</si>
  <si>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</si>
  <si>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</si>
  <si>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</si>
  <si>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</si>
  <si>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</si>
  <si>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</si>
  <si>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</si>
  <si>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</si>
  <si>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</si>
  <si>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</si>
  <si>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</si>
  <si>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</si>
  <si>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</si>
  <si>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</si>
  <si>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</si>
  <si>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</si>
  <si>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</si>
  <si>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</si>
  <si>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</si>
  <si>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</si>
  <si>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</si>
  <si>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</si>
  <si>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</si>
  <si>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</si>
  <si>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</si>
  <si>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</si>
  <si>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</si>
  <si>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</si>
  <si>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</si>
  <si>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</si>
  <si>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</si>
  <si>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</si>
  <si>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</si>
  <si>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</si>
  <si>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</si>
  <si>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</si>
  <si>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</si>
  <si>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</si>
  <si>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</si>
  <si>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</si>
  <si>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</si>
  <si>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</si>
  <si>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</si>
  <si>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</si>
  <si>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</si>
  <si>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</si>
  <si>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</si>
  <si>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</si>
  <si>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</si>
  <si>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</si>
  <si>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</si>
  <si>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</si>
  <si>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</si>
  <si>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</si>
  <si>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</si>
  <si>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</si>
  <si>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</si>
  <si>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</si>
  <si>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</si>
  <si>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</si>
  <si>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</si>
  <si>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</si>
  <si>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</si>
  <si>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</si>
  <si>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</si>
  <si>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</si>
  <si>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</si>
  <si>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</si>
  <si>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</si>
  <si>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</si>
  <si>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</si>
  <si>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</si>
  <si>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</si>
  <si>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</si>
  <si>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</si>
  <si>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</si>
  <si>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</si>
  <si>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</si>
  <si>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</si>
  <si>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</si>
  <si>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</si>
  <si>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</si>
  <si>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</si>
  <si>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</si>
  <si>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</si>
  <si>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</si>
  <si>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</si>
  <si>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</si>
  <si>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</si>
  <si>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</si>
  <si>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</si>
  <si>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</si>
  <si>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</si>
  <si>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</si>
  <si>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</si>
  <si>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</si>
  <si>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</si>
  <si>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</si>
  <si>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</si>
  <si>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</si>
  <si>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</si>
  <si>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</si>
  <si>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</si>
  <si>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</si>
  <si>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</si>
  <si>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</si>
  <si>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</si>
  <si>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</si>
  <si>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</si>
  <si>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</si>
  <si>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</si>
  <si>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</si>
  <si>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</si>
  <si>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</si>
  <si>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</si>
  <si>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</si>
  <si>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</si>
  <si>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</si>
  <si>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</si>
  <si>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</si>
  <si>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</si>
  <si>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</si>
  <si>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</si>
  <si>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</si>
  <si>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</si>
  <si>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</si>
  <si>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</si>
  <si>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</si>
  <si>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</si>
  <si>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</si>
  <si>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</si>
  <si>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</si>
  <si>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</si>
  <si>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</si>
  <si>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</si>
  <si>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</si>
  <si>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</si>
  <si>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</si>
  <si>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</si>
  <si>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</si>
  <si>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</si>
  <si>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</si>
  <si>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</si>
  <si>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</si>
  <si>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</si>
  <si>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</si>
  <si>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</si>
  <si>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</si>
  <si>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</si>
  <si>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</si>
  <si>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</si>
  <si>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</si>
  <si>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</si>
  <si>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</si>
  <si>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</si>
  <si>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</si>
  <si>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</si>
  <si>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</si>
  <si>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</si>
  <si>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</si>
  <si>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</si>
  <si>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</si>
  <si>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</si>
  <si>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</si>
  <si>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</si>
  <si>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</si>
  <si>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</si>
  <si>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</si>
  <si>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</si>
  <si>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</si>
  <si>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</si>
  <si>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</si>
  <si>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</si>
  <si>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</si>
  <si>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</si>
  <si>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</si>
  <si>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</si>
  <si>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</si>
  <si>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</si>
  <si>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</si>
  <si>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</si>
  <si>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</si>
  <si>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</si>
  <si>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</si>
  <si>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</si>
  <si>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</si>
  <si>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</si>
  <si>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</si>
  <si>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</si>
  <si>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</si>
  <si>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</si>
  <si>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</si>
  <si>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</si>
  <si>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</si>
  <si>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</si>
  <si>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</si>
  <si>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</si>
  <si>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</si>
  <si>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</si>
  <si>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</si>
  <si>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</si>
  <si>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</si>
  <si>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</si>
  <si>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</si>
  <si>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</si>
  <si>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</si>
  <si>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</si>
  <si>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</si>
  <si>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</si>
  <si>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</si>
  <si>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</si>
  <si>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</si>
  <si>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</si>
  <si>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</si>
  <si>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</si>
  <si>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</si>
  <si>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</si>
  <si>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</si>
  <si>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</si>
  <si>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</si>
  <si>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</si>
  <si>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</si>
  <si>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</si>
  <si>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</si>
  <si>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</si>
  <si>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</si>
  <si>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</si>
  <si>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</si>
  <si>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</si>
  <si>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</si>
  <si>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</si>
  <si>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</si>
  <si>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</si>
  <si>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</si>
  <si>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</si>
  <si>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</si>
  <si>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</si>
  <si>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</si>
  <si>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</si>
  <si>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</si>
  <si>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</si>
  <si>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</si>
  <si>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</si>
  <si>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</si>
  <si>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</si>
  <si>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</si>
  <si>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</si>
  <si>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</si>
  <si>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</si>
  <si>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</si>
  <si>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</si>
  <si>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</si>
  <si>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</si>
  <si>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</si>
  <si>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</si>
  <si>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</si>
  <si>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</si>
  <si>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</si>
  <si>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</si>
  <si>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</si>
  <si>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</si>
  <si>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</si>
  <si>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</si>
  <si>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</si>
  <si>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</si>
  <si>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</si>
  <si>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</si>
  <si>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</si>
  <si>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</si>
  <si>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</si>
  <si>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</si>
  <si>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</si>
  <si>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</si>
  <si>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</si>
  <si>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</si>
  <si>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</si>
  <si>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</si>
  <si>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</si>
  <si>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</si>
  <si>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</si>
  <si>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</si>
  <si>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</si>
  <si>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</si>
  <si>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</si>
  <si>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</si>
  <si>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</si>
  <si>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</si>
  <si>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</si>
  <si>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</si>
  <si>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</si>
  <si>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</si>
  <si>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</si>
  <si>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</si>
  <si>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</si>
  <si>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</si>
  <si>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</si>
  <si>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MJ ME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</si>
  <si>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</si>
  <si>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</si>
  <si>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</si>
  <si>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</si>
  <si>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</si>
  <si>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</si>
  <si>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</si>
  <si>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</si>
  <si>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</si>
  <si>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</si>
  <si>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</si>
  <si>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</si>
  <si>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</si>
  <si>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</si>
  <si>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</si>
  <si>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</si>
  <si>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</si>
  <si>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</si>
  <si>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</si>
  <si>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</si>
  <si>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</si>
  <si>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</si>
  <si>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</si>
  <si>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</si>
  <si>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</si>
  <si>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</si>
  <si>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</si>
  <si>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</si>
  <si>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</si>
  <si>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</si>
  <si>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</si>
  <si>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</si>
  <si>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</si>
  <si>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</si>
  <si>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</si>
  <si>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</si>
  <si>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</si>
  <si>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</si>
  <si>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</si>
  <si>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</si>
  <si>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</si>
  <si>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</si>
  <si>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</si>
  <si>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</si>
  <si>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</si>
  <si>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</si>
  <si>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</si>
  <si>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</si>
  <si>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</si>
  <si>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</si>
  <si>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</si>
  <si>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</si>
  <si>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</si>
  <si>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</si>
  <si>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</si>
  <si>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</si>
  <si>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</si>
  <si>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</si>
  <si>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</si>
  <si>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</si>
  <si>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</si>
  <si>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</si>
  <si>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</si>
  <si>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</si>
  <si>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</si>
  <si>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</si>
  <si>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</si>
  <si>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</si>
  <si>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</si>
  <si>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</si>
  <si>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</si>
  <si>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</si>
  <si>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</si>
  <si>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</si>
  <si>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</si>
  <si>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</si>
  <si>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</si>
  <si>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</si>
  <si>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</si>
  <si>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</si>
  <si>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</si>
  <si>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</si>
  <si>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</si>
  <si>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</si>
  <si>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</si>
  <si>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</si>
  <si>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</si>
  <si>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</si>
  <si>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</si>
  <si>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</si>
  <si>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</si>
  <si>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</si>
  <si>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</si>
  <si>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100% - pasture utilisation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</si>
  <si>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</si>
  <si>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</si>
  <si>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</si>
  <si>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</si>
  <si>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</si>
  <si>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</si>
  <si>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</si>
  <si>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</si>
  <si>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</si>
  <si>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https://glw-feeds.co.uk/index.php/wheat-feed-2/</t>
  </si>
  <si>
    <t>no solution if these are used…</t>
  </si>
  <si>
    <t>probably some problem with animals</t>
  </si>
  <si>
    <t>needing to be exactly 0 in some 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</si>
</sst>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2" fillId="0" borderId="0" xfId="0" applyNumberFormat="1" applyFont="1"/>
    <xf numFmtId="164" fontId="8" fillId="0" borderId="0" xfId="0" applyNumberFormat="1" applyFont="1"/>
    <xf numFmtId="164" fontId="0" fillId="0" borderId="0" xfId="0" applyNumberFormat="1"/>
    <xf numFmtId="164" fontId="3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glw-feeds.co.uk/index.php/wheat-feed-2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8"/>
  <sheetViews>
    <sheetView tabSelected="1" zoomScale="80" zoomScaleNormal="80" workbookViewId="0">
      <pane ySplit="1" topLeftCell="A34" activePane="bottomLeft" state="frozen"/>
      <selection pane="bottomLeft" activeCell="J44" sqref="J44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325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302</v>
      </c>
      <c r="M2" s="24" t="s">
        <v>309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310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311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312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317</v>
      </c>
      <c r="H14" t="s">
        <v>317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314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314</v>
      </c>
      <c r="G21" s="3"/>
      <c r="H21" s="3" t="s">
        <v>35</v>
      </c>
      <c r="I21" s="3" t="s">
        <v>36</v>
      </c>
      <c r="J21" s="3" t="s">
        <v>315</v>
      </c>
      <c r="K21" s="22"/>
      <c r="M21" s="3" t="s">
        <v>321</v>
      </c>
    </row>
    <row r="22" spans="6:13" x14ac:dyDescent="0.25">
      <c r="F22" t="s">
        <v>305</v>
      </c>
      <c r="I22" t="s">
        <v>305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318</v>
      </c>
      <c r="I23" t="s">
        <v>318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319</v>
      </c>
      <c r="I29" t="s">
        <v>319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1.1299435028248588</v>
      </c>
    </row>
    <row r="32" spans="6:13" x14ac:dyDescent="0.25">
      <c r="F32" t="s">
        <v>50</v>
      </c>
      <c r="I32" t="s">
        <v>301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301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313</v>
      </c>
      <c r="I34" t="s">
        <v>313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t="s">
        <v>25</v>
      </c>
      <c r="H46" t="s">
        <v>37</v>
      </c>
      <c r="K46" s="3">
        <v>10</v>
      </c>
      <c r="L46" t="s">
        <v>28</v>
      </c>
      <c r="M46" s="3" t="s">
        <v>411</v>
      </c>
    </row>
    <row r="47" spans="1:14" x14ac:dyDescent="0.25">
      <c r="A47" t="s">
        <v>389</v>
      </c>
      <c r="H47" t="s">
        <v>37</v>
      </c>
      <c r="K47" s="3">
        <v>10</v>
      </c>
      <c r="L47" t="s">
        <v>28</v>
      </c>
      <c r="M47" s="3" t="s">
        <v>412</v>
      </c>
    </row>
    <row r="48" spans="1:14" x14ac:dyDescent="0.25">
      <c r="A48" t="s">
        <v>25</v>
      </c>
      <c r="H48" t="s">
        <v>17</v>
      </c>
      <c r="K48" s="3">
        <v>10</v>
      </c>
      <c r="L48" t="s">
        <v>28</v>
      </c>
      <c r="M48" s="3" t="s">
        <v>413</v>
      </c>
    </row>
    <row r="49" spans="1:14" x14ac:dyDescent="0.25">
      <c r="A49" t="s">
        <v>389</v>
      </c>
      <c r="H49" t="s">
        <v>17</v>
      </c>
      <c r="K49" s="3">
        <v>10</v>
      </c>
      <c r="L49" t="s">
        <v>28</v>
      </c>
    </row>
    <row r="50" spans="1:14" x14ac:dyDescent="0.25">
      <c r="A50" s="1" t="s">
        <v>30</v>
      </c>
      <c r="B50" s="1"/>
      <c r="C50" s="1"/>
      <c r="D50" s="1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x14ac:dyDescent="0.25">
      <c r="J51" s="10" t="s">
        <v>31</v>
      </c>
      <c r="K51" s="10">
        <v>0</v>
      </c>
      <c r="L51" s="10"/>
      <c r="M51" s="10" t="s">
        <v>34</v>
      </c>
    </row>
    <row r="52" spans="1:14" x14ac:dyDescent="0.25">
      <c r="I52" t="s">
        <v>318</v>
      </c>
      <c r="J52" t="s">
        <v>31</v>
      </c>
      <c r="K52" s="29">
        <v>100</v>
      </c>
      <c r="L52" s="29" t="s">
        <v>28</v>
      </c>
      <c r="M52" s="10"/>
    </row>
    <row r="53" spans="1:14" x14ac:dyDescent="0.25">
      <c r="I53" t="s">
        <v>44</v>
      </c>
      <c r="J53" t="s">
        <v>31</v>
      </c>
      <c r="K53" s="29">
        <v>100</v>
      </c>
      <c r="L53" s="29" t="s">
        <v>28</v>
      </c>
      <c r="M53" s="10"/>
    </row>
    <row r="54" spans="1:14" x14ac:dyDescent="0.25">
      <c r="I54" t="s">
        <v>36</v>
      </c>
      <c r="J54" t="s">
        <v>31</v>
      </c>
      <c r="K54" s="29">
        <v>61</v>
      </c>
      <c r="L54" t="s">
        <v>28</v>
      </c>
    </row>
    <row r="55" spans="1:14" x14ac:dyDescent="0.25">
      <c r="H55" t="s">
        <v>43</v>
      </c>
      <c r="J55" t="s">
        <v>31</v>
      </c>
      <c r="K55" s="3">
        <v>100</v>
      </c>
      <c r="L55" t="s">
        <v>28</v>
      </c>
      <c r="M55" s="3" t="s">
        <v>304</v>
      </c>
    </row>
    <row r="56" spans="1:14" x14ac:dyDescent="0.25">
      <c r="H56" t="s">
        <v>40</v>
      </c>
      <c r="J56" t="s">
        <v>31</v>
      </c>
      <c r="K56" s="3">
        <v>50</v>
      </c>
      <c r="L56" t="s">
        <v>28</v>
      </c>
      <c r="M56" s="3" t="s">
        <v>394</v>
      </c>
    </row>
    <row r="57" spans="1:14" x14ac:dyDescent="0.25">
      <c r="A57" s="1" t="s">
        <v>336</v>
      </c>
      <c r="B57" s="1"/>
      <c r="C57" s="1"/>
      <c r="D57" s="1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25">
      <c r="A58" t="s">
        <v>24</v>
      </c>
      <c r="B58" t="s">
        <v>326</v>
      </c>
      <c r="E58" t="s">
        <v>327</v>
      </c>
      <c r="G58" t="s">
        <v>334</v>
      </c>
      <c r="H58" t="s">
        <v>33</v>
      </c>
      <c r="J58" t="s">
        <v>335</v>
      </c>
      <c r="K58" s="3">
        <v>5</v>
      </c>
      <c r="L58" t="s">
        <v>28</v>
      </c>
      <c r="M58" s="3"/>
    </row>
    <row r="59" spans="1:14" x14ac:dyDescent="0.25">
      <c r="A59" t="s">
        <v>24</v>
      </c>
      <c r="B59" t="s">
        <v>326</v>
      </c>
      <c r="E59" t="s">
        <v>328</v>
      </c>
      <c r="G59" t="s">
        <v>334</v>
      </c>
      <c r="H59" t="s">
        <v>33</v>
      </c>
      <c r="J59" t="s">
        <v>335</v>
      </c>
      <c r="K59" s="3">
        <v>5</v>
      </c>
      <c r="L59" t="s">
        <v>28</v>
      </c>
      <c r="M59" s="3"/>
    </row>
    <row r="60" spans="1:14" x14ac:dyDescent="0.25">
      <c r="A60" t="s">
        <v>24</v>
      </c>
      <c r="B60" t="s">
        <v>326</v>
      </c>
      <c r="E60" t="s">
        <v>329</v>
      </c>
      <c r="G60" t="s">
        <v>334</v>
      </c>
      <c r="H60" t="s">
        <v>33</v>
      </c>
      <c r="J60" t="s">
        <v>335</v>
      </c>
      <c r="K60" s="3">
        <v>0</v>
      </c>
      <c r="L60" t="s">
        <v>28</v>
      </c>
      <c r="M60" s="3"/>
    </row>
    <row r="61" spans="1:14" x14ac:dyDescent="0.25">
      <c r="A61" t="s">
        <v>24</v>
      </c>
      <c r="B61" t="s">
        <v>326</v>
      </c>
      <c r="E61" t="s">
        <v>330</v>
      </c>
      <c r="G61" t="s">
        <v>334</v>
      </c>
      <c r="H61" t="s">
        <v>33</v>
      </c>
      <c r="J61" t="s">
        <v>335</v>
      </c>
      <c r="K61" s="3">
        <v>90</v>
      </c>
      <c r="L61" t="s">
        <v>28</v>
      </c>
      <c r="M61" s="3"/>
    </row>
    <row r="62" spans="1:14" x14ac:dyDescent="0.25">
      <c r="A62" t="s">
        <v>24</v>
      </c>
      <c r="B62" t="s">
        <v>326</v>
      </c>
      <c r="E62" t="s">
        <v>331</v>
      </c>
      <c r="G62" t="s">
        <v>334</v>
      </c>
      <c r="H62" t="s">
        <v>33</v>
      </c>
      <c r="J62" t="s">
        <v>335</v>
      </c>
      <c r="K62" s="3">
        <v>90</v>
      </c>
      <c r="L62" t="s">
        <v>28</v>
      </c>
      <c r="M62" s="3"/>
    </row>
    <row r="63" spans="1:14" x14ac:dyDescent="0.25">
      <c r="A63" t="s">
        <v>24</v>
      </c>
      <c r="B63" t="s">
        <v>326</v>
      </c>
      <c r="E63" t="s">
        <v>332</v>
      </c>
      <c r="G63" t="s">
        <v>334</v>
      </c>
      <c r="H63" t="s">
        <v>33</v>
      </c>
      <c r="J63" t="s">
        <v>335</v>
      </c>
      <c r="K63" s="3">
        <v>0</v>
      </c>
      <c r="L63" t="s">
        <v>28</v>
      </c>
      <c r="M63" s="3"/>
    </row>
    <row r="64" spans="1:14" x14ac:dyDescent="0.25">
      <c r="A64" t="s">
        <v>24</v>
      </c>
      <c r="B64" t="s">
        <v>333</v>
      </c>
      <c r="E64" t="s">
        <v>327</v>
      </c>
      <c r="G64" t="s">
        <v>334</v>
      </c>
      <c r="H64" t="s">
        <v>33</v>
      </c>
      <c r="J64" t="s">
        <v>335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333</v>
      </c>
      <c r="E65" t="s">
        <v>328</v>
      </c>
      <c r="G65" t="s">
        <v>334</v>
      </c>
      <c r="H65" t="s">
        <v>33</v>
      </c>
      <c r="J65" t="s">
        <v>335</v>
      </c>
      <c r="K65" s="3">
        <v>90</v>
      </c>
      <c r="L65" t="s">
        <v>28</v>
      </c>
      <c r="M65" s="3"/>
    </row>
    <row r="66" spans="1:14" x14ac:dyDescent="0.25">
      <c r="A66" t="s">
        <v>24</v>
      </c>
      <c r="B66" t="s">
        <v>333</v>
      </c>
      <c r="E66" t="s">
        <v>329</v>
      </c>
      <c r="G66" t="s">
        <v>334</v>
      </c>
      <c r="H66" t="s">
        <v>33</v>
      </c>
      <c r="J66" t="s">
        <v>335</v>
      </c>
      <c r="K66" s="3">
        <v>0</v>
      </c>
      <c r="L66" t="s">
        <v>28</v>
      </c>
      <c r="M66" s="3"/>
    </row>
    <row r="67" spans="1:14" x14ac:dyDescent="0.25">
      <c r="A67" t="s">
        <v>24</v>
      </c>
      <c r="B67" t="s">
        <v>333</v>
      </c>
      <c r="E67" t="s">
        <v>330</v>
      </c>
      <c r="G67" t="s">
        <v>334</v>
      </c>
      <c r="H67" t="s">
        <v>33</v>
      </c>
      <c r="J67" t="s">
        <v>335</v>
      </c>
      <c r="K67" s="3">
        <v>90</v>
      </c>
      <c r="L67" t="s">
        <v>28</v>
      </c>
      <c r="M67" s="3"/>
    </row>
    <row r="68" spans="1:14" x14ac:dyDescent="0.25">
      <c r="A68" t="s">
        <v>24</v>
      </c>
      <c r="B68" t="s">
        <v>333</v>
      </c>
      <c r="E68" t="s">
        <v>331</v>
      </c>
      <c r="G68" t="s">
        <v>334</v>
      </c>
      <c r="H68" t="s">
        <v>33</v>
      </c>
      <c r="J68" t="s">
        <v>335</v>
      </c>
      <c r="K68" s="3">
        <v>90</v>
      </c>
      <c r="L68" t="s">
        <v>28</v>
      </c>
      <c r="M68" s="3"/>
    </row>
    <row r="69" spans="1:14" x14ac:dyDescent="0.25">
      <c r="A69" t="s">
        <v>24</v>
      </c>
      <c r="B69" t="s">
        <v>333</v>
      </c>
      <c r="E69" t="s">
        <v>332</v>
      </c>
      <c r="G69" t="s">
        <v>334</v>
      </c>
      <c r="H69" t="s">
        <v>33</v>
      </c>
      <c r="J69" t="s">
        <v>335</v>
      </c>
      <c r="K69" s="3">
        <v>90</v>
      </c>
      <c r="L69" t="s">
        <v>28</v>
      </c>
      <c r="M69" s="3"/>
    </row>
    <row r="70" spans="1:14" x14ac:dyDescent="0.25">
      <c r="A70" t="s">
        <v>395</v>
      </c>
      <c r="G70" t="s">
        <v>334</v>
      </c>
      <c r="H70" t="s">
        <v>33</v>
      </c>
      <c r="J70" t="s">
        <v>335</v>
      </c>
      <c r="K70" s="3">
        <v>10</v>
      </c>
      <c r="L70" t="s">
        <v>28</v>
      </c>
      <c r="M70" s="3"/>
    </row>
    <row r="71" spans="1:14" x14ac:dyDescent="0.25">
      <c r="K71" s="3"/>
      <c r="M71" s="3"/>
    </row>
    <row r="72" spans="1:14" x14ac:dyDescent="0.25">
      <c r="A72" s="1" t="s">
        <v>399</v>
      </c>
      <c r="B72" s="1"/>
      <c r="C72" s="1"/>
      <c r="D72" s="1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x14ac:dyDescent="0.25">
      <c r="J73" s="10" t="s">
        <v>396</v>
      </c>
      <c r="K73" s="10">
        <v>0</v>
      </c>
      <c r="L73" s="10" t="s">
        <v>28</v>
      </c>
      <c r="M73" s="10" t="s">
        <v>34</v>
      </c>
    </row>
    <row r="74" spans="1:14" x14ac:dyDescent="0.25">
      <c r="J74" s="10" t="s">
        <v>397</v>
      </c>
      <c r="K74" s="10">
        <v>0</v>
      </c>
      <c r="L74" s="10" t="s">
        <v>28</v>
      </c>
      <c r="M74" s="10" t="s">
        <v>34</v>
      </c>
    </row>
    <row r="75" spans="1:14" x14ac:dyDescent="0.25">
      <c r="A75" t="s">
        <v>24</v>
      </c>
      <c r="B75" t="s">
        <v>326</v>
      </c>
      <c r="E75" t="s">
        <v>327</v>
      </c>
      <c r="F75" t="s">
        <v>310</v>
      </c>
      <c r="J75" s="29" t="s">
        <v>396</v>
      </c>
      <c r="K75" s="29">
        <f>(0.8*20+0.2*2)</f>
        <v>16.399999999999999</v>
      </c>
      <c r="L75" s="29" t="s">
        <v>28</v>
      </c>
      <c r="M75" s="29" t="s">
        <v>402</v>
      </c>
      <c r="N75" t="s">
        <v>398</v>
      </c>
    </row>
    <row r="76" spans="1:14" x14ac:dyDescent="0.25">
      <c r="A76" t="s">
        <v>24</v>
      </c>
      <c r="F76" t="s">
        <v>310</v>
      </c>
      <c r="J76" s="29" t="s">
        <v>396</v>
      </c>
      <c r="K76" s="29">
        <f>(0.6*20+0.4*2)</f>
        <v>12.8</v>
      </c>
      <c r="L76" s="29" t="s">
        <v>28</v>
      </c>
      <c r="M76" s="29" t="s">
        <v>403</v>
      </c>
      <c r="N76" t="s">
        <v>398</v>
      </c>
    </row>
    <row r="77" spans="1:14" x14ac:dyDescent="0.25">
      <c r="A77" t="s">
        <v>401</v>
      </c>
      <c r="F77" t="s">
        <v>310</v>
      </c>
      <c r="J77" s="29" t="s">
        <v>396</v>
      </c>
      <c r="K77" s="29">
        <v>2</v>
      </c>
      <c r="L77" s="29" t="s">
        <v>28</v>
      </c>
      <c r="M77" s="29" t="s">
        <v>404</v>
      </c>
      <c r="N77" t="s">
        <v>398</v>
      </c>
    </row>
    <row r="78" spans="1:14" x14ac:dyDescent="0.25">
      <c r="A78" t="s">
        <v>395</v>
      </c>
      <c r="F78" t="s">
        <v>310</v>
      </c>
      <c r="J78" s="29" t="s">
        <v>396</v>
      </c>
      <c r="K78" s="29">
        <v>2</v>
      </c>
      <c r="L78" s="29" t="s">
        <v>28</v>
      </c>
      <c r="M78" s="29" t="s">
        <v>404</v>
      </c>
      <c r="N78" t="s">
        <v>398</v>
      </c>
    </row>
    <row r="79" spans="1:14" x14ac:dyDescent="0.25">
      <c r="A79" t="s">
        <v>24</v>
      </c>
      <c r="B79" t="s">
        <v>326</v>
      </c>
      <c r="E79" t="s">
        <v>327</v>
      </c>
      <c r="F79" t="s">
        <v>310</v>
      </c>
      <c r="J79" s="29" t="s">
        <v>397</v>
      </c>
      <c r="K79" s="29">
        <v>5</v>
      </c>
      <c r="L79" s="29" t="s">
        <v>28</v>
      </c>
      <c r="M79" s="29" t="s">
        <v>405</v>
      </c>
      <c r="N79" t="s">
        <v>398</v>
      </c>
    </row>
    <row r="80" spans="1:14" x14ac:dyDescent="0.25">
      <c r="A80" t="s">
        <v>24</v>
      </c>
      <c r="E80" t="s">
        <v>329</v>
      </c>
      <c r="F80" t="s">
        <v>310</v>
      </c>
      <c r="J80" s="29" t="s">
        <v>397</v>
      </c>
      <c r="K80" s="29">
        <v>5</v>
      </c>
      <c r="L80" s="29" t="s">
        <v>28</v>
      </c>
      <c r="M80" s="29" t="s">
        <v>405</v>
      </c>
      <c r="N80" t="s">
        <v>398</v>
      </c>
    </row>
    <row r="81" spans="1:14" x14ac:dyDescent="0.25">
      <c r="A81" t="s">
        <v>24</v>
      </c>
      <c r="F81" t="s">
        <v>310</v>
      </c>
      <c r="J81" s="29" t="s">
        <v>397</v>
      </c>
      <c r="K81" s="29">
        <f>0.9*5+0.1*15</f>
        <v>6</v>
      </c>
      <c r="L81" s="29" t="s">
        <v>28</v>
      </c>
      <c r="M81" s="29" t="s">
        <v>406</v>
      </c>
      <c r="N81" t="s">
        <v>398</v>
      </c>
    </row>
    <row r="82" spans="1:14" x14ac:dyDescent="0.25">
      <c r="A82" t="s">
        <v>401</v>
      </c>
      <c r="F82" t="s">
        <v>310</v>
      </c>
      <c r="J82" s="29" t="s">
        <v>397</v>
      </c>
      <c r="K82" s="29">
        <v>15</v>
      </c>
      <c r="L82" s="29" t="s">
        <v>28</v>
      </c>
      <c r="M82" s="29"/>
      <c r="N82" t="s">
        <v>398</v>
      </c>
    </row>
    <row r="83" spans="1:14" x14ac:dyDescent="0.25">
      <c r="A83" t="s">
        <v>395</v>
      </c>
      <c r="F83" t="s">
        <v>310</v>
      </c>
      <c r="J83" s="29" t="s">
        <v>397</v>
      </c>
      <c r="K83" s="29">
        <v>15</v>
      </c>
      <c r="L83" s="29" t="s">
        <v>28</v>
      </c>
      <c r="M83" s="29"/>
      <c r="N83" t="s">
        <v>398</v>
      </c>
    </row>
    <row r="84" spans="1:14" x14ac:dyDescent="0.25">
      <c r="A84" s="33" t="str">
        <f>A75</f>
        <v>cattle</v>
      </c>
      <c r="B84" s="33" t="str">
        <f>B75</f>
        <v>dairy</v>
      </c>
      <c r="E84" s="33" t="str">
        <f>E75</f>
        <v>cows</v>
      </c>
      <c r="F84" t="s">
        <v>311</v>
      </c>
      <c r="J84" s="33" t="str">
        <f>J75</f>
        <v>storage_losses</v>
      </c>
      <c r="K84" s="33">
        <f>K75</f>
        <v>16.399999999999999</v>
      </c>
      <c r="L84" s="33" t="str">
        <f>L75</f>
        <v>%</v>
      </c>
      <c r="M84" s="33" t="str">
        <f>M75</f>
        <v>80% in silo</v>
      </c>
      <c r="N84" s="33" t="str">
        <f>N75</f>
        <v>Cederberg &amp; Henriksson. 2020. Gräsmarkernas användning i jordbruket</v>
      </c>
    </row>
    <row r="85" spans="1:14" x14ac:dyDescent="0.25">
      <c r="A85" s="33" t="str">
        <f t="shared" ref="A85:A92" si="0">A76</f>
        <v>cattle</v>
      </c>
      <c r="F85" t="s">
        <v>311</v>
      </c>
      <c r="J85" s="33" t="str">
        <f t="shared" ref="J85:N92" si="1">J76</f>
        <v>storage_losses</v>
      </c>
      <c r="K85" s="33">
        <f t="shared" si="1"/>
        <v>12.8</v>
      </c>
      <c r="L85" s="33" t="str">
        <f t="shared" si="1"/>
        <v>%</v>
      </c>
      <c r="M85" s="33" t="str">
        <f t="shared" si="1"/>
        <v>60% in silo</v>
      </c>
      <c r="N85" s="33" t="str">
        <f t="shared" si="1"/>
        <v>Cederberg &amp; Henriksson. 2020. Gräsmarkernas användning i jordbruket</v>
      </c>
    </row>
    <row r="86" spans="1:14" x14ac:dyDescent="0.25">
      <c r="A86" s="33" t="str">
        <f t="shared" si="0"/>
        <v>sheep</v>
      </c>
      <c r="F86" t="s">
        <v>311</v>
      </c>
      <c r="J86" s="33" t="str">
        <f t="shared" si="1"/>
        <v>storage_losses</v>
      </c>
      <c r="K86" s="33">
        <f t="shared" si="1"/>
        <v>2</v>
      </c>
      <c r="L86" s="33" t="str">
        <f t="shared" si="1"/>
        <v>%</v>
      </c>
      <c r="M86" s="33" t="str">
        <f t="shared" si="1"/>
        <v>0% in silo</v>
      </c>
      <c r="N86" s="33" t="str">
        <f t="shared" si="1"/>
        <v>Cederberg &amp; Henriksson. 2020. Gräsmarkernas användning i jordbruket</v>
      </c>
    </row>
    <row r="87" spans="1:14" x14ac:dyDescent="0.25">
      <c r="A87" s="33" t="str">
        <f t="shared" si="0"/>
        <v>horses</v>
      </c>
      <c r="F87" t="s">
        <v>311</v>
      </c>
      <c r="J87" s="33" t="str">
        <f t="shared" si="1"/>
        <v>storage_losses</v>
      </c>
      <c r="K87" s="33">
        <f t="shared" si="1"/>
        <v>2</v>
      </c>
      <c r="L87" s="33" t="str">
        <f t="shared" si="1"/>
        <v>%</v>
      </c>
      <c r="M87" s="33" t="str">
        <f t="shared" si="1"/>
        <v>0% in silo</v>
      </c>
      <c r="N87" s="33" t="str">
        <f t="shared" si="1"/>
        <v>Cederberg &amp; Henriksson. 2020. Gräsmarkernas användning i jordbruket</v>
      </c>
    </row>
    <row r="88" spans="1:14" x14ac:dyDescent="0.25">
      <c r="A88" s="33" t="str">
        <f t="shared" si="0"/>
        <v>cattle</v>
      </c>
      <c r="B88" s="33" t="str">
        <f>B79</f>
        <v>dairy</v>
      </c>
      <c r="E88" s="33" t="str">
        <f>E79</f>
        <v>cows</v>
      </c>
      <c r="F88" t="s">
        <v>311</v>
      </c>
      <c r="J88" s="33" t="str">
        <f t="shared" si="1"/>
        <v>feeding_losses</v>
      </c>
      <c r="K88" s="33">
        <f t="shared" si="1"/>
        <v>5</v>
      </c>
      <c r="L88" s="33" t="str">
        <f t="shared" si="1"/>
        <v>%</v>
      </c>
      <c r="M88" s="33" t="str">
        <f t="shared" si="1"/>
        <v>No feeding on pasture</v>
      </c>
      <c r="N88" s="33" t="str">
        <f t="shared" si="1"/>
        <v>Cederberg &amp; Henriksson. 2020. Gräsmarkernas användning i jordbruket</v>
      </c>
    </row>
    <row r="89" spans="1:14" x14ac:dyDescent="0.25">
      <c r="A89" s="33" t="str">
        <f t="shared" si="0"/>
        <v>cattle</v>
      </c>
      <c r="E89" s="33" t="str">
        <f>E80</f>
        <v>bulls</v>
      </c>
      <c r="F89" t="s">
        <v>311</v>
      </c>
      <c r="J89" s="33" t="str">
        <f t="shared" si="1"/>
        <v>feeding_losses</v>
      </c>
      <c r="K89" s="33">
        <f t="shared" si="1"/>
        <v>5</v>
      </c>
      <c r="L89" s="33" t="str">
        <f t="shared" si="1"/>
        <v>%</v>
      </c>
      <c r="M89" s="33" t="str">
        <f t="shared" si="1"/>
        <v>No feeding on pasture</v>
      </c>
      <c r="N89" s="33" t="str">
        <f t="shared" si="1"/>
        <v>Cederberg &amp; Henriksson. 2020. Gräsmarkernas användning i jordbruket</v>
      </c>
    </row>
    <row r="90" spans="1:14" x14ac:dyDescent="0.25">
      <c r="A90" s="33" t="str">
        <f t="shared" si="0"/>
        <v>cattle</v>
      </c>
      <c r="F90" t="s">
        <v>311</v>
      </c>
      <c r="J90" s="33" t="str">
        <f t="shared" si="1"/>
        <v>feeding_losses</v>
      </c>
      <c r="K90" s="33">
        <f t="shared" si="1"/>
        <v>6</v>
      </c>
      <c r="L90" s="33" t="str">
        <f t="shared" si="1"/>
        <v>%</v>
      </c>
      <c r="M90" s="33" t="str">
        <f t="shared" si="1"/>
        <v>10% feeding on pasture</v>
      </c>
      <c r="N90" s="33" t="str">
        <f t="shared" si="1"/>
        <v>Cederberg &amp; Henriksson. 2020. Gräsmarkernas användning i jordbruket</v>
      </c>
    </row>
    <row r="91" spans="1:14" x14ac:dyDescent="0.25">
      <c r="A91" s="33" t="str">
        <f t="shared" si="0"/>
        <v>sheep</v>
      </c>
      <c r="F91" t="s">
        <v>311</v>
      </c>
      <c r="J91" s="33" t="str">
        <f t="shared" si="1"/>
        <v>feeding_losses</v>
      </c>
      <c r="K91" s="33">
        <f t="shared" si="1"/>
        <v>15</v>
      </c>
      <c r="L91" s="33" t="str">
        <f t="shared" si="1"/>
        <v>%</v>
      </c>
      <c r="M91" s="33"/>
      <c r="N91" s="33" t="str">
        <f t="shared" ref="N91:N92" si="2">N82</f>
        <v>Cederberg &amp; Henriksson. 2020. Gräsmarkernas användning i jordbruket</v>
      </c>
    </row>
    <row r="92" spans="1:14" x14ac:dyDescent="0.25">
      <c r="A92" s="33" t="str">
        <f t="shared" si="0"/>
        <v>horses</v>
      </c>
      <c r="F92" t="s">
        <v>311</v>
      </c>
      <c r="J92" s="33" t="str">
        <f t="shared" si="1"/>
        <v>feeding_losses</v>
      </c>
      <c r="K92" s="33">
        <f t="shared" si="1"/>
        <v>15</v>
      </c>
      <c r="L92" s="33" t="str">
        <f t="shared" si="1"/>
        <v>%</v>
      </c>
      <c r="M92" s="33"/>
      <c r="N92" s="33" t="str">
        <f t="shared" si="2"/>
        <v>Cederberg &amp; Henriksson. 2020. Gräsmarkernas användning i jordbruket</v>
      </c>
    </row>
    <row r="93" spans="1:14" x14ac:dyDescent="0.25">
      <c r="A93" s="33"/>
      <c r="B93" s="33"/>
      <c r="E93" s="33"/>
      <c r="F93" t="s">
        <v>312</v>
      </c>
      <c r="J93" s="29" t="s">
        <v>396</v>
      </c>
      <c r="K93" s="29">
        <v>5</v>
      </c>
      <c r="L93" s="29" t="s">
        <v>28</v>
      </c>
      <c r="M93" s="29"/>
      <c r="N93" t="s">
        <v>398</v>
      </c>
    </row>
    <row r="94" spans="1:14" x14ac:dyDescent="0.25">
      <c r="A94" s="33" t="str">
        <f>A79</f>
        <v>cattle</v>
      </c>
      <c r="B94" s="33" t="str">
        <f>B79</f>
        <v>dairy</v>
      </c>
      <c r="E94" s="33" t="str">
        <f t="shared" ref="E94:E95" si="3">E79</f>
        <v>cows</v>
      </c>
      <c r="F94" t="s">
        <v>312</v>
      </c>
      <c r="J94" s="33" t="str">
        <f t="shared" ref="J94:N98" si="4">J79</f>
        <v>feeding_losses</v>
      </c>
      <c r="K94" s="33">
        <f t="shared" si="4"/>
        <v>5</v>
      </c>
      <c r="L94" s="33" t="str">
        <f t="shared" si="4"/>
        <v>%</v>
      </c>
      <c r="M94" s="33" t="str">
        <f t="shared" si="4"/>
        <v>No feeding on pasture</v>
      </c>
      <c r="N94" s="33" t="str">
        <f t="shared" si="4"/>
        <v>Cederberg &amp; Henriksson. 2020. Gräsmarkernas användning i jordbruket</v>
      </c>
    </row>
    <row r="95" spans="1:14" x14ac:dyDescent="0.25">
      <c r="A95" s="33" t="str">
        <f t="shared" ref="A95:A98" si="5">A80</f>
        <v>cattle</v>
      </c>
      <c r="E95" s="33" t="str">
        <f t="shared" si="3"/>
        <v>bulls</v>
      </c>
      <c r="F95" t="s">
        <v>312</v>
      </c>
      <c r="J95" s="33" t="str">
        <f t="shared" si="4"/>
        <v>feeding_losses</v>
      </c>
      <c r="K95" s="33">
        <f t="shared" si="4"/>
        <v>5</v>
      </c>
      <c r="L95" s="33" t="str">
        <f t="shared" si="4"/>
        <v>%</v>
      </c>
      <c r="M95" s="33" t="str">
        <f t="shared" si="4"/>
        <v>No feeding on pasture</v>
      </c>
      <c r="N95" s="33" t="str">
        <f t="shared" si="4"/>
        <v>Cederberg &amp; Henriksson. 2020. Gräsmarkernas användning i jordbruket</v>
      </c>
    </row>
    <row r="96" spans="1:14" x14ac:dyDescent="0.25">
      <c r="A96" s="33" t="str">
        <f t="shared" si="5"/>
        <v>cattle</v>
      </c>
      <c r="F96" t="s">
        <v>312</v>
      </c>
      <c r="J96" s="33" t="str">
        <f t="shared" si="4"/>
        <v>feeding_losses</v>
      </c>
      <c r="K96" s="33">
        <f t="shared" si="4"/>
        <v>6</v>
      </c>
      <c r="L96" s="33" t="str">
        <f t="shared" si="4"/>
        <v>%</v>
      </c>
      <c r="M96" s="33" t="str">
        <f t="shared" si="4"/>
        <v>10% feeding on pasture</v>
      </c>
      <c r="N96" s="33" t="str">
        <f t="shared" si="4"/>
        <v>Cederberg &amp; Henriksson. 2020. Gräsmarkernas användning i jordbruket</v>
      </c>
    </row>
    <row r="97" spans="1:14" x14ac:dyDescent="0.25">
      <c r="A97" s="33" t="str">
        <f t="shared" si="5"/>
        <v>sheep</v>
      </c>
      <c r="F97" t="s">
        <v>312</v>
      </c>
      <c r="J97" s="33" t="str">
        <f t="shared" si="4"/>
        <v>feeding_losses</v>
      </c>
      <c r="K97" s="33">
        <f t="shared" si="4"/>
        <v>15</v>
      </c>
      <c r="L97" s="33" t="str">
        <f t="shared" si="4"/>
        <v>%</v>
      </c>
      <c r="M97" s="33"/>
      <c r="N97" s="33" t="str">
        <f t="shared" si="4"/>
        <v>Cederberg &amp; Henriksson. 2020. Gräsmarkernas användning i jordbruket</v>
      </c>
    </row>
    <row r="98" spans="1:14" x14ac:dyDescent="0.25">
      <c r="A98" s="33" t="str">
        <f t="shared" si="5"/>
        <v>horses</v>
      </c>
      <c r="F98" t="s">
        <v>312</v>
      </c>
      <c r="J98" s="33" t="str">
        <f t="shared" si="4"/>
        <v>feeding_losses</v>
      </c>
      <c r="K98" s="33">
        <f t="shared" si="4"/>
        <v>15</v>
      </c>
      <c r="L98" s="33" t="str">
        <f t="shared" si="4"/>
        <v>%</v>
      </c>
      <c r="M98" s="33"/>
      <c r="N98" s="33" t="str">
        <f t="shared" si="4"/>
        <v>Cederberg &amp; Henriksson. 2020. Gräsmarkernas användning i jordbruket</v>
      </c>
    </row>
    <row r="99" spans="1:14" x14ac:dyDescent="0.25">
      <c r="F99" t="s">
        <v>2</v>
      </c>
      <c r="J99" s="29" t="s">
        <v>396</v>
      </c>
      <c r="K99" s="29">
        <v>5</v>
      </c>
      <c r="L99" s="29" t="s">
        <v>28</v>
      </c>
      <c r="M99" s="29"/>
      <c r="N99" t="s">
        <v>398</v>
      </c>
    </row>
    <row r="100" spans="1:14" x14ac:dyDescent="0.25">
      <c r="A100" s="33" t="str">
        <f>A79</f>
        <v>cattle</v>
      </c>
      <c r="B100" s="33" t="str">
        <f>B79</f>
        <v>dairy</v>
      </c>
      <c r="E100" s="33" t="str">
        <f t="shared" ref="E100:E101" si="6">E79</f>
        <v>cows</v>
      </c>
      <c r="F100" t="s">
        <v>2</v>
      </c>
      <c r="J100" s="33" t="str">
        <f t="shared" ref="J100:N104" si="7">J79</f>
        <v>feeding_losses</v>
      </c>
      <c r="K100" s="33">
        <f t="shared" si="7"/>
        <v>5</v>
      </c>
      <c r="L100" s="33" t="str">
        <f t="shared" si="7"/>
        <v>%</v>
      </c>
      <c r="M100" s="33" t="str">
        <f t="shared" si="7"/>
        <v>No feeding on pasture</v>
      </c>
      <c r="N100" s="33" t="str">
        <f t="shared" si="7"/>
        <v>Cederberg &amp; Henriksson. 2020. Gräsmarkernas användning i jordbruket</v>
      </c>
    </row>
    <row r="101" spans="1:14" x14ac:dyDescent="0.25">
      <c r="A101" s="33" t="str">
        <f t="shared" ref="A101:A104" si="8">A80</f>
        <v>cattle</v>
      </c>
      <c r="E101" s="33" t="str">
        <f t="shared" si="6"/>
        <v>bulls</v>
      </c>
      <c r="F101" t="s">
        <v>2</v>
      </c>
      <c r="J101" s="33" t="str">
        <f t="shared" si="7"/>
        <v>feeding_losses</v>
      </c>
      <c r="K101" s="33">
        <f t="shared" si="7"/>
        <v>5</v>
      </c>
      <c r="L101" s="33" t="str">
        <f t="shared" si="7"/>
        <v>%</v>
      </c>
      <c r="M101" s="33" t="str">
        <f t="shared" si="7"/>
        <v>No feeding on pasture</v>
      </c>
      <c r="N101" s="33" t="str">
        <f t="shared" si="7"/>
        <v>Cederberg &amp; Henriksson. 2020. Gräsmarkernas användning i jordbruket</v>
      </c>
    </row>
    <row r="102" spans="1:14" x14ac:dyDescent="0.25">
      <c r="A102" s="33" t="str">
        <f t="shared" si="8"/>
        <v>cattle</v>
      </c>
      <c r="F102" t="s">
        <v>2</v>
      </c>
      <c r="J102" s="33" t="str">
        <f t="shared" si="7"/>
        <v>feeding_losses</v>
      </c>
      <c r="K102" s="33">
        <f t="shared" si="7"/>
        <v>6</v>
      </c>
      <c r="L102" s="33" t="str">
        <f t="shared" si="7"/>
        <v>%</v>
      </c>
      <c r="M102" s="33" t="str">
        <f t="shared" si="7"/>
        <v>10% feeding on pasture</v>
      </c>
      <c r="N102" s="33" t="str">
        <f t="shared" si="7"/>
        <v>Cederberg &amp; Henriksson. 2020. Gräsmarkernas användning i jordbruket</v>
      </c>
    </row>
    <row r="103" spans="1:14" x14ac:dyDescent="0.25">
      <c r="A103" s="33" t="str">
        <f t="shared" si="8"/>
        <v>sheep</v>
      </c>
      <c r="F103" t="s">
        <v>2</v>
      </c>
      <c r="J103" s="33" t="str">
        <f t="shared" si="7"/>
        <v>feeding_losses</v>
      </c>
      <c r="K103" s="33">
        <f t="shared" si="7"/>
        <v>15</v>
      </c>
      <c r="L103" s="33" t="str">
        <f t="shared" si="7"/>
        <v>%</v>
      </c>
      <c r="M103" s="29"/>
      <c r="N103" s="33" t="str">
        <f t="shared" ref="N103:N104" si="9">N82</f>
        <v>Cederberg &amp; Henriksson. 2020. Gräsmarkernas användning i jordbruket</v>
      </c>
    </row>
    <row r="104" spans="1:14" x14ac:dyDescent="0.25">
      <c r="A104" s="33" t="str">
        <f t="shared" si="8"/>
        <v>horses</v>
      </c>
      <c r="F104" t="s">
        <v>2</v>
      </c>
      <c r="J104" s="33" t="str">
        <f t="shared" si="7"/>
        <v>feeding_losses</v>
      </c>
      <c r="K104" s="33">
        <f t="shared" si="7"/>
        <v>15</v>
      </c>
      <c r="L104" s="33" t="str">
        <f t="shared" si="7"/>
        <v>%</v>
      </c>
      <c r="M104" s="29"/>
      <c r="N104" s="33" t="str">
        <f t="shared" si="9"/>
        <v>Cederberg &amp; Henriksson. 2020. Gräsmarkernas användning i jordbruket</v>
      </c>
    </row>
    <row r="105" spans="1:14" x14ac:dyDescent="0.25">
      <c r="F105" t="s">
        <v>12</v>
      </c>
      <c r="J105" s="29" t="s">
        <v>396</v>
      </c>
      <c r="K105" s="29">
        <v>5</v>
      </c>
      <c r="L105" s="29" t="s">
        <v>28</v>
      </c>
      <c r="M105" s="29"/>
      <c r="N105" t="s">
        <v>398</v>
      </c>
    </row>
    <row r="106" spans="1:14" x14ac:dyDescent="0.25">
      <c r="A106" s="33" t="str">
        <f>A79</f>
        <v>cattle</v>
      </c>
      <c r="B106" s="33" t="str">
        <f>B79</f>
        <v>dairy</v>
      </c>
      <c r="E106" s="33" t="str">
        <f t="shared" ref="E106:E107" si="10">E79</f>
        <v>cows</v>
      </c>
      <c r="F106" t="s">
        <v>12</v>
      </c>
      <c r="J106" s="33" t="str">
        <f t="shared" ref="J106:N110" si="11">J79</f>
        <v>feeding_losses</v>
      </c>
      <c r="K106" s="33">
        <f t="shared" si="11"/>
        <v>5</v>
      </c>
      <c r="L106" s="33" t="str">
        <f t="shared" si="11"/>
        <v>%</v>
      </c>
      <c r="M106" s="33" t="str">
        <f t="shared" si="11"/>
        <v>No feeding on pasture</v>
      </c>
      <c r="N106" s="33" t="str">
        <f t="shared" si="11"/>
        <v>Cederberg &amp; Henriksson. 2020. Gräsmarkernas användning i jordbruket</v>
      </c>
    </row>
    <row r="107" spans="1:14" x14ac:dyDescent="0.25">
      <c r="A107" s="33" t="str">
        <f t="shared" ref="A107:A110" si="12">A80</f>
        <v>cattle</v>
      </c>
      <c r="E107" s="33" t="str">
        <f t="shared" si="10"/>
        <v>bulls</v>
      </c>
      <c r="F107" t="s">
        <v>12</v>
      </c>
      <c r="J107" s="33" t="str">
        <f t="shared" si="11"/>
        <v>feeding_losses</v>
      </c>
      <c r="K107" s="33">
        <f t="shared" si="11"/>
        <v>5</v>
      </c>
      <c r="L107" s="33" t="str">
        <f t="shared" si="11"/>
        <v>%</v>
      </c>
      <c r="M107" s="33" t="str">
        <f t="shared" si="11"/>
        <v>No feeding on pasture</v>
      </c>
      <c r="N107" s="33" t="str">
        <f t="shared" si="11"/>
        <v>Cederberg &amp; Henriksson. 2020. Gräsmarkernas användning i jordbruket</v>
      </c>
    </row>
    <row r="108" spans="1:14" x14ac:dyDescent="0.25">
      <c r="A108" s="33" t="str">
        <f t="shared" si="12"/>
        <v>cattle</v>
      </c>
      <c r="F108" t="s">
        <v>12</v>
      </c>
      <c r="J108" s="33" t="str">
        <f t="shared" si="11"/>
        <v>feeding_losses</v>
      </c>
      <c r="K108" s="33">
        <f t="shared" si="11"/>
        <v>6</v>
      </c>
      <c r="L108" s="33" t="str">
        <f t="shared" si="11"/>
        <v>%</v>
      </c>
      <c r="M108" s="33" t="str">
        <f t="shared" si="11"/>
        <v>10% feeding on pasture</v>
      </c>
      <c r="N108" s="33" t="str">
        <f t="shared" si="11"/>
        <v>Cederberg &amp; Henriksson. 2020. Gräsmarkernas användning i jordbruket</v>
      </c>
    </row>
    <row r="109" spans="1:14" x14ac:dyDescent="0.25">
      <c r="A109" s="33" t="str">
        <f t="shared" si="12"/>
        <v>sheep</v>
      </c>
      <c r="F109" t="s">
        <v>12</v>
      </c>
      <c r="J109" s="33" t="str">
        <f t="shared" si="11"/>
        <v>feeding_losses</v>
      </c>
      <c r="K109" s="33">
        <f t="shared" si="11"/>
        <v>15</v>
      </c>
      <c r="L109" s="33" t="str">
        <f t="shared" si="11"/>
        <v>%</v>
      </c>
      <c r="M109" s="29"/>
      <c r="N109" s="33" t="str">
        <f t="shared" ref="N109:N110" si="13">N82</f>
        <v>Cederberg &amp; Henriksson. 2020. Gräsmarkernas användning i jordbruket</v>
      </c>
    </row>
    <row r="110" spans="1:14" x14ac:dyDescent="0.25">
      <c r="A110" s="33" t="str">
        <f t="shared" si="12"/>
        <v>horses</v>
      </c>
      <c r="F110" t="s">
        <v>12</v>
      </c>
      <c r="J110" s="33" t="str">
        <f t="shared" si="11"/>
        <v>feeding_losses</v>
      </c>
      <c r="K110" s="33">
        <f t="shared" si="11"/>
        <v>15</v>
      </c>
      <c r="L110" s="33" t="str">
        <f t="shared" si="11"/>
        <v>%</v>
      </c>
      <c r="M110" s="29"/>
      <c r="N110" s="33" t="str">
        <f t="shared" si="13"/>
        <v>Cederberg &amp; Henriksson. 2020. Gräsmarkernas användning i jordbruket</v>
      </c>
    </row>
    <row r="111" spans="1:14" x14ac:dyDescent="0.25">
      <c r="A111" s="33"/>
      <c r="F111" t="s">
        <v>33</v>
      </c>
      <c r="J111" s="29" t="s">
        <v>396</v>
      </c>
      <c r="K111" s="29">
        <v>0</v>
      </c>
      <c r="L111" t="s">
        <v>28</v>
      </c>
      <c r="M111" s="29" t="s">
        <v>408</v>
      </c>
      <c r="N111" s="33"/>
    </row>
    <row r="112" spans="1:14" x14ac:dyDescent="0.25">
      <c r="A112" t="s">
        <v>24</v>
      </c>
      <c r="F112" t="s">
        <v>33</v>
      </c>
      <c r="J112" t="s">
        <v>397</v>
      </c>
      <c r="K112" s="29">
        <f>100-55</f>
        <v>45</v>
      </c>
      <c r="L112" t="s">
        <v>28</v>
      </c>
      <c r="M112" s="29" t="s">
        <v>400</v>
      </c>
      <c r="N112" t="s">
        <v>398</v>
      </c>
    </row>
    <row r="113" spans="1:14" x14ac:dyDescent="0.25">
      <c r="A113" t="s">
        <v>395</v>
      </c>
      <c r="F113" t="s">
        <v>33</v>
      </c>
      <c r="J113" t="s">
        <v>397</v>
      </c>
      <c r="K113" s="29">
        <f>100-50</f>
        <v>50</v>
      </c>
      <c r="L113" t="s">
        <v>28</v>
      </c>
      <c r="M113" s="29" t="s">
        <v>400</v>
      </c>
      <c r="N113" t="s">
        <v>398</v>
      </c>
    </row>
    <row r="114" spans="1:14" x14ac:dyDescent="0.25">
      <c r="K114" s="3"/>
      <c r="M114" s="29"/>
    </row>
    <row r="115" spans="1:14" x14ac:dyDescent="0.25">
      <c r="A115" s="3" t="s">
        <v>407</v>
      </c>
      <c r="K115" s="3"/>
      <c r="M115" s="29"/>
    </row>
    <row r="116" spans="1:14" x14ac:dyDescent="0.25">
      <c r="K116" s="3"/>
      <c r="M116" s="29"/>
    </row>
    <row r="117" spans="1:14" x14ac:dyDescent="0.25">
      <c r="K117" s="3"/>
      <c r="M117" s="3"/>
    </row>
    <row r="118" spans="1:14" x14ac:dyDescent="0.25">
      <c r="A118" s="1" t="s">
        <v>26</v>
      </c>
      <c r="B118" s="1"/>
      <c r="C118" s="1"/>
      <c r="D118" s="1"/>
      <c r="E118" s="2"/>
      <c r="F118" s="2"/>
      <c r="G118" s="2"/>
      <c r="H118" s="2"/>
      <c r="I118" s="2"/>
      <c r="J118" s="2"/>
      <c r="K118" s="2"/>
      <c r="L118" s="2"/>
      <c r="M118" s="2" t="s">
        <v>303</v>
      </c>
      <c r="N118" s="2"/>
    </row>
    <row r="119" spans="1:14" x14ac:dyDescent="0.25">
      <c r="F119" t="s">
        <v>310</v>
      </c>
      <c r="J119" t="s">
        <v>390</v>
      </c>
      <c r="K119" s="26">
        <f>INDEX('feed pars'!C$6:C$43,MATCH(F119,'feed pars'!B$6:B$43,0))</f>
        <v>100</v>
      </c>
      <c r="L119" t="s">
        <v>28</v>
      </c>
      <c r="M119" s="29" t="s">
        <v>393</v>
      </c>
    </row>
    <row r="120" spans="1:14" x14ac:dyDescent="0.25">
      <c r="F120" t="s">
        <v>311</v>
      </c>
      <c r="J120" t="s">
        <v>390</v>
      </c>
      <c r="K120" s="26">
        <f>INDEX('feed pars'!C$6:C$43,MATCH(F120,'feed pars'!B$6:B$43,0))</f>
        <v>100</v>
      </c>
      <c r="L120" t="s">
        <v>28</v>
      </c>
      <c r="M120" s="3"/>
    </row>
    <row r="121" spans="1:14" x14ac:dyDescent="0.25">
      <c r="F121" t="s">
        <v>312</v>
      </c>
      <c r="J121" t="s">
        <v>390</v>
      </c>
      <c r="K121" s="26">
        <f>INDEX('feed pars'!C$6:C$43,MATCH(F121,'feed pars'!B$6:B$43,0))</f>
        <v>100</v>
      </c>
      <c r="L121" t="s">
        <v>28</v>
      </c>
      <c r="M121" s="3"/>
    </row>
    <row r="122" spans="1:14" x14ac:dyDescent="0.25">
      <c r="F122" t="s">
        <v>2</v>
      </c>
      <c r="J122" t="s">
        <v>390</v>
      </c>
      <c r="K122" s="26">
        <f>INDEX('feed pars'!C$6:C$43,MATCH(F122,'feed pars'!B$6:B$43,0))</f>
        <v>100</v>
      </c>
      <c r="L122" t="s">
        <v>28</v>
      </c>
      <c r="M122" s="3"/>
    </row>
    <row r="123" spans="1:14" x14ac:dyDescent="0.25">
      <c r="F123" t="s">
        <v>12</v>
      </c>
      <c r="J123" t="s">
        <v>390</v>
      </c>
      <c r="K123" s="26">
        <f>INDEX('feed pars'!C$6:C$43,MATCH(F123,'feed pars'!B$6:B$43,0))</f>
        <v>100</v>
      </c>
      <c r="L123" t="s">
        <v>28</v>
      </c>
      <c r="M123" s="3"/>
    </row>
    <row r="124" spans="1:14" x14ac:dyDescent="0.25">
      <c r="F124" t="s">
        <v>33</v>
      </c>
      <c r="J124" t="s">
        <v>390</v>
      </c>
      <c r="K124" s="26">
        <f>INDEX('feed pars'!C$6:C$43,MATCH(F124,'feed pars'!B$6:B$43,0))</f>
        <v>100</v>
      </c>
      <c r="L124" t="s">
        <v>28</v>
      </c>
      <c r="M124" s="3"/>
    </row>
    <row r="125" spans="1:14" x14ac:dyDescent="0.25">
      <c r="F125" t="s">
        <v>17</v>
      </c>
      <c r="J125" t="s">
        <v>390</v>
      </c>
      <c r="K125" s="26">
        <f>INDEX('feed pars'!C$6:C$43,MATCH(F125,'feed pars'!B$6:B$43,0))</f>
        <v>87</v>
      </c>
      <c r="L125" t="s">
        <v>28</v>
      </c>
      <c r="M125" s="3"/>
    </row>
    <row r="126" spans="1:14" x14ac:dyDescent="0.25">
      <c r="F126" t="s">
        <v>37</v>
      </c>
      <c r="J126" t="s">
        <v>390</v>
      </c>
      <c r="K126" s="26">
        <f>INDEX('feed pars'!C$6:C$43,MATCH(F126,'feed pars'!B$6:B$43,0))</f>
        <v>87</v>
      </c>
      <c r="L126" t="s">
        <v>28</v>
      </c>
      <c r="M126" s="3"/>
    </row>
    <row r="127" spans="1:14" x14ac:dyDescent="0.25">
      <c r="F127" t="s">
        <v>38</v>
      </c>
      <c r="J127" t="s">
        <v>390</v>
      </c>
      <c r="K127" s="26">
        <f>INDEX('feed pars'!C$6:C$43,MATCH(F127,'feed pars'!B$6:B$43,0))</f>
        <v>86</v>
      </c>
      <c r="L127" t="s">
        <v>28</v>
      </c>
      <c r="M127" s="3"/>
    </row>
    <row r="128" spans="1:14" x14ac:dyDescent="0.25">
      <c r="F128" t="s">
        <v>39</v>
      </c>
      <c r="J128" t="s">
        <v>390</v>
      </c>
      <c r="K128" s="26">
        <f>INDEX('feed pars'!C$6:C$43,MATCH(F128,'feed pars'!B$6:B$43,0))</f>
        <v>87</v>
      </c>
      <c r="L128" t="s">
        <v>28</v>
      </c>
      <c r="M128" s="3"/>
    </row>
    <row r="129" spans="6:13" x14ac:dyDescent="0.25">
      <c r="F129" t="s">
        <v>317</v>
      </c>
      <c r="J129" t="s">
        <v>390</v>
      </c>
      <c r="K129" s="26">
        <f>INDEX('feed pars'!C$6:C$43,MATCH(F129,'feed pars'!B$6:B$43,0))</f>
        <v>87</v>
      </c>
      <c r="L129" t="s">
        <v>28</v>
      </c>
      <c r="M129" s="3"/>
    </row>
    <row r="130" spans="6:13" x14ac:dyDescent="0.25">
      <c r="F130" t="s">
        <v>40</v>
      </c>
      <c r="J130" t="s">
        <v>390</v>
      </c>
      <c r="K130" s="26">
        <f>INDEX('feed pars'!C$6:C$43,MATCH(F130,'feed pars'!B$6:B$43,0))</f>
        <v>67.5</v>
      </c>
      <c r="L130" t="s">
        <v>28</v>
      </c>
      <c r="M130" s="3"/>
    </row>
    <row r="131" spans="6:13" x14ac:dyDescent="0.25">
      <c r="F131" t="s">
        <v>41</v>
      </c>
      <c r="J131" t="s">
        <v>390</v>
      </c>
      <c r="K131" s="26">
        <f>INDEX('feed pars'!C$6:C$43,MATCH(F131,'feed pars'!B$6:B$43,0))</f>
        <v>87</v>
      </c>
      <c r="L131" t="s">
        <v>28</v>
      </c>
      <c r="M131" s="3"/>
    </row>
    <row r="132" spans="6:13" x14ac:dyDescent="0.25">
      <c r="F132" t="s">
        <v>42</v>
      </c>
      <c r="J132" t="s">
        <v>390</v>
      </c>
      <c r="K132" s="26">
        <f>INDEX('feed pars'!C$6:C$43,MATCH(F132,'feed pars'!B$6:B$43,0))</f>
        <v>86.8</v>
      </c>
      <c r="L132" t="s">
        <v>28</v>
      </c>
      <c r="M132" s="3"/>
    </row>
    <row r="133" spans="6:13" x14ac:dyDescent="0.25">
      <c r="F133" t="s">
        <v>35</v>
      </c>
      <c r="J133" t="s">
        <v>390</v>
      </c>
      <c r="K133" s="26">
        <f>INDEX('feed pars'!C$6:C$43,MATCH(F133,'feed pars'!B$6:B$43,0))</f>
        <v>92.5</v>
      </c>
      <c r="L133" t="s">
        <v>28</v>
      </c>
      <c r="M133" s="3"/>
    </row>
    <row r="134" spans="6:13" x14ac:dyDescent="0.25">
      <c r="F134" t="s">
        <v>43</v>
      </c>
      <c r="J134" t="s">
        <v>390</v>
      </c>
      <c r="K134" s="26">
        <f>INDEX('feed pars'!C$6:C$43,MATCH(F134,'feed pars'!B$6:B$43,0))</f>
        <v>92</v>
      </c>
      <c r="L134" t="s">
        <v>28</v>
      </c>
      <c r="M134" s="3"/>
    </row>
    <row r="135" spans="6:13" x14ac:dyDescent="0.25">
      <c r="F135" t="s">
        <v>314</v>
      </c>
      <c r="J135" t="s">
        <v>390</v>
      </c>
      <c r="K135" s="26">
        <f>INDEX('feed pars'!C$6:C$43,MATCH(F135,'feed pars'!B$6:B$43,0))</f>
        <v>100</v>
      </c>
      <c r="L135" t="s">
        <v>28</v>
      </c>
      <c r="M135" s="3"/>
    </row>
    <row r="136" spans="6:13" x14ac:dyDescent="0.25">
      <c r="F136" t="s">
        <v>305</v>
      </c>
      <c r="J136" t="s">
        <v>390</v>
      </c>
      <c r="K136" s="26">
        <f>INDEX('feed pars'!C$6:C$43,MATCH(F136,'feed pars'!B$6:B$43,0))</f>
        <v>85</v>
      </c>
      <c r="L136" t="s">
        <v>28</v>
      </c>
      <c r="M136" s="3"/>
    </row>
    <row r="137" spans="6:13" x14ac:dyDescent="0.25">
      <c r="F137" t="s">
        <v>318</v>
      </c>
      <c r="J137" t="s">
        <v>390</v>
      </c>
      <c r="K137" s="26">
        <f>INDEX('feed pars'!C$6:C$43,MATCH(F137,'feed pars'!B$6:B$43,0))</f>
        <v>87</v>
      </c>
      <c r="L137" t="s">
        <v>28</v>
      </c>
      <c r="M137" s="3"/>
    </row>
    <row r="138" spans="6:13" x14ac:dyDescent="0.25">
      <c r="F138" t="s">
        <v>44</v>
      </c>
      <c r="J138" t="s">
        <v>390</v>
      </c>
      <c r="K138" s="26">
        <f>INDEX('feed pars'!C$6:C$43,MATCH(F138,'feed pars'!B$6:B$43,0))</f>
        <v>87.5</v>
      </c>
      <c r="L138" t="s">
        <v>28</v>
      </c>
      <c r="M138" s="3"/>
    </row>
    <row r="139" spans="6:13" x14ac:dyDescent="0.25">
      <c r="F139" t="s">
        <v>45</v>
      </c>
      <c r="J139" t="s">
        <v>390</v>
      </c>
      <c r="K139" s="26">
        <f>INDEX('feed pars'!C$6:C$43,MATCH(F139,'feed pars'!B$6:B$43,0))</f>
        <v>87</v>
      </c>
      <c r="L139" t="s">
        <v>28</v>
      </c>
      <c r="M139" s="3"/>
    </row>
    <row r="140" spans="6:13" x14ac:dyDescent="0.25">
      <c r="F140" t="s">
        <v>36</v>
      </c>
      <c r="J140" t="s">
        <v>390</v>
      </c>
      <c r="K140" s="26">
        <f>INDEX('feed pars'!C$6:C$43,MATCH(F140,'feed pars'!B$6:B$43,0))</f>
        <v>89.5</v>
      </c>
      <c r="L140" t="s">
        <v>28</v>
      </c>
      <c r="M140" s="3"/>
    </row>
    <row r="141" spans="6:13" x14ac:dyDescent="0.25">
      <c r="F141" t="s">
        <v>46</v>
      </c>
      <c r="J141" t="s">
        <v>390</v>
      </c>
      <c r="K141" s="26">
        <f>INDEX('feed pars'!C$6:C$43,MATCH(F141,'feed pars'!B$6:B$43,0))</f>
        <v>91</v>
      </c>
      <c r="L141" t="s">
        <v>28</v>
      </c>
      <c r="M141" s="3"/>
    </row>
    <row r="142" spans="6:13" x14ac:dyDescent="0.25">
      <c r="F142" t="s">
        <v>47</v>
      </c>
      <c r="J142" t="s">
        <v>390</v>
      </c>
      <c r="K142" s="26">
        <f>INDEX('feed pars'!C$6:C$43,MATCH(F142,'feed pars'!B$6:B$43,0))</f>
        <v>91</v>
      </c>
      <c r="L142" t="s">
        <v>28</v>
      </c>
      <c r="M142" s="3"/>
    </row>
    <row r="143" spans="6:13" x14ac:dyDescent="0.25">
      <c r="F143" t="s">
        <v>319</v>
      </c>
      <c r="J143" t="s">
        <v>390</v>
      </c>
      <c r="K143" s="26">
        <f>INDEX('feed pars'!C$6:C$43,MATCH(F143,'feed pars'!B$6:B$43,0))</f>
        <v>90</v>
      </c>
      <c r="L143" t="s">
        <v>28</v>
      </c>
      <c r="M143" s="3"/>
    </row>
    <row r="144" spans="6:13" x14ac:dyDescent="0.25">
      <c r="F144" t="s">
        <v>48</v>
      </c>
      <c r="J144" t="s">
        <v>390</v>
      </c>
      <c r="K144" s="26">
        <f>INDEX('feed pars'!C$6:C$43,MATCH(F144,'feed pars'!B$6:B$43,0))</f>
        <v>87</v>
      </c>
      <c r="L144" t="s">
        <v>28</v>
      </c>
      <c r="M144" s="3"/>
    </row>
    <row r="145" spans="1:14" x14ac:dyDescent="0.25">
      <c r="F145" t="s">
        <v>49</v>
      </c>
      <c r="J145" t="s">
        <v>390</v>
      </c>
      <c r="K145" s="26">
        <f>INDEX('feed pars'!C$6:C$43,MATCH(F145,'feed pars'!B$6:B$43,0))</f>
        <v>88.5</v>
      </c>
      <c r="L145" t="s">
        <v>28</v>
      </c>
      <c r="M145" s="3"/>
    </row>
    <row r="146" spans="1:14" x14ac:dyDescent="0.25">
      <c r="F146" t="s">
        <v>50</v>
      </c>
      <c r="J146" t="s">
        <v>390</v>
      </c>
      <c r="K146" s="26">
        <f>INDEX('feed pars'!C$6:C$43,MATCH(F146,'feed pars'!B$6:B$43,0))</f>
        <v>90</v>
      </c>
      <c r="L146" t="s">
        <v>28</v>
      </c>
      <c r="M146" s="3"/>
    </row>
    <row r="147" spans="1:14" x14ac:dyDescent="0.25">
      <c r="F147" t="s">
        <v>51</v>
      </c>
      <c r="J147" t="s">
        <v>390</v>
      </c>
      <c r="K147" s="26">
        <f>INDEX('feed pars'!C$6:C$43,MATCH(F147,'feed pars'!B$6:B$43,0))</f>
        <v>11</v>
      </c>
      <c r="L147" t="s">
        <v>28</v>
      </c>
      <c r="M147" s="3"/>
    </row>
    <row r="148" spans="1:14" x14ac:dyDescent="0.25">
      <c r="F148" t="s">
        <v>313</v>
      </c>
      <c r="J148" t="s">
        <v>390</v>
      </c>
      <c r="K148" s="26">
        <f>INDEX('feed pars'!C$6:C$43,MATCH(F148,'feed pars'!B$6:B$43,0))</f>
        <v>90</v>
      </c>
      <c r="L148" t="s">
        <v>28</v>
      </c>
      <c r="M148" s="3"/>
    </row>
    <row r="149" spans="1:14" x14ac:dyDescent="0.25">
      <c r="F149" t="s">
        <v>388</v>
      </c>
      <c r="J149" t="s">
        <v>390</v>
      </c>
      <c r="K149" s="26">
        <f>INDEX('feed pars'!C$6:C$43,MATCH(F149,'feed pars'!B$6:B$43,0))</f>
        <v>87</v>
      </c>
      <c r="L149" t="s">
        <v>28</v>
      </c>
      <c r="M149" s="3"/>
    </row>
    <row r="150" spans="1:14" x14ac:dyDescent="0.25">
      <c r="F150" t="s">
        <v>52</v>
      </c>
      <c r="J150" t="s">
        <v>390</v>
      </c>
      <c r="K150" s="26">
        <f>INDEX('feed pars'!C$6:C$43,MATCH(F150,'feed pars'!B$6:B$43,0))</f>
        <v>75.5</v>
      </c>
      <c r="L150" t="s">
        <v>28</v>
      </c>
      <c r="M150" s="3"/>
    </row>
    <row r="151" spans="1:14" x14ac:dyDescent="0.25">
      <c r="F151" t="s">
        <v>53</v>
      </c>
      <c r="J151" t="s">
        <v>390</v>
      </c>
      <c r="K151" s="26">
        <f>INDEX('feed pars'!C$6:C$43,MATCH(F151,'feed pars'!B$6:B$43,0))</f>
        <v>89.5</v>
      </c>
      <c r="L151" t="s">
        <v>28</v>
      </c>
      <c r="M151" s="3"/>
    </row>
    <row r="152" spans="1:14" x14ac:dyDescent="0.25">
      <c r="F152" t="s">
        <v>54</v>
      </c>
      <c r="J152" t="s">
        <v>390</v>
      </c>
      <c r="K152" s="26">
        <f>INDEX('feed pars'!C$6:C$43,MATCH(F152,'feed pars'!B$6:B$43,0))</f>
        <v>6.25</v>
      </c>
      <c r="L152" t="s">
        <v>28</v>
      </c>
      <c r="M152" s="3"/>
    </row>
    <row r="153" spans="1:14" x14ac:dyDescent="0.25">
      <c r="F153" t="s">
        <v>55</v>
      </c>
      <c r="J153" t="s">
        <v>390</v>
      </c>
      <c r="K153" s="26">
        <f>INDEX('feed pars'!C$6:C$43,MATCH(F153,'feed pars'!B$6:B$43,0))</f>
        <v>97</v>
      </c>
      <c r="L153" t="s">
        <v>28</v>
      </c>
      <c r="M153" s="3"/>
    </row>
    <row r="154" spans="1:14" x14ac:dyDescent="0.25">
      <c r="F154" t="s">
        <v>56</v>
      </c>
      <c r="J154" t="s">
        <v>390</v>
      </c>
      <c r="K154" s="26">
        <f>INDEX('feed pars'!C$6:C$43,MATCH(F154,'feed pars'!B$6:B$43,0))</f>
        <v>91</v>
      </c>
      <c r="L154" t="s">
        <v>28</v>
      </c>
      <c r="M154" s="3"/>
    </row>
    <row r="155" spans="1:14" x14ac:dyDescent="0.25">
      <c r="F155" t="s">
        <v>57</v>
      </c>
      <c r="J155" t="s">
        <v>390</v>
      </c>
      <c r="K155" s="26">
        <f>INDEX('feed pars'!C$6:C$43,MATCH(F155,'feed pars'!B$6:B$43,0))</f>
        <v>92</v>
      </c>
      <c r="L155" t="s">
        <v>28</v>
      </c>
      <c r="M155" s="3"/>
    </row>
    <row r="156" spans="1:14" x14ac:dyDescent="0.25">
      <c r="A156" s="7" t="s">
        <v>20</v>
      </c>
      <c r="B156" s="7"/>
      <c r="C156" s="6"/>
      <c r="D156" s="6"/>
      <c r="E156" s="6"/>
      <c r="F156" s="6"/>
      <c r="G156" s="6"/>
      <c r="H156" s="6"/>
      <c r="I156" s="6"/>
      <c r="J156" s="6"/>
      <c r="K156" s="6"/>
      <c r="L156" s="6" t="s">
        <v>19</v>
      </c>
      <c r="M156" s="6"/>
      <c r="N156" s="6"/>
    </row>
    <row r="157" spans="1:14" x14ac:dyDescent="0.25">
      <c r="A157" t="s">
        <v>24</v>
      </c>
      <c r="F157" t="s">
        <v>310</v>
      </c>
      <c r="J157" t="s">
        <v>18</v>
      </c>
      <c r="K157" s="26">
        <f>INDEX('feed pars'!L$6:L$43,MATCH(F157,'feed pars'!B$6:B$43,0))</f>
        <v>11.5</v>
      </c>
      <c r="M157" s="3"/>
    </row>
    <row r="158" spans="1:14" x14ac:dyDescent="0.25">
      <c r="A158" t="s">
        <v>24</v>
      </c>
      <c r="F158" t="s">
        <v>311</v>
      </c>
      <c r="J158" t="s">
        <v>18</v>
      </c>
      <c r="K158" s="26">
        <f>INDEX('feed pars'!L$6:L$43,MATCH(F158,'feed pars'!B$6:B$43,0))</f>
        <v>10.4</v>
      </c>
      <c r="M158" s="3"/>
    </row>
    <row r="159" spans="1:14" x14ac:dyDescent="0.25">
      <c r="A159" t="s">
        <v>24</v>
      </c>
      <c r="F159" t="s">
        <v>312</v>
      </c>
      <c r="J159" t="s">
        <v>18</v>
      </c>
      <c r="K159" s="26">
        <f>INDEX('feed pars'!L$6:L$43,MATCH(F159,'feed pars'!B$6:B$43,0))</f>
        <v>10</v>
      </c>
      <c r="M159" s="3"/>
    </row>
    <row r="160" spans="1:14" x14ac:dyDescent="0.25">
      <c r="A160" t="s">
        <v>24</v>
      </c>
      <c r="F160" t="s">
        <v>12</v>
      </c>
      <c r="J160" t="s">
        <v>18</v>
      </c>
      <c r="K160" s="26">
        <f>INDEX('feed pars'!L$6:L$43,MATCH(F160,'feed pars'!B$6:B$43,0))</f>
        <v>11.3</v>
      </c>
    </row>
    <row r="161" spans="1:11" x14ac:dyDescent="0.25">
      <c r="A161" t="s">
        <v>24</v>
      </c>
      <c r="F161" t="s">
        <v>33</v>
      </c>
      <c r="J161" t="s">
        <v>18</v>
      </c>
      <c r="K161" s="26">
        <f>INDEX('feed pars'!L$6:L$43,MATCH(F161,'feed pars'!B$6:B$43,0))</f>
        <v>10</v>
      </c>
    </row>
    <row r="162" spans="1:11" x14ac:dyDescent="0.25">
      <c r="K162" s="3"/>
    </row>
    <row r="163" spans="1:11" x14ac:dyDescent="0.25">
      <c r="A163" t="s">
        <v>24</v>
      </c>
      <c r="F163" t="s">
        <v>17</v>
      </c>
      <c r="J163" t="s">
        <v>18</v>
      </c>
      <c r="K163" s="26">
        <f>INDEX('feed pars'!L$6:L$43,MATCH(F163,'feed pars'!B$6:B$43,0))</f>
        <v>14.1</v>
      </c>
    </row>
    <row r="164" spans="1:11" x14ac:dyDescent="0.25">
      <c r="A164" t="s">
        <v>24</v>
      </c>
      <c r="F164" t="s">
        <v>37</v>
      </c>
      <c r="J164" t="s">
        <v>18</v>
      </c>
      <c r="K164" s="26">
        <f>INDEX('feed pars'!L$6:L$43,MATCH(F164,'feed pars'!B$6:B$43,0))</f>
        <v>13.2</v>
      </c>
    </row>
    <row r="165" spans="1:11" x14ac:dyDescent="0.25">
      <c r="A165" t="s">
        <v>24</v>
      </c>
      <c r="F165" t="s">
        <v>38</v>
      </c>
      <c r="J165" t="s">
        <v>18</v>
      </c>
      <c r="K165" s="26">
        <f>INDEX('feed pars'!L$6:L$43,MATCH(F165,'feed pars'!B$6:B$43,0))</f>
        <v>11.7</v>
      </c>
    </row>
    <row r="166" spans="1:11" x14ac:dyDescent="0.25">
      <c r="A166" t="s">
        <v>24</v>
      </c>
      <c r="F166" t="s">
        <v>39</v>
      </c>
      <c r="J166" t="s">
        <v>18</v>
      </c>
      <c r="K166" s="26">
        <f>INDEX('feed pars'!L$6:L$43,MATCH(F166,'feed pars'!B$6:B$43,0))</f>
        <v>14</v>
      </c>
    </row>
    <row r="167" spans="1:11" x14ac:dyDescent="0.25">
      <c r="A167" t="s">
        <v>24</v>
      </c>
      <c r="F167" t="s">
        <v>317</v>
      </c>
      <c r="J167" t="s">
        <v>18</v>
      </c>
      <c r="K167" s="26">
        <f>INDEX('feed pars'!L$6:L$43,MATCH(F167,'feed pars'!B$6:B$43,0))</f>
        <v>13.9</v>
      </c>
    </row>
    <row r="168" spans="1:11" x14ac:dyDescent="0.25">
      <c r="A168" t="s">
        <v>24</v>
      </c>
      <c r="F168" t="s">
        <v>40</v>
      </c>
      <c r="J168" t="s">
        <v>18</v>
      </c>
      <c r="K168" s="26">
        <f>INDEX('feed pars'!L$6:L$43,MATCH(F168,'feed pars'!B$6:B$43,0))</f>
        <v>12.8</v>
      </c>
    </row>
    <row r="169" spans="1:11" x14ac:dyDescent="0.25">
      <c r="A169" t="s">
        <v>24</v>
      </c>
      <c r="F169" t="s">
        <v>41</v>
      </c>
      <c r="J169" t="s">
        <v>18</v>
      </c>
      <c r="K169" s="26">
        <f>INDEX('feed pars'!L$6:L$43,MATCH(F169,'feed pars'!B$6:B$43,0))</f>
        <v>13.8</v>
      </c>
    </row>
    <row r="170" spans="1:11" x14ac:dyDescent="0.25">
      <c r="A170" t="s">
        <v>24</v>
      </c>
      <c r="F170" t="s">
        <v>42</v>
      </c>
      <c r="J170" t="s">
        <v>18</v>
      </c>
      <c r="K170" s="26">
        <f>INDEX('feed pars'!L$6:L$43,MATCH(F170,'feed pars'!B$6:B$43,0))</f>
        <v>13.3</v>
      </c>
    </row>
    <row r="171" spans="1:11" x14ac:dyDescent="0.25">
      <c r="A171" t="s">
        <v>24</v>
      </c>
      <c r="F171" t="s">
        <v>35</v>
      </c>
      <c r="J171" t="s">
        <v>18</v>
      </c>
      <c r="K171" s="26">
        <f>INDEX('feed pars'!L$6:L$43,MATCH(F171,'feed pars'!B$6:B$43,0))</f>
        <v>22.1</v>
      </c>
    </row>
    <row r="172" spans="1:11" x14ac:dyDescent="0.25">
      <c r="A172" t="s">
        <v>24</v>
      </c>
      <c r="F172" t="s">
        <v>43</v>
      </c>
      <c r="J172" t="s">
        <v>18</v>
      </c>
      <c r="K172" s="26">
        <f>INDEX('feed pars'!L$6:L$43,MATCH(F172,'feed pars'!B$6:B$43,0))</f>
        <v>20.100000000000001</v>
      </c>
    </row>
    <row r="173" spans="1:11" x14ac:dyDescent="0.25">
      <c r="A173" t="s">
        <v>24</v>
      </c>
      <c r="F173" t="s">
        <v>305</v>
      </c>
      <c r="J173" t="s">
        <v>18</v>
      </c>
      <c r="K173" s="26">
        <f>INDEX('feed pars'!L$6:L$43,MATCH(F173,'feed pars'!B$6:B$43,0))</f>
        <v>6.6</v>
      </c>
    </row>
    <row r="174" spans="1:11" x14ac:dyDescent="0.25">
      <c r="A174" t="s">
        <v>24</v>
      </c>
      <c r="F174" t="s">
        <v>314</v>
      </c>
      <c r="J174" t="s">
        <v>18</v>
      </c>
      <c r="K174" s="26">
        <f>INDEX('feed pars'!L$6:L$43,MATCH(F174,'feed pars'!B$6:B$43,0))</f>
        <v>36.6</v>
      </c>
    </row>
    <row r="175" spans="1:11" x14ac:dyDescent="0.25">
      <c r="A175" t="s">
        <v>24</v>
      </c>
      <c r="F175" t="s">
        <v>318</v>
      </c>
      <c r="J175" t="s">
        <v>18</v>
      </c>
      <c r="K175" s="26">
        <f>INDEX('feed pars'!L$6:L$43,MATCH(F175,'feed pars'!B$6:B$43,0))</f>
        <v>16.399999999999999</v>
      </c>
    </row>
    <row r="176" spans="1:11" x14ac:dyDescent="0.25">
      <c r="A176" t="s">
        <v>24</v>
      </c>
      <c r="F176" t="s">
        <v>44</v>
      </c>
      <c r="J176" t="s">
        <v>18</v>
      </c>
      <c r="K176" s="26">
        <f>INDEX('feed pars'!L$6:L$43,MATCH(F176,'feed pars'!B$6:B$43,0))</f>
        <v>14.6</v>
      </c>
    </row>
    <row r="177" spans="1:14" x14ac:dyDescent="0.25">
      <c r="A177" t="s">
        <v>24</v>
      </c>
      <c r="F177" t="s">
        <v>36</v>
      </c>
      <c r="J177" t="s">
        <v>18</v>
      </c>
      <c r="K177" s="26">
        <f>INDEX('feed pars'!L$6:L$43,MATCH(F177,'feed pars'!B$6:B$43,0))</f>
        <v>12.2</v>
      </c>
    </row>
    <row r="178" spans="1:14" x14ac:dyDescent="0.25">
      <c r="A178" t="s">
        <v>24</v>
      </c>
      <c r="F178" t="s">
        <v>46</v>
      </c>
      <c r="J178" t="s">
        <v>18</v>
      </c>
      <c r="K178" s="26">
        <f>INDEX('feed pars'!L$6:L$43,MATCH(F178,'feed pars'!B$6:B$43,0))</f>
        <v>11.4</v>
      </c>
    </row>
    <row r="179" spans="1:14" x14ac:dyDescent="0.25">
      <c r="A179" t="s">
        <v>24</v>
      </c>
      <c r="F179" t="s">
        <v>47</v>
      </c>
      <c r="J179" t="s">
        <v>18</v>
      </c>
      <c r="K179" s="26">
        <f>INDEX('feed pars'!L$6:L$43,MATCH(F179,'feed pars'!B$6:B$43,0))</f>
        <v>13.4</v>
      </c>
    </row>
    <row r="180" spans="1:14" x14ac:dyDescent="0.25">
      <c r="A180" t="s">
        <v>24</v>
      </c>
      <c r="F180" t="s">
        <v>319</v>
      </c>
      <c r="J180" t="s">
        <v>18</v>
      </c>
      <c r="K180" s="26">
        <f>INDEX('feed pars'!L$6:L$43,MATCH(F180,'feed pars'!B$6:B$43,0))</f>
        <v>8.5</v>
      </c>
    </row>
    <row r="181" spans="1:14" x14ac:dyDescent="0.25">
      <c r="A181" t="s">
        <v>24</v>
      </c>
      <c r="F181" t="s">
        <v>48</v>
      </c>
      <c r="J181" t="s">
        <v>18</v>
      </c>
      <c r="K181" s="26">
        <f>INDEX('feed pars'!L$6:L$43,MATCH(F181,'feed pars'!B$6:B$43,0))</f>
        <v>11</v>
      </c>
    </row>
    <row r="182" spans="1:14" x14ac:dyDescent="0.25">
      <c r="A182" t="s">
        <v>24</v>
      </c>
      <c r="F182" t="s">
        <v>50</v>
      </c>
      <c r="J182" t="s">
        <v>18</v>
      </c>
      <c r="K182" s="26">
        <f>INDEX('feed pars'!L$6:L$43,MATCH(F182,'feed pars'!B$6:B$43,0))</f>
        <v>13.3</v>
      </c>
    </row>
    <row r="183" spans="1:14" x14ac:dyDescent="0.25">
      <c r="A183" t="s">
        <v>24</v>
      </c>
      <c r="F183" t="s">
        <v>313</v>
      </c>
      <c r="J183" t="s">
        <v>18</v>
      </c>
      <c r="K183" s="26">
        <f>INDEX('feed pars'!L$6:L$43,MATCH(F183,'feed pars'!B$6:B$43,0))</f>
        <v>11.6</v>
      </c>
    </row>
    <row r="184" spans="1:14" x14ac:dyDescent="0.25">
      <c r="A184" t="s">
        <v>24</v>
      </c>
      <c r="F184" t="s">
        <v>52</v>
      </c>
      <c r="J184" t="s">
        <v>18</v>
      </c>
      <c r="K184" s="26">
        <f>INDEX('feed pars'!L$6:L$43,MATCH(F184,'feed pars'!B$6:B$43,0))</f>
        <v>12.4</v>
      </c>
    </row>
    <row r="185" spans="1:14" x14ac:dyDescent="0.25">
      <c r="A185" t="s">
        <v>24</v>
      </c>
      <c r="F185" t="s">
        <v>53</v>
      </c>
      <c r="J185" t="s">
        <v>18</v>
      </c>
      <c r="K185" s="26">
        <f>INDEX('feed pars'!L$6:L$43,MATCH(F185,'feed pars'!B$6:B$43,0))</f>
        <v>12.3</v>
      </c>
    </row>
    <row r="186" spans="1:14" x14ac:dyDescent="0.25">
      <c r="A186" t="s">
        <v>24</v>
      </c>
      <c r="F186" t="s">
        <v>54</v>
      </c>
      <c r="J186" t="s">
        <v>18</v>
      </c>
      <c r="K186" s="26">
        <f>INDEX('feed pars'!L$6:L$43,MATCH(F186,'feed pars'!B$6:B$43,0))</f>
        <v>13.6</v>
      </c>
    </row>
    <row r="187" spans="1:14" x14ac:dyDescent="0.25">
      <c r="A187" t="s">
        <v>24</v>
      </c>
      <c r="F187" t="s">
        <v>56</v>
      </c>
      <c r="J187" t="s">
        <v>18</v>
      </c>
      <c r="K187" s="26">
        <f>INDEX('feed pars'!L$6:L$43,MATCH(F187,'feed pars'!B$6:B$43,0))</f>
        <v>15.5</v>
      </c>
    </row>
    <row r="188" spans="1:14" x14ac:dyDescent="0.25">
      <c r="A188" t="s">
        <v>24</v>
      </c>
      <c r="F188" t="s">
        <v>324</v>
      </c>
      <c r="J188" t="s">
        <v>18</v>
      </c>
      <c r="K188" s="3">
        <v>0</v>
      </c>
    </row>
    <row r="189" spans="1:14" x14ac:dyDescent="0.25">
      <c r="A189" s="7" t="s">
        <v>409</v>
      </c>
      <c r="B189" s="7"/>
      <c r="C189" s="6"/>
      <c r="D189" s="6"/>
      <c r="E189" s="6"/>
      <c r="F189" s="6"/>
      <c r="G189" s="6"/>
      <c r="H189" s="6"/>
      <c r="I189" s="6"/>
      <c r="J189" s="6"/>
      <c r="K189" s="6"/>
      <c r="L189" s="6" t="s">
        <v>19</v>
      </c>
      <c r="M189" s="6"/>
      <c r="N189" s="6"/>
    </row>
    <row r="190" spans="1:14" x14ac:dyDescent="0.25">
      <c r="A190" t="s">
        <v>395</v>
      </c>
      <c r="F190" t="s">
        <v>2</v>
      </c>
      <c r="J190" t="s">
        <v>18</v>
      </c>
      <c r="K190" s="26">
        <f>INDEX('feed pars'!L$6:L$43,MATCH(F190,'feed pars'!B$6:B$43,0))</f>
        <v>9.1</v>
      </c>
    </row>
    <row r="191" spans="1:14" x14ac:dyDescent="0.25">
      <c r="A191" t="s">
        <v>395</v>
      </c>
      <c r="F191" t="s">
        <v>33</v>
      </c>
      <c r="J191" t="s">
        <v>18</v>
      </c>
      <c r="K191" s="34">
        <f>K161</f>
        <v>10</v>
      </c>
    </row>
    <row r="192" spans="1:14" x14ac:dyDescent="0.25">
      <c r="K192" s="34"/>
    </row>
    <row r="193" spans="1:14" x14ac:dyDescent="0.25">
      <c r="A193" t="s">
        <v>395</v>
      </c>
      <c r="F193" t="s">
        <v>38</v>
      </c>
      <c r="J193" t="s">
        <v>18</v>
      </c>
      <c r="K193" s="34">
        <f>K165</f>
        <v>11.7</v>
      </c>
    </row>
    <row r="194" spans="1:14" x14ac:dyDescent="0.25">
      <c r="A194" t="s">
        <v>395</v>
      </c>
      <c r="F194" t="s">
        <v>37</v>
      </c>
      <c r="J194" t="s">
        <v>18</v>
      </c>
      <c r="K194" s="34">
        <f>K164</f>
        <v>13.2</v>
      </c>
    </row>
    <row r="195" spans="1:14" x14ac:dyDescent="0.25">
      <c r="A195" t="s">
        <v>395</v>
      </c>
      <c r="F195" t="s">
        <v>17</v>
      </c>
      <c r="J195" t="s">
        <v>18</v>
      </c>
      <c r="K195" s="34">
        <f>K163</f>
        <v>14.1</v>
      </c>
    </row>
    <row r="196" spans="1:14" x14ac:dyDescent="0.25">
      <c r="A196" t="s">
        <v>395</v>
      </c>
      <c r="F196" t="s">
        <v>49</v>
      </c>
      <c r="J196" t="s">
        <v>18</v>
      </c>
      <c r="K196" s="34">
        <f t="shared" ref="K196:K202" si="14">K164</f>
        <v>13.2</v>
      </c>
    </row>
    <row r="197" spans="1:14" x14ac:dyDescent="0.25">
      <c r="A197" t="s">
        <v>395</v>
      </c>
      <c r="F197" t="s">
        <v>48</v>
      </c>
      <c r="J197" t="s">
        <v>18</v>
      </c>
      <c r="K197" s="34">
        <f t="shared" si="14"/>
        <v>11.7</v>
      </c>
    </row>
    <row r="198" spans="1:14" x14ac:dyDescent="0.25">
      <c r="A198" t="s">
        <v>395</v>
      </c>
      <c r="F198" t="s">
        <v>314</v>
      </c>
      <c r="J198" t="s">
        <v>18</v>
      </c>
      <c r="K198" s="34">
        <f t="shared" si="14"/>
        <v>14</v>
      </c>
    </row>
    <row r="199" spans="1:14" x14ac:dyDescent="0.25">
      <c r="A199" t="s">
        <v>395</v>
      </c>
      <c r="F199" t="s">
        <v>53</v>
      </c>
      <c r="J199" t="s">
        <v>18</v>
      </c>
      <c r="K199" s="34">
        <f t="shared" si="14"/>
        <v>13.9</v>
      </c>
    </row>
    <row r="200" spans="1:14" x14ac:dyDescent="0.25">
      <c r="A200" t="s">
        <v>395</v>
      </c>
      <c r="F200" t="s">
        <v>52</v>
      </c>
      <c r="J200" t="s">
        <v>18</v>
      </c>
      <c r="K200" s="34">
        <f t="shared" si="14"/>
        <v>12.8</v>
      </c>
    </row>
    <row r="201" spans="1:14" x14ac:dyDescent="0.25">
      <c r="A201" t="s">
        <v>395</v>
      </c>
      <c r="F201" t="s">
        <v>56</v>
      </c>
      <c r="J201" t="s">
        <v>18</v>
      </c>
      <c r="K201" s="34">
        <f t="shared" si="14"/>
        <v>13.8</v>
      </c>
    </row>
    <row r="202" spans="1:14" x14ac:dyDescent="0.25">
      <c r="A202" t="s">
        <v>395</v>
      </c>
      <c r="F202" t="s">
        <v>319</v>
      </c>
      <c r="J202" t="s">
        <v>18</v>
      </c>
      <c r="K202" s="34">
        <f t="shared" si="14"/>
        <v>13.3</v>
      </c>
    </row>
    <row r="203" spans="1:14" x14ac:dyDescent="0.25">
      <c r="K203" s="3"/>
    </row>
    <row r="204" spans="1:14" x14ac:dyDescent="0.25">
      <c r="A204" s="8" t="s">
        <v>21</v>
      </c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</row>
    <row r="205" spans="1:14" x14ac:dyDescent="0.25">
      <c r="A205" s="30" t="s">
        <v>391</v>
      </c>
      <c r="B205" s="31"/>
      <c r="C205" s="32"/>
      <c r="D205" s="32"/>
      <c r="E205" s="32"/>
      <c r="F205" s="32"/>
      <c r="G205" s="32"/>
      <c r="H205" s="32"/>
      <c r="I205" s="32"/>
      <c r="J205" s="32"/>
      <c r="K205" s="32"/>
      <c r="L205" s="32" t="s">
        <v>300</v>
      </c>
      <c r="M205" s="32"/>
      <c r="N205" s="32"/>
    </row>
    <row r="206" spans="1:14" x14ac:dyDescent="0.25">
      <c r="A206" t="s">
        <v>25</v>
      </c>
      <c r="E206" t="s">
        <v>299</v>
      </c>
      <c r="F206" t="s">
        <v>17</v>
      </c>
      <c r="J206" t="s">
        <v>18</v>
      </c>
      <c r="K206" s="26">
        <f>INDEX('feed pars'!H$6:H$43,MATCH(F206,'feed pars'!B$6:B$43,0))</f>
        <v>12.3</v>
      </c>
    </row>
    <row r="207" spans="1:14" x14ac:dyDescent="0.25">
      <c r="A207" t="s">
        <v>25</v>
      </c>
      <c r="E207" t="s">
        <v>299</v>
      </c>
      <c r="F207" t="s">
        <v>37</v>
      </c>
      <c r="J207" t="s">
        <v>18</v>
      </c>
      <c r="K207" s="26">
        <f>INDEX('feed pars'!H$6:H$43,MATCH(F207,'feed pars'!B$6:B$43,0))</f>
        <v>11.2</v>
      </c>
    </row>
    <row r="208" spans="1:14" x14ac:dyDescent="0.25">
      <c r="A208" t="s">
        <v>25</v>
      </c>
      <c r="E208" t="s">
        <v>299</v>
      </c>
      <c r="F208" t="s">
        <v>38</v>
      </c>
      <c r="J208" t="s">
        <v>18</v>
      </c>
      <c r="K208" s="26">
        <f>INDEX('feed pars'!H$6:H$43,MATCH(F208,'feed pars'!B$6:B$43,0))</f>
        <v>9.4</v>
      </c>
    </row>
    <row r="209" spans="1:11" x14ac:dyDescent="0.25">
      <c r="A209" t="s">
        <v>25</v>
      </c>
      <c r="E209" t="s">
        <v>299</v>
      </c>
      <c r="F209" t="s">
        <v>39</v>
      </c>
      <c r="J209" t="s">
        <v>18</v>
      </c>
      <c r="K209" s="26">
        <f>INDEX('feed pars'!H$6:H$43,MATCH(F209,'feed pars'!B$6:B$43,0))</f>
        <v>12</v>
      </c>
    </row>
    <row r="210" spans="1:11" x14ac:dyDescent="0.25">
      <c r="A210" t="s">
        <v>25</v>
      </c>
      <c r="E210" t="s">
        <v>299</v>
      </c>
      <c r="F210" t="s">
        <v>40</v>
      </c>
      <c r="J210" t="s">
        <v>18</v>
      </c>
      <c r="K210" s="26">
        <f>INDEX('feed pars'!H$6:H$43,MATCH(F210,'feed pars'!B$6:B$43,0))</f>
        <v>13.2</v>
      </c>
    </row>
    <row r="211" spans="1:11" x14ac:dyDescent="0.25">
      <c r="A211" t="s">
        <v>25</v>
      </c>
      <c r="E211" t="s">
        <v>299</v>
      </c>
      <c r="F211" t="s">
        <v>41</v>
      </c>
      <c r="J211" t="s">
        <v>18</v>
      </c>
      <c r="K211" s="26">
        <f>INDEX('feed pars'!H$6:H$43,MATCH(F211,'feed pars'!B$6:B$43,0))</f>
        <v>11.5</v>
      </c>
    </row>
    <row r="212" spans="1:11" x14ac:dyDescent="0.25">
      <c r="A212" t="s">
        <v>25</v>
      </c>
      <c r="E212" t="s">
        <v>299</v>
      </c>
      <c r="F212" t="s">
        <v>42</v>
      </c>
      <c r="J212" t="s">
        <v>18</v>
      </c>
      <c r="K212" s="26">
        <f>INDEX('feed pars'!H$6:H$43,MATCH(F212,'feed pars'!B$6:B$43,0))</f>
        <v>10.9</v>
      </c>
    </row>
    <row r="213" spans="1:11" x14ac:dyDescent="0.25">
      <c r="A213" t="s">
        <v>25</v>
      </c>
      <c r="E213" t="s">
        <v>299</v>
      </c>
      <c r="F213" t="s">
        <v>35</v>
      </c>
      <c r="J213" t="s">
        <v>18</v>
      </c>
      <c r="K213" s="26">
        <f>INDEX('feed pars'!H$6:H$43,MATCH(F213,'feed pars'!B$6:B$43,0))</f>
        <v>18.5</v>
      </c>
    </row>
    <row r="214" spans="1:11" x14ac:dyDescent="0.25">
      <c r="A214" t="s">
        <v>25</v>
      </c>
      <c r="E214" t="s">
        <v>299</v>
      </c>
      <c r="F214" t="s">
        <v>43</v>
      </c>
      <c r="J214" t="s">
        <v>18</v>
      </c>
      <c r="K214" s="26">
        <f>INDEX('feed pars'!H$6:H$43,MATCH(F214,'feed pars'!B$6:B$43,0))</f>
        <v>17.5</v>
      </c>
    </row>
    <row r="215" spans="1:11" x14ac:dyDescent="0.25">
      <c r="A215" t="s">
        <v>25</v>
      </c>
      <c r="E215" t="s">
        <v>299</v>
      </c>
      <c r="F215" t="s">
        <v>314</v>
      </c>
      <c r="J215" t="s">
        <v>18</v>
      </c>
      <c r="K215" s="26">
        <f>INDEX('feed pars'!H$6:H$43,MATCH(F215,'feed pars'!B$6:B$43,0))</f>
        <v>29.8</v>
      </c>
    </row>
    <row r="216" spans="1:11" x14ac:dyDescent="0.25">
      <c r="A216" t="s">
        <v>25</v>
      </c>
      <c r="E216" t="s">
        <v>299</v>
      </c>
      <c r="F216" t="s">
        <v>44</v>
      </c>
      <c r="J216" t="s">
        <v>18</v>
      </c>
      <c r="K216" s="26">
        <f>INDEX('feed pars'!H$6:H$43,MATCH(F216,'feed pars'!B$6:B$43,0))</f>
        <v>9.9</v>
      </c>
    </row>
    <row r="217" spans="1:11" x14ac:dyDescent="0.25">
      <c r="A217" t="s">
        <v>25</v>
      </c>
      <c r="E217" t="s">
        <v>299</v>
      </c>
      <c r="F217" t="s">
        <v>45</v>
      </c>
      <c r="J217" t="s">
        <v>18</v>
      </c>
      <c r="K217" s="26">
        <f>INDEX('feed pars'!H$6:H$43,MATCH(F217,'feed pars'!B$6:B$43,0))</f>
        <v>10.3</v>
      </c>
    </row>
    <row r="218" spans="1:11" x14ac:dyDescent="0.25">
      <c r="A218" t="s">
        <v>25</v>
      </c>
      <c r="E218" t="s">
        <v>299</v>
      </c>
      <c r="F218" t="s">
        <v>36</v>
      </c>
      <c r="J218" t="s">
        <v>18</v>
      </c>
      <c r="K218" s="26">
        <f>INDEX('feed pars'!H$6:H$43,MATCH(F218,'feed pars'!B$6:B$43,0))</f>
        <v>7.7</v>
      </c>
    </row>
    <row r="219" spans="1:11" x14ac:dyDescent="0.25">
      <c r="A219" t="s">
        <v>25</v>
      </c>
      <c r="E219" t="s">
        <v>299</v>
      </c>
      <c r="F219" t="s">
        <v>46</v>
      </c>
      <c r="J219" t="s">
        <v>18</v>
      </c>
      <c r="K219" s="26">
        <f>INDEX('feed pars'!H$6:H$43,MATCH(F219,'feed pars'!B$6:B$43,0))</f>
        <v>6.5</v>
      </c>
    </row>
    <row r="220" spans="1:11" x14ac:dyDescent="0.25">
      <c r="A220" t="s">
        <v>25</v>
      </c>
      <c r="E220" t="s">
        <v>299</v>
      </c>
      <c r="F220" t="s">
        <v>47</v>
      </c>
      <c r="J220" t="s">
        <v>18</v>
      </c>
      <c r="K220" s="26">
        <f>INDEX('feed pars'!H$6:H$43,MATCH(F220,'feed pars'!B$6:B$43,0))</f>
        <v>6.2</v>
      </c>
    </row>
    <row r="221" spans="1:11" x14ac:dyDescent="0.25">
      <c r="A221" t="s">
        <v>25</v>
      </c>
      <c r="E221" t="s">
        <v>299</v>
      </c>
      <c r="F221" t="s">
        <v>48</v>
      </c>
      <c r="J221" t="s">
        <v>18</v>
      </c>
      <c r="K221" s="26">
        <f>INDEX('feed pars'!H$6:H$43,MATCH(F221,'feed pars'!B$6:B$43,0))</f>
        <v>7.8</v>
      </c>
    </row>
    <row r="222" spans="1:11" x14ac:dyDescent="0.25">
      <c r="A222" t="s">
        <v>25</v>
      </c>
      <c r="E222" t="s">
        <v>299</v>
      </c>
      <c r="F222" t="s">
        <v>49</v>
      </c>
      <c r="J222" t="s">
        <v>18</v>
      </c>
      <c r="K222" s="26">
        <f>INDEX('feed pars'!H$6:H$43,MATCH(F222,'feed pars'!B$6:B$43,0))</f>
        <v>9.1999999999999993</v>
      </c>
    </row>
    <row r="223" spans="1:11" x14ac:dyDescent="0.25">
      <c r="A223" t="s">
        <v>25</v>
      </c>
      <c r="E223" t="s">
        <v>299</v>
      </c>
      <c r="F223" t="s">
        <v>50</v>
      </c>
      <c r="J223" t="s">
        <v>18</v>
      </c>
      <c r="K223" s="26">
        <f>INDEX('feed pars'!H$6:H$43,MATCH(F223,'feed pars'!B$6:B$43,0))</f>
        <v>8.6999999999999993</v>
      </c>
    </row>
    <row r="224" spans="1:11" x14ac:dyDescent="0.25">
      <c r="A224" t="s">
        <v>25</v>
      </c>
      <c r="E224" t="s">
        <v>299</v>
      </c>
      <c r="F224" t="s">
        <v>51</v>
      </c>
      <c r="J224" t="s">
        <v>18</v>
      </c>
      <c r="K224" s="26">
        <f>INDEX('feed pars'!H$6:H$43,MATCH(F224,'feed pars'!B$6:B$43,0))</f>
        <v>8.9</v>
      </c>
    </row>
    <row r="225" spans="1:14" x14ac:dyDescent="0.25">
      <c r="A225" t="s">
        <v>25</v>
      </c>
      <c r="E225" t="s">
        <v>299</v>
      </c>
      <c r="F225" t="s">
        <v>313</v>
      </c>
      <c r="J225" t="s">
        <v>18</v>
      </c>
      <c r="K225" s="26">
        <f>INDEX('feed pars'!H$6:H$43,MATCH(F225,'feed pars'!B$6:B$43,0))</f>
        <v>7.0888888888888877</v>
      </c>
    </row>
    <row r="226" spans="1:14" x14ac:dyDescent="0.25">
      <c r="A226" t="s">
        <v>25</v>
      </c>
      <c r="E226" t="s">
        <v>299</v>
      </c>
      <c r="F226" t="s">
        <v>52</v>
      </c>
      <c r="J226" t="s">
        <v>18</v>
      </c>
      <c r="K226" s="26">
        <f>INDEX('feed pars'!H$6:H$43,MATCH(F226,'feed pars'!B$6:B$43,0))</f>
        <v>9</v>
      </c>
    </row>
    <row r="227" spans="1:14" x14ac:dyDescent="0.25">
      <c r="A227" t="s">
        <v>25</v>
      </c>
      <c r="E227" t="s">
        <v>299</v>
      </c>
      <c r="F227" t="s">
        <v>53</v>
      </c>
      <c r="J227" t="s">
        <v>18</v>
      </c>
      <c r="K227" s="26">
        <f>INDEX('feed pars'!H$6:H$43,MATCH(F227,'feed pars'!B$6:B$43,0))</f>
        <v>8</v>
      </c>
    </row>
    <row r="228" spans="1:14" x14ac:dyDescent="0.25">
      <c r="A228" t="s">
        <v>25</v>
      </c>
      <c r="E228" t="s">
        <v>299</v>
      </c>
      <c r="F228" t="s">
        <v>54</v>
      </c>
      <c r="J228" t="s">
        <v>18</v>
      </c>
      <c r="K228" s="26">
        <f>INDEX('feed pars'!H$6:H$43,MATCH(F228,'feed pars'!B$6:B$43,0))</f>
        <v>12.2</v>
      </c>
    </row>
    <row r="229" spans="1:14" x14ac:dyDescent="0.25">
      <c r="A229" t="s">
        <v>25</v>
      </c>
      <c r="E229" t="s">
        <v>299</v>
      </c>
      <c r="F229" t="s">
        <v>55</v>
      </c>
      <c r="J229" t="s">
        <v>18</v>
      </c>
      <c r="K229" s="26">
        <f>INDEX('feed pars'!H$6:H$43,MATCH(F229,'feed pars'!B$6:B$43,0))</f>
        <v>12.2</v>
      </c>
    </row>
    <row r="230" spans="1:14" x14ac:dyDescent="0.25">
      <c r="A230" t="s">
        <v>25</v>
      </c>
      <c r="E230" t="s">
        <v>299</v>
      </c>
      <c r="F230" t="s">
        <v>56</v>
      </c>
      <c r="J230" t="s">
        <v>18</v>
      </c>
      <c r="K230" s="26">
        <f>INDEX('feed pars'!H$6:H$43,MATCH(F230,'feed pars'!B$6:B$43,0))</f>
        <v>11.3</v>
      </c>
    </row>
    <row r="231" spans="1:14" x14ac:dyDescent="0.25">
      <c r="A231" t="s">
        <v>25</v>
      </c>
      <c r="E231" t="s">
        <v>299</v>
      </c>
      <c r="F231" t="s">
        <v>57</v>
      </c>
      <c r="J231" t="s">
        <v>18</v>
      </c>
      <c r="K231" s="26">
        <f>INDEX('feed pars'!H$6:H$43,MATCH(F231,'feed pars'!B$6:B$43,0))</f>
        <v>10.8</v>
      </c>
    </row>
    <row r="232" spans="1:14" x14ac:dyDescent="0.25">
      <c r="A232" s="30" t="s">
        <v>392</v>
      </c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 t="s">
        <v>22</v>
      </c>
      <c r="M232" s="32"/>
      <c r="N232" s="32"/>
    </row>
    <row r="233" spans="1:14" x14ac:dyDescent="0.25">
      <c r="A233" t="s">
        <v>25</v>
      </c>
      <c r="F233" t="s">
        <v>17</v>
      </c>
      <c r="J233" t="s">
        <v>18</v>
      </c>
      <c r="K233" s="26">
        <f>INDEX('feed pars'!G$6:G$43,MATCH(F233,'feed pars'!B$6:B$43,0))</f>
        <v>12.1</v>
      </c>
    </row>
    <row r="234" spans="1:14" x14ac:dyDescent="0.25">
      <c r="A234" t="s">
        <v>25</v>
      </c>
      <c r="F234" t="s">
        <v>37</v>
      </c>
      <c r="J234" t="s">
        <v>18</v>
      </c>
      <c r="K234" s="26">
        <f>INDEX('feed pars'!G$6:G$43,MATCH(F234,'feed pars'!B$6:B$43,0))</f>
        <v>11</v>
      </c>
    </row>
    <row r="235" spans="1:14" x14ac:dyDescent="0.25">
      <c r="A235" t="s">
        <v>25</v>
      </c>
      <c r="F235" t="s">
        <v>38</v>
      </c>
      <c r="J235" t="s">
        <v>18</v>
      </c>
      <c r="K235" s="26">
        <f>INDEX('feed pars'!G$6:G$43,MATCH(F235,'feed pars'!B$6:B$43,0))</f>
        <v>9</v>
      </c>
    </row>
    <row r="236" spans="1:14" x14ac:dyDescent="0.25">
      <c r="A236" t="s">
        <v>25</v>
      </c>
      <c r="F236" t="s">
        <v>39</v>
      </c>
      <c r="J236" t="s">
        <v>18</v>
      </c>
      <c r="K236" s="26">
        <f>INDEX('feed pars'!G$6:G$43,MATCH(F236,'feed pars'!B$6:B$43,0))</f>
        <v>11.9</v>
      </c>
    </row>
    <row r="237" spans="1:14" x14ac:dyDescent="0.25">
      <c r="A237" t="s">
        <v>25</v>
      </c>
      <c r="F237" t="s">
        <v>40</v>
      </c>
      <c r="J237" t="s">
        <v>18</v>
      </c>
      <c r="K237" s="26">
        <f>INDEX('feed pars'!G$6:G$43,MATCH(F237,'feed pars'!B$6:B$43,0))</f>
        <v>12.8</v>
      </c>
    </row>
    <row r="238" spans="1:14" x14ac:dyDescent="0.25">
      <c r="A238" t="s">
        <v>25</v>
      </c>
      <c r="F238" t="s">
        <v>41</v>
      </c>
      <c r="J238" t="s">
        <v>18</v>
      </c>
      <c r="K238" s="26">
        <f>INDEX('feed pars'!G$6:G$43,MATCH(F238,'feed pars'!B$6:B$43,0))</f>
        <v>11.2</v>
      </c>
    </row>
    <row r="239" spans="1:14" x14ac:dyDescent="0.25">
      <c r="A239" t="s">
        <v>25</v>
      </c>
      <c r="F239" t="s">
        <v>42</v>
      </c>
      <c r="J239" t="s">
        <v>18</v>
      </c>
      <c r="K239" s="26">
        <f>INDEX('feed pars'!G$6:G$43,MATCH(F239,'feed pars'!B$6:B$43,0))</f>
        <v>10.7</v>
      </c>
    </row>
    <row r="240" spans="1:14" x14ac:dyDescent="0.25">
      <c r="A240" t="s">
        <v>25</v>
      </c>
      <c r="F240" t="s">
        <v>35</v>
      </c>
      <c r="J240" t="s">
        <v>18</v>
      </c>
      <c r="K240" s="26">
        <f>INDEX('feed pars'!G$6:G$43,MATCH(F240,'feed pars'!B$6:B$43,0))</f>
        <v>18</v>
      </c>
    </row>
    <row r="241" spans="1:11" x14ac:dyDescent="0.25">
      <c r="A241" t="s">
        <v>25</v>
      </c>
      <c r="F241" t="s">
        <v>43</v>
      </c>
      <c r="J241" t="s">
        <v>18</v>
      </c>
      <c r="K241" s="26">
        <f>INDEX('feed pars'!G$6:G$43,MATCH(F241,'feed pars'!B$6:B$43,0))</f>
        <v>17.3</v>
      </c>
    </row>
    <row r="242" spans="1:11" x14ac:dyDescent="0.25">
      <c r="A242" t="s">
        <v>25</v>
      </c>
      <c r="F242" t="s">
        <v>314</v>
      </c>
      <c r="J242" t="s">
        <v>18</v>
      </c>
      <c r="K242" s="26">
        <f>INDEX('feed pars'!G$6:G$43,MATCH(F242,'feed pars'!B$6:B$43,0))</f>
        <v>29.8</v>
      </c>
    </row>
    <row r="243" spans="1:11" x14ac:dyDescent="0.25">
      <c r="A243" t="s">
        <v>25</v>
      </c>
      <c r="F243" t="s">
        <v>44</v>
      </c>
      <c r="J243" t="s">
        <v>18</v>
      </c>
      <c r="K243" s="26">
        <f>INDEX('feed pars'!G$6:G$43,MATCH(F243,'feed pars'!B$6:B$43,0))</f>
        <v>9.3000000000000007</v>
      </c>
    </row>
    <row r="244" spans="1:11" x14ac:dyDescent="0.25">
      <c r="A244" t="s">
        <v>25</v>
      </c>
      <c r="F244" t="s">
        <v>45</v>
      </c>
      <c r="J244" t="s">
        <v>18</v>
      </c>
      <c r="K244" s="26">
        <f>INDEX('feed pars'!G$6:G$43,MATCH(F244,'feed pars'!B$6:B$43,0))</f>
        <v>9.6999999999999993</v>
      </c>
    </row>
    <row r="245" spans="1:11" x14ac:dyDescent="0.25">
      <c r="A245" t="s">
        <v>25</v>
      </c>
      <c r="F245" t="s">
        <v>36</v>
      </c>
      <c r="J245" t="s">
        <v>18</v>
      </c>
      <c r="K245" s="26">
        <f>INDEX('feed pars'!G$6:G$43,MATCH(F245,'feed pars'!B$6:B$43,0))</f>
        <v>7.1</v>
      </c>
    </row>
    <row r="246" spans="1:11" x14ac:dyDescent="0.25">
      <c r="A246" t="s">
        <v>25</v>
      </c>
      <c r="F246" t="s">
        <v>46</v>
      </c>
      <c r="J246" t="s">
        <v>18</v>
      </c>
      <c r="K246" s="26">
        <f>INDEX('feed pars'!G$6:G$43,MATCH(F246,'feed pars'!B$6:B$43,0))</f>
        <v>5.9</v>
      </c>
    </row>
    <row r="247" spans="1:11" x14ac:dyDescent="0.25">
      <c r="A247" t="s">
        <v>25</v>
      </c>
      <c r="F247" t="s">
        <v>47</v>
      </c>
      <c r="J247" t="s">
        <v>18</v>
      </c>
      <c r="K247" s="26">
        <f>INDEX('feed pars'!G$6:G$43,MATCH(F247,'feed pars'!B$6:B$43,0))</f>
        <v>5.4</v>
      </c>
    </row>
    <row r="248" spans="1:11" x14ac:dyDescent="0.25">
      <c r="A248" t="s">
        <v>25</v>
      </c>
      <c r="F248" t="s">
        <v>48</v>
      </c>
      <c r="J248" t="s">
        <v>18</v>
      </c>
      <c r="K248" s="26">
        <f>INDEX('feed pars'!G$6:G$43,MATCH(F248,'feed pars'!B$6:B$43,0))</f>
        <v>7.2</v>
      </c>
    </row>
    <row r="249" spans="1:11" x14ac:dyDescent="0.25">
      <c r="A249" t="s">
        <v>25</v>
      </c>
      <c r="F249" t="s">
        <v>49</v>
      </c>
      <c r="J249" t="s">
        <v>18</v>
      </c>
      <c r="K249" s="26">
        <f>INDEX('feed pars'!G$6:G$43,MATCH(F249,'feed pars'!B$6:B$43,0))</f>
        <v>8.6999999999999993</v>
      </c>
    </row>
    <row r="250" spans="1:11" x14ac:dyDescent="0.25">
      <c r="A250" t="s">
        <v>25</v>
      </c>
      <c r="F250" t="s">
        <v>50</v>
      </c>
      <c r="J250" t="s">
        <v>18</v>
      </c>
      <c r="K250" s="26">
        <f>INDEX('feed pars'!G$6:G$43,MATCH(F250,'feed pars'!B$6:B$43,0))</f>
        <v>8.1</v>
      </c>
    </row>
    <row r="251" spans="1:11" x14ac:dyDescent="0.25">
      <c r="A251" t="s">
        <v>25</v>
      </c>
      <c r="F251" t="s">
        <v>51</v>
      </c>
      <c r="J251" t="s">
        <v>18</v>
      </c>
      <c r="K251" s="26">
        <f>INDEX('feed pars'!G$6:G$43,MATCH(F251,'feed pars'!B$6:B$43,0))</f>
        <v>8.1999999999999993</v>
      </c>
    </row>
    <row r="252" spans="1:11" x14ac:dyDescent="0.25">
      <c r="A252" t="s">
        <v>25</v>
      </c>
      <c r="F252" t="s">
        <v>313</v>
      </c>
      <c r="J252" t="s">
        <v>18</v>
      </c>
      <c r="K252" s="26">
        <f>INDEX('feed pars'!G$6:G$43,MATCH(F252,'feed pars'!B$6:B$43,0))</f>
        <v>6.6</v>
      </c>
    </row>
    <row r="253" spans="1:11" x14ac:dyDescent="0.25">
      <c r="A253" t="s">
        <v>25</v>
      </c>
      <c r="F253" t="s">
        <v>52</v>
      </c>
      <c r="J253" t="s">
        <v>18</v>
      </c>
      <c r="K253" s="26">
        <f>INDEX('feed pars'!G$6:G$43,MATCH(F253,'feed pars'!B$6:B$43,0))</f>
        <v>8.6999999999999993</v>
      </c>
    </row>
    <row r="254" spans="1:11" x14ac:dyDescent="0.25">
      <c r="A254" t="s">
        <v>25</v>
      </c>
      <c r="F254" t="s">
        <v>53</v>
      </c>
      <c r="J254" t="s">
        <v>18</v>
      </c>
      <c r="K254" s="26">
        <f>INDEX('feed pars'!G$6:G$43,MATCH(F254,'feed pars'!B$6:B$43,0))</f>
        <v>6.9</v>
      </c>
    </row>
    <row r="255" spans="1:11" x14ac:dyDescent="0.25">
      <c r="A255" t="s">
        <v>25</v>
      </c>
      <c r="F255" t="s">
        <v>54</v>
      </c>
      <c r="J255" t="s">
        <v>18</v>
      </c>
      <c r="K255" s="26">
        <f>INDEX('feed pars'!G$6:G$43,MATCH(F255,'feed pars'!B$6:B$43,0))</f>
        <v>12.4</v>
      </c>
    </row>
    <row r="256" spans="1:11" x14ac:dyDescent="0.25">
      <c r="A256" t="s">
        <v>25</v>
      </c>
      <c r="F256" t="s">
        <v>55</v>
      </c>
      <c r="J256" t="s">
        <v>18</v>
      </c>
      <c r="K256" s="26">
        <f>INDEX('feed pars'!G$6:G$43,MATCH(F256,'feed pars'!B$6:B$43,0))</f>
        <v>12.4</v>
      </c>
    </row>
    <row r="257" spans="1:11" x14ac:dyDescent="0.25">
      <c r="A257" t="s">
        <v>25</v>
      </c>
      <c r="F257" t="s">
        <v>56</v>
      </c>
      <c r="J257" t="s">
        <v>18</v>
      </c>
      <c r="K257" s="26">
        <f>INDEX('feed pars'!G$6:G$43,MATCH(F257,'feed pars'!B$6:B$43,0))</f>
        <v>11.1</v>
      </c>
    </row>
    <row r="258" spans="1:11" x14ac:dyDescent="0.25">
      <c r="A258" t="s">
        <v>25</v>
      </c>
      <c r="F258" t="s">
        <v>57</v>
      </c>
      <c r="J258" t="s">
        <v>18</v>
      </c>
      <c r="K258" s="26">
        <f>INDEX('feed pars'!G$6:G$43,MATCH(F258,'feed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3"/>
  <sheetViews>
    <sheetView topLeftCell="A19" workbookViewId="0">
      <selection activeCell="K34" sqref="K34"/>
    </sheetView>
  </sheetViews>
  <sheetFormatPr defaultRowHeight="15" x14ac:dyDescent="0.25"/>
  <cols>
    <col min="2" max="2" width="27" bestFit="1" customWidth="1"/>
    <col min="3" max="5" width="7.5703125" customWidth="1"/>
  </cols>
  <sheetData>
    <row r="1" spans="2:15" x14ac:dyDescent="0.25">
      <c r="B1" t="s">
        <v>119</v>
      </c>
      <c r="C1" s="11" t="s">
        <v>118</v>
      </c>
      <c r="D1" s="11"/>
      <c r="E1" s="11"/>
    </row>
    <row r="3" spans="2:15" x14ac:dyDescent="0.25">
      <c r="C3" s="4" t="s">
        <v>307</v>
      </c>
      <c r="E3" s="4" t="s">
        <v>25</v>
      </c>
      <c r="J3" s="4" t="s">
        <v>24</v>
      </c>
      <c r="N3" s="4" t="s">
        <v>389</v>
      </c>
    </row>
    <row r="4" spans="2:15" x14ac:dyDescent="0.25">
      <c r="C4" s="4"/>
      <c r="E4" s="4" t="s">
        <v>297</v>
      </c>
      <c r="F4" s="4">
        <v>1</v>
      </c>
      <c r="G4" s="4">
        <v>2</v>
      </c>
      <c r="H4" s="4">
        <v>3</v>
      </c>
      <c r="I4" s="4"/>
      <c r="J4" s="4" t="s">
        <v>297</v>
      </c>
      <c r="K4" s="4">
        <v>1</v>
      </c>
      <c r="L4" s="4">
        <v>2</v>
      </c>
      <c r="M4" s="4"/>
      <c r="N4" s="4" t="s">
        <v>297</v>
      </c>
      <c r="O4" s="4">
        <v>1</v>
      </c>
    </row>
    <row r="5" spans="2:15" x14ac:dyDescent="0.25">
      <c r="B5" s="4" t="s">
        <v>58</v>
      </c>
      <c r="C5" s="4" t="s">
        <v>59</v>
      </c>
      <c r="E5" s="4" t="s">
        <v>298</v>
      </c>
      <c r="F5" s="4" t="s">
        <v>59</v>
      </c>
      <c r="G5" s="4" t="s">
        <v>120</v>
      </c>
      <c r="H5" s="4" t="s">
        <v>121</v>
      </c>
      <c r="I5" s="4"/>
      <c r="J5" s="4" t="s">
        <v>298</v>
      </c>
      <c r="K5" s="4" t="s">
        <v>59</v>
      </c>
      <c r="L5" s="4" t="s">
        <v>306</v>
      </c>
      <c r="N5" s="4" t="s">
        <v>298</v>
      </c>
      <c r="O5" s="4" t="s">
        <v>59</v>
      </c>
    </row>
    <row r="6" spans="2:15" x14ac:dyDescent="0.25">
      <c r="B6" t="s">
        <v>310</v>
      </c>
      <c r="C6">
        <v>100</v>
      </c>
      <c r="L6" s="27">
        <v>11.5</v>
      </c>
    </row>
    <row r="7" spans="2:15" x14ac:dyDescent="0.25">
      <c r="B7" t="s">
        <v>311</v>
      </c>
      <c r="C7">
        <v>100</v>
      </c>
      <c r="L7" s="27">
        <v>10.4</v>
      </c>
    </row>
    <row r="8" spans="2:15" x14ac:dyDescent="0.25">
      <c r="B8" t="s">
        <v>312</v>
      </c>
      <c r="C8">
        <v>100</v>
      </c>
      <c r="L8" s="25">
        <v>10</v>
      </c>
    </row>
    <row r="9" spans="2:15" x14ac:dyDescent="0.25">
      <c r="B9" t="s">
        <v>2</v>
      </c>
      <c r="C9">
        <v>100</v>
      </c>
      <c r="L9" s="27">
        <v>9.1</v>
      </c>
    </row>
    <row r="10" spans="2:15" x14ac:dyDescent="0.25">
      <c r="B10" t="s">
        <v>12</v>
      </c>
      <c r="C10">
        <v>100</v>
      </c>
      <c r="J10" s="4"/>
      <c r="L10" s="27">
        <v>11.3</v>
      </c>
    </row>
    <row r="11" spans="2:15" x14ac:dyDescent="0.25">
      <c r="B11" t="s">
        <v>33</v>
      </c>
      <c r="C11">
        <v>100</v>
      </c>
      <c r="L11" s="27">
        <v>10</v>
      </c>
    </row>
    <row r="12" spans="2:15" x14ac:dyDescent="0.25">
      <c r="B12" s="4"/>
      <c r="C12" s="4"/>
      <c r="E12" s="4"/>
      <c r="F12" s="4"/>
      <c r="G12" s="4"/>
      <c r="H12" s="4"/>
      <c r="I12" s="4"/>
      <c r="J12" s="4"/>
      <c r="K12" s="4"/>
      <c r="L12" s="28"/>
    </row>
    <row r="13" spans="2:15" x14ac:dyDescent="0.25">
      <c r="B13" t="s">
        <v>17</v>
      </c>
      <c r="C13" s="23">
        <f t="shared" ref="C13:C43" si="0">AVERAGE(F13,K13)</f>
        <v>87</v>
      </c>
      <c r="D13" s="4"/>
      <c r="E13" s="4">
        <f>MATCH($B13,pigs!$A$3:$A$60,0)</f>
        <v>53</v>
      </c>
      <c r="F13">
        <f>INDEX(pigs!$D$3:$AO$60,$E13,F$4)</f>
        <v>87</v>
      </c>
      <c r="G13">
        <f>INDEX(pigs!$D$3:$AO$60,$E13,G$4)</f>
        <v>12.1</v>
      </c>
      <c r="H13">
        <f>INDEX(pigs!$D$3:$AO$60,$E13,H$4)</f>
        <v>12.3</v>
      </c>
      <c r="J13" s="4">
        <f>MATCH($B13,cattle!$A$3:$A$120,0)</f>
        <v>112</v>
      </c>
      <c r="K13">
        <f>INDEX(cattle!$D$3:$AH$120,$J13,K$4)</f>
        <v>87</v>
      </c>
      <c r="L13" s="27">
        <f>INDEX(cattle!$D$3:$AH$120,$J13,L$4)</f>
        <v>14.1</v>
      </c>
      <c r="N13" s="4">
        <f>MATCH($B13,poultry!$A$3:$A$41,0)</f>
        <v>35</v>
      </c>
      <c r="O13">
        <f>INDEX(poultry!$D$3:$U$41,$N13,O$4)</f>
        <v>87</v>
      </c>
    </row>
    <row r="14" spans="2:15" x14ac:dyDescent="0.25">
      <c r="B14" t="s">
        <v>37</v>
      </c>
      <c r="C14" s="23">
        <f t="shared" si="0"/>
        <v>87</v>
      </c>
      <c r="D14" s="4"/>
      <c r="E14" s="4">
        <f>MATCH($B14,pigs!$A$3:$A$60,0)</f>
        <v>13</v>
      </c>
      <c r="F14">
        <f>INDEX(pigs!$D$3:$AO$60,$E14,F$4)</f>
        <v>87</v>
      </c>
      <c r="G14">
        <f>INDEX(pigs!$D$3:$AO$60,$E14,G$4)</f>
        <v>11</v>
      </c>
      <c r="H14">
        <f>INDEX(pigs!$D$3:$AO$60,$E14,H$4)</f>
        <v>11.2</v>
      </c>
      <c r="J14" s="4">
        <f>MATCH($B14,cattle!$A$3:$A$120,0)</f>
        <v>42</v>
      </c>
      <c r="K14">
        <f>INDEX(cattle!$D$3:$AH$120,$J14,K$4)</f>
        <v>87</v>
      </c>
      <c r="L14" s="27">
        <f>INDEX(cattle!$D$3:$AH$120,$J14,L$4)</f>
        <v>13.2</v>
      </c>
      <c r="N14" s="4">
        <f>MATCH($B14,poultry!$A$3:$A$41,0)</f>
        <v>16</v>
      </c>
      <c r="O14">
        <f>INDEX(poultry!$D$3:$U$41,$N14,O$4)</f>
        <v>87</v>
      </c>
    </row>
    <row r="15" spans="2:15" x14ac:dyDescent="0.25">
      <c r="B15" t="s">
        <v>38</v>
      </c>
      <c r="C15" s="23">
        <f t="shared" si="0"/>
        <v>86</v>
      </c>
      <c r="D15" s="4"/>
      <c r="E15" s="4">
        <f>MATCH($B15,pigs!$A$3:$A$60,0)</f>
        <v>11</v>
      </c>
      <c r="F15">
        <f>INDEX(pigs!$D$3:$AO$60,$E15,F$4)</f>
        <v>87</v>
      </c>
      <c r="G15">
        <f>INDEX(pigs!$D$3:$AO$60,$E15,G$4)</f>
        <v>9</v>
      </c>
      <c r="H15">
        <f>INDEX(pigs!$D$3:$AO$60,$E15,H$4)</f>
        <v>9.4</v>
      </c>
      <c r="J15" s="4">
        <f>MATCH($B15,cattle!$A$3:$A$120,0)</f>
        <v>28</v>
      </c>
      <c r="K15">
        <f>INDEX(cattle!$D$3:$AH$120,$J15,K$4)</f>
        <v>85</v>
      </c>
      <c r="L15" s="27">
        <f>INDEX(cattle!$D$3:$AH$120,$J15,L$4)</f>
        <v>11.7</v>
      </c>
      <c r="N15" s="4">
        <f>MATCH($B15,poultry!$A$3:$A$41,0)</f>
        <v>10</v>
      </c>
      <c r="O15">
        <f>INDEX(poultry!$D$3:$U$41,$N15,O$4)</f>
        <v>87</v>
      </c>
    </row>
    <row r="16" spans="2:15" x14ac:dyDescent="0.25">
      <c r="B16" t="s">
        <v>39</v>
      </c>
      <c r="C16" s="23">
        <f t="shared" si="0"/>
        <v>87</v>
      </c>
      <c r="D16" s="4"/>
      <c r="E16" s="4">
        <f>MATCH($B16,pigs!$A$3:$A$60,0)</f>
        <v>39</v>
      </c>
      <c r="F16">
        <f>INDEX(pigs!$D$3:$AO$60,$E16,F$4)</f>
        <v>87</v>
      </c>
      <c r="G16">
        <f>INDEX(pigs!$D$3:$AO$60,$E16,G$4)</f>
        <v>11.9</v>
      </c>
      <c r="H16">
        <f>INDEX(pigs!$D$3:$AO$60,$E16,H$4)</f>
        <v>12</v>
      </c>
      <c r="J16" s="4">
        <f>MATCH($B16,cattle!$A$3:$A$120,0)</f>
        <v>78</v>
      </c>
      <c r="K16">
        <f>INDEX(cattle!$D$3:$AH$120,$J16,K$4)</f>
        <v>87</v>
      </c>
      <c r="L16" s="27">
        <f>INDEX(cattle!$D$3:$AH$120,$J16,L$4)</f>
        <v>14</v>
      </c>
      <c r="N16" s="4">
        <f>MATCH($B16,poultry!$A$3:$A$41,0)</f>
        <v>31</v>
      </c>
      <c r="O16">
        <f>INDEX(poultry!$D$3:$U$41,$N16,O$4)</f>
        <v>89</v>
      </c>
    </row>
    <row r="17" spans="2:15" x14ac:dyDescent="0.25">
      <c r="B17" t="s">
        <v>317</v>
      </c>
      <c r="C17" s="23">
        <f t="shared" si="0"/>
        <v>87</v>
      </c>
      <c r="D17" s="4"/>
      <c r="E17" s="4">
        <f>MATCH($B17,pigs!$A$3:$A$60,0)</f>
        <v>38</v>
      </c>
      <c r="J17" s="4">
        <f>MATCH($B17,cattle!$A$3:$A$120,0)</f>
        <v>77</v>
      </c>
      <c r="K17">
        <f>INDEX(cattle!$D$3:$AH$120,$J17,K$4)</f>
        <v>87</v>
      </c>
      <c r="L17" s="27">
        <f>INDEX(cattle!$D$3:$AH$120,$J17,L$4)</f>
        <v>13.9</v>
      </c>
      <c r="N17" s="4">
        <f>MATCH($B17,poultry!$A$3:$A$41,0)</f>
        <v>30</v>
      </c>
      <c r="O17">
        <f>INDEX(poultry!$D$3:$U$41,$N17,O$4)</f>
        <v>87</v>
      </c>
    </row>
    <row r="18" spans="2:15" x14ac:dyDescent="0.25">
      <c r="B18" t="s">
        <v>40</v>
      </c>
      <c r="C18" s="23">
        <f t="shared" si="0"/>
        <v>67.5</v>
      </c>
      <c r="D18" s="4"/>
      <c r="E18" s="4">
        <f>MATCH($B18,pigs!$A$3:$A$60,0)</f>
        <v>19</v>
      </c>
      <c r="F18">
        <f>INDEX(pigs!$D$3:$AO$60,$E18,F$4)</f>
        <v>87</v>
      </c>
      <c r="G18">
        <f>INDEX(pigs!$D$3:$AO$60,$E18,G$4)</f>
        <v>12.8</v>
      </c>
      <c r="H18">
        <f>INDEX(pigs!$D$3:$AO$60,$E18,H$4)</f>
        <v>13.2</v>
      </c>
      <c r="J18" s="4">
        <f>MATCH($B18,cattle!$A$3:$A$120,0)</f>
        <v>53</v>
      </c>
      <c r="K18">
        <f>INDEX(cattle!$D$3:$AH$120,$J18,K$4)</f>
        <v>48</v>
      </c>
      <c r="L18" s="27">
        <f>INDEX(cattle!$D$3:$AH$120,$J18,L$4)</f>
        <v>12.8</v>
      </c>
      <c r="N18" s="4">
        <f>MATCH($B18,poultry!$A$3:$A$41,0)</f>
        <v>24</v>
      </c>
      <c r="O18">
        <f>INDEX(poultry!$D$3:$U$41,$N18,O$4)</f>
        <v>87</v>
      </c>
    </row>
    <row r="19" spans="2:15" x14ac:dyDescent="0.25">
      <c r="B19" t="s">
        <v>41</v>
      </c>
      <c r="C19" s="23">
        <f t="shared" si="0"/>
        <v>87</v>
      </c>
      <c r="D19" s="4"/>
      <c r="E19" s="4">
        <f>MATCH($B19,pigs!$A$3:$A$60,0)</f>
        <v>56</v>
      </c>
      <c r="F19">
        <f>INDEX(pigs!$D$3:$AO$60,$E19,F$4)</f>
        <v>87</v>
      </c>
      <c r="G19">
        <f>INDEX(pigs!$D$3:$AO$60,$E19,G$4)</f>
        <v>11.2</v>
      </c>
      <c r="H19">
        <f>INDEX(pigs!$D$3:$AO$60,$E19,H$4)</f>
        <v>11.5</v>
      </c>
      <c r="J19" s="4">
        <f>MATCH($B19,cattle!$A$3:$A$120,0)</f>
        <v>115</v>
      </c>
      <c r="K19">
        <f>INDEX(cattle!$D$3:$AH$120,$J19,K$4)</f>
        <v>87</v>
      </c>
      <c r="L19" s="27">
        <f>INDEX(cattle!$D$3:$AH$120,$J19,L$4)</f>
        <v>13.8</v>
      </c>
      <c r="N19" s="4">
        <f>MATCH($B19,poultry!$A$3:$A$41,0)</f>
        <v>39</v>
      </c>
      <c r="O19">
        <f>INDEX(poultry!$D$3:$U$41,$N19,O$4)</f>
        <v>87</v>
      </c>
    </row>
    <row r="20" spans="2:15" x14ac:dyDescent="0.25">
      <c r="B20" t="s">
        <v>42</v>
      </c>
      <c r="C20" s="23">
        <f t="shared" si="0"/>
        <v>86.8</v>
      </c>
      <c r="D20" s="4"/>
      <c r="E20" s="4">
        <f>MATCH($B20,pigs!$A$3:$A$60,0)</f>
        <v>57</v>
      </c>
      <c r="F20">
        <f>INDEX(pigs!$D$3:$AO$60,$E20,F$4)</f>
        <v>87</v>
      </c>
      <c r="G20">
        <f>INDEX(pigs!$D$3:$AO$60,$E20,G$4)</f>
        <v>10.7</v>
      </c>
      <c r="H20">
        <f>INDEX(pigs!$D$3:$AO$60,$E20,H$4)</f>
        <v>10.9</v>
      </c>
      <c r="J20" s="4"/>
      <c r="K20">
        <v>86.6</v>
      </c>
      <c r="L20" s="27">
        <v>13.3</v>
      </c>
      <c r="M20" t="s">
        <v>322</v>
      </c>
      <c r="N20" s="4"/>
    </row>
    <row r="21" spans="2:15" x14ac:dyDescent="0.25">
      <c r="B21" t="s">
        <v>35</v>
      </c>
      <c r="C21" s="23">
        <f t="shared" si="0"/>
        <v>92.5</v>
      </c>
      <c r="D21" s="4"/>
      <c r="E21" s="4">
        <f>MATCH($B21,pigs!$A$3:$A$60,0)</f>
        <v>33</v>
      </c>
      <c r="F21">
        <f>INDEX(pigs!$D$3:$AO$60,$E21,F$4)</f>
        <v>92</v>
      </c>
      <c r="G21">
        <f>INDEX(pigs!$D$3:$AO$60,$E21,G$4)</f>
        <v>18</v>
      </c>
      <c r="H21">
        <f>INDEX(pigs!$D$3:$AO$60,$E21,H$4)</f>
        <v>18.5</v>
      </c>
      <c r="J21" s="4">
        <f>MATCH($B21,cattle!$A$3:$A$120,0)</f>
        <v>71</v>
      </c>
      <c r="K21">
        <f>INDEX(cattle!$D$3:$AH$120,$J21,K$4)</f>
        <v>93</v>
      </c>
      <c r="L21" s="27">
        <f>INDEX(cattle!$D$3:$AH$120,$J21,L$4)</f>
        <v>22.1</v>
      </c>
      <c r="N21" s="4"/>
    </row>
    <row r="22" spans="2:15" x14ac:dyDescent="0.25">
      <c r="B22" t="s">
        <v>43</v>
      </c>
      <c r="C22" s="23">
        <f t="shared" si="0"/>
        <v>92</v>
      </c>
      <c r="D22" s="4"/>
      <c r="E22" s="4">
        <f>MATCH($B22,pigs!$A$3:$A$60,0)</f>
        <v>14</v>
      </c>
      <c r="F22">
        <f>INDEX(pigs!$D$3:$AO$60,$E22,F$4)</f>
        <v>91</v>
      </c>
      <c r="G22">
        <f>INDEX(pigs!$D$3:$AO$60,$E22,G$4)</f>
        <v>17.3</v>
      </c>
      <c r="H22">
        <f>INDEX(pigs!$D$3:$AO$60,$E22,H$4)</f>
        <v>17.5</v>
      </c>
      <c r="J22" s="4">
        <f>MATCH($B22,cattle!$A$3:$A$120,0)</f>
        <v>45</v>
      </c>
      <c r="K22">
        <f>INDEX(cattle!$D$3:$AH$120,$J22,K$4)</f>
        <v>93</v>
      </c>
      <c r="L22" s="27">
        <f>INDEX(cattle!$D$3:$AH$120,$J22,L$4)</f>
        <v>20.100000000000001</v>
      </c>
      <c r="N22" s="4"/>
    </row>
    <row r="23" spans="2:15" x14ac:dyDescent="0.25">
      <c r="B23" t="s">
        <v>314</v>
      </c>
      <c r="C23" s="23">
        <f t="shared" si="0"/>
        <v>100</v>
      </c>
      <c r="D23" s="4"/>
      <c r="E23" s="4">
        <f>MATCH($B23,pigs!$A$3:$A$60,0)</f>
        <v>28</v>
      </c>
      <c r="F23">
        <f>INDEX(pigs!$D$3:$AO$60,$E23,F$4)</f>
        <v>100</v>
      </c>
      <c r="G23">
        <f>INDEX(pigs!$D$3:$AO$60,$E23,G$4)</f>
        <v>29.8</v>
      </c>
      <c r="H23">
        <f>INDEX(pigs!$D$3:$AO$60,$E23,H$4)</f>
        <v>29.8</v>
      </c>
      <c r="J23" s="4"/>
      <c r="K23">
        <v>100</v>
      </c>
      <c r="L23" s="27">
        <v>36.6</v>
      </c>
      <c r="M23" t="s">
        <v>323</v>
      </c>
      <c r="N23" s="4">
        <f>MATCH($B23,poultry!$A$3:$A$41,0)</f>
        <v>1</v>
      </c>
      <c r="O23">
        <f>INDEX(poultry!$D$3:$U$41,$N23,O$4)</f>
        <v>99</v>
      </c>
    </row>
    <row r="24" spans="2:15" x14ac:dyDescent="0.25">
      <c r="B24" t="s">
        <v>305</v>
      </c>
      <c r="C24" s="23">
        <f t="shared" si="0"/>
        <v>85</v>
      </c>
      <c r="D24" s="4"/>
      <c r="E24" s="4"/>
      <c r="J24" s="4">
        <f>MATCH($B24,cattle!$A$3:$A$120,0)</f>
        <v>22</v>
      </c>
      <c r="K24">
        <f>INDEX(cattle!$D$3:$AH$120,$J24,K$4)</f>
        <v>85</v>
      </c>
      <c r="L24" s="27">
        <f>INDEX(cattle!$D$3:$AH$120,$J24,L$4)</f>
        <v>6.6</v>
      </c>
      <c r="N24" s="4"/>
    </row>
    <row r="25" spans="2:15" x14ac:dyDescent="0.25">
      <c r="B25" t="s">
        <v>318</v>
      </c>
      <c r="C25" s="23">
        <f t="shared" si="0"/>
        <v>87</v>
      </c>
      <c r="D25" s="4"/>
      <c r="E25" s="4"/>
      <c r="J25" s="4">
        <f>MATCH($B25,cattle!$A$3:$A$120,0)</f>
        <v>92</v>
      </c>
      <c r="K25">
        <f>INDEX(cattle!$D$3:$AH$120,$J25,K$4)</f>
        <v>87</v>
      </c>
      <c r="L25" s="27">
        <f>INDEX(cattle!$D$3:$AH$120,$J25,L$4)</f>
        <v>16.399999999999999</v>
      </c>
      <c r="N25" s="4"/>
    </row>
    <row r="26" spans="2:15" x14ac:dyDescent="0.25">
      <c r="B26" t="s">
        <v>44</v>
      </c>
      <c r="C26" s="23">
        <f t="shared" si="0"/>
        <v>87.5</v>
      </c>
      <c r="D26" s="4"/>
      <c r="E26" s="4">
        <f>MATCH($B26,pigs!$A$3:$A$60,0)</f>
        <v>43</v>
      </c>
      <c r="F26">
        <f>INDEX(pigs!$D$3:$AO$60,$E26,F$4)</f>
        <v>88</v>
      </c>
      <c r="G26">
        <f>INDEX(pigs!$D$3:$AO$60,$E26,G$4)</f>
        <v>9.3000000000000007</v>
      </c>
      <c r="H26">
        <f>INDEX(pigs!$D$3:$AO$60,$E26,H$4)</f>
        <v>9.9</v>
      </c>
      <c r="J26" s="4">
        <f>MATCH($B26,cattle!$A$3:$A$120,0)</f>
        <v>93</v>
      </c>
      <c r="K26">
        <f>INDEX(cattle!$D$3:$AH$120,$J26,K$4)</f>
        <v>87</v>
      </c>
      <c r="L26" s="27">
        <f>INDEX(cattle!$D$3:$AH$120,$J26,L$4)</f>
        <v>14.6</v>
      </c>
      <c r="N26" s="4">
        <f>MATCH($B26,poultry!$A$3:$A$41,0)</f>
        <v>33</v>
      </c>
      <c r="O26">
        <f>INDEX(poultry!$D$3:$U$41,$N26,O$4)</f>
        <v>87</v>
      </c>
    </row>
    <row r="27" spans="2:15" x14ac:dyDescent="0.25">
      <c r="B27" t="s">
        <v>45</v>
      </c>
      <c r="C27" s="23">
        <f t="shared" si="0"/>
        <v>87</v>
      </c>
      <c r="D27" s="4"/>
      <c r="E27" s="4">
        <f>MATCH($B27,pigs!$A$3:$A$60,0)</f>
        <v>45</v>
      </c>
      <c r="F27">
        <f>INDEX(pigs!$D$3:$AO$60,$E27,F$4)</f>
        <v>87</v>
      </c>
      <c r="G27">
        <f>INDEX(pigs!$D$3:$AO$60,$E27,G$4)</f>
        <v>9.6999999999999993</v>
      </c>
      <c r="H27">
        <f>INDEX(pigs!$D$3:$AO$60,$E27,H$4)</f>
        <v>10.3</v>
      </c>
      <c r="J27" s="4"/>
      <c r="L27" s="27"/>
      <c r="N27" s="4"/>
    </row>
    <row r="28" spans="2:15" x14ac:dyDescent="0.25">
      <c r="B28" t="s">
        <v>36</v>
      </c>
      <c r="C28" s="23">
        <f t="shared" si="0"/>
        <v>89.5</v>
      </c>
      <c r="D28" s="4"/>
      <c r="E28" s="4">
        <f>MATCH($B28,pigs!$A$3:$A$60,0)</f>
        <v>36</v>
      </c>
      <c r="F28">
        <f>INDEX(pigs!$D$3:$AO$60,$E28,F$4)</f>
        <v>89</v>
      </c>
      <c r="G28">
        <f>INDEX(pigs!$D$3:$AO$60,$E28,G$4)</f>
        <v>7.1</v>
      </c>
      <c r="H28">
        <f>INDEX(pigs!$D$3:$AO$60,$E28,H$4)</f>
        <v>7.7</v>
      </c>
      <c r="J28" s="4">
        <f>MATCH($B28,cattle!$A$3:$A$120,0)</f>
        <v>70</v>
      </c>
      <c r="K28">
        <f>INDEX(cattle!$D$3:$AH$120,$J28,K$4)</f>
        <v>90</v>
      </c>
      <c r="L28" s="27">
        <f>INDEX(cattle!$D$3:$AH$120,$J28,L$4)</f>
        <v>12.2</v>
      </c>
      <c r="N28" s="4">
        <f>MATCH($B28,poultry!$A$3:$A$41,0)</f>
        <v>29</v>
      </c>
      <c r="O28">
        <f>INDEX(poultry!$D$3:$U$41,$N28,O$4)</f>
        <v>90</v>
      </c>
    </row>
    <row r="29" spans="2:15" x14ac:dyDescent="0.25">
      <c r="B29" t="s">
        <v>46</v>
      </c>
      <c r="C29" s="23">
        <f t="shared" si="0"/>
        <v>91</v>
      </c>
      <c r="D29" s="4"/>
      <c r="E29" s="4">
        <f>MATCH($B29,pigs!$A$3:$A$60,0)</f>
        <v>46</v>
      </c>
      <c r="F29">
        <f>INDEX(pigs!$D$3:$AO$60,$E29,F$4)</f>
        <v>90</v>
      </c>
      <c r="G29">
        <f>INDEX(pigs!$D$3:$AO$60,$E29,G$4)</f>
        <v>5.9</v>
      </c>
      <c r="H29">
        <f>INDEX(pigs!$D$3:$AO$60,$E29,H$4)</f>
        <v>6.5</v>
      </c>
      <c r="J29" s="4">
        <f>MATCH($B29,cattle!$A$3:$A$120,0)</f>
        <v>99</v>
      </c>
      <c r="K29">
        <f>INDEX(cattle!$D$3:$AH$120,$J29,K$4)</f>
        <v>92</v>
      </c>
      <c r="L29" s="27">
        <f>INDEX(cattle!$D$3:$AH$120,$J29,L$4)</f>
        <v>11.4</v>
      </c>
      <c r="N29" s="4"/>
    </row>
    <row r="30" spans="2:15" x14ac:dyDescent="0.25">
      <c r="B30" t="s">
        <v>47</v>
      </c>
      <c r="C30" s="23">
        <f t="shared" si="0"/>
        <v>91</v>
      </c>
      <c r="D30" s="4"/>
      <c r="E30" s="4">
        <f>MATCH($B30,pigs!$A$3:$A$60,0)</f>
        <v>29</v>
      </c>
      <c r="F30">
        <f>INDEX(pigs!$D$3:$AO$60,$E30,F$4)</f>
        <v>91</v>
      </c>
      <c r="G30">
        <f>INDEX(pigs!$D$3:$AO$60,$E30,G$4)</f>
        <v>5.4</v>
      </c>
      <c r="H30">
        <f>INDEX(pigs!$D$3:$AO$60,$E30,H$4)</f>
        <v>6.2</v>
      </c>
      <c r="J30" s="4">
        <f>MATCH($B30,cattle!$A$3:$A$120,0)</f>
        <v>60</v>
      </c>
      <c r="K30">
        <f>INDEX(cattle!$D$3:$AH$120,$J30,K$4)</f>
        <v>91</v>
      </c>
      <c r="L30" s="27">
        <f>INDEX(cattle!$D$3:$AH$120,$J30,L$4)</f>
        <v>13.4</v>
      </c>
      <c r="N30" s="4"/>
    </row>
    <row r="31" spans="2:15" x14ac:dyDescent="0.25">
      <c r="B31" t="s">
        <v>319</v>
      </c>
      <c r="C31" s="23">
        <f t="shared" si="0"/>
        <v>90</v>
      </c>
      <c r="D31" s="4"/>
      <c r="E31" s="4"/>
      <c r="J31" s="4"/>
      <c r="K31">
        <v>90</v>
      </c>
      <c r="L31" s="27">
        <v>8.5</v>
      </c>
      <c r="M31" s="11" t="s">
        <v>320</v>
      </c>
      <c r="N31" s="4"/>
    </row>
    <row r="32" spans="2:15" x14ac:dyDescent="0.25">
      <c r="B32" t="s">
        <v>48</v>
      </c>
      <c r="C32" s="23">
        <f t="shared" si="0"/>
        <v>87</v>
      </c>
      <c r="D32" s="4"/>
      <c r="E32" s="4">
        <f>MATCH($B32,pigs!$A$3:$A$60,0)</f>
        <v>55</v>
      </c>
      <c r="F32">
        <f>INDEX(pigs!$D$3:$AO$60,$E32,F$4)</f>
        <v>87</v>
      </c>
      <c r="G32">
        <f>INDEX(pigs!$D$3:$AO$60,$E32,G$4)</f>
        <v>7.2</v>
      </c>
      <c r="H32">
        <f>INDEX(pigs!$D$3:$AO$60,$E32,H$4)</f>
        <v>7.8</v>
      </c>
      <c r="J32" s="4">
        <f>MATCH($B32,cattle!$A$3:$A$120,0)</f>
        <v>111</v>
      </c>
      <c r="K32">
        <f>INDEX(cattle!$D$3:$AH$120,$J32,K$4)</f>
        <v>87</v>
      </c>
      <c r="L32" s="27">
        <f>INDEX(cattle!$D$3:$AH$120,$J32,L$4)</f>
        <v>11</v>
      </c>
      <c r="N32" s="4">
        <f>MATCH($B32,poultry!$A$3:$A$41,0)</f>
        <v>38</v>
      </c>
      <c r="O32">
        <f>INDEX(poultry!$D$3:$U$41,$N32,O$4)</f>
        <v>87</v>
      </c>
    </row>
    <row r="33" spans="2:15" x14ac:dyDescent="0.25">
      <c r="B33" t="s">
        <v>49</v>
      </c>
      <c r="C33" s="23">
        <f t="shared" si="0"/>
        <v>88.5</v>
      </c>
      <c r="D33" s="4"/>
      <c r="E33" s="4">
        <f>MATCH($B33,pigs!$A$3:$A$60,0)</f>
        <v>54</v>
      </c>
      <c r="F33">
        <f>INDEX(pigs!$D$3:$AO$60,$E33,F$4)</f>
        <v>88</v>
      </c>
      <c r="G33">
        <f>INDEX(pigs!$D$3:$AO$60,$E33,G$4)</f>
        <v>8.6999999999999993</v>
      </c>
      <c r="H33">
        <f>INDEX(pigs!$D$3:$AO$60,$E33,H$4)</f>
        <v>9.1999999999999993</v>
      </c>
      <c r="J33" s="4"/>
      <c r="K33">
        <v>89</v>
      </c>
      <c r="L33" s="27">
        <v>11.5</v>
      </c>
      <c r="M33" s="11" t="s">
        <v>410</v>
      </c>
      <c r="N33" s="4">
        <f>MATCH($B33,poultry!$A$3:$A$41,0)</f>
        <v>36</v>
      </c>
      <c r="O33">
        <f>INDEX(poultry!$D$3:$U$41,$N33,O$4)</f>
        <v>87</v>
      </c>
    </row>
    <row r="34" spans="2:15" x14ac:dyDescent="0.25">
      <c r="B34" t="s">
        <v>50</v>
      </c>
      <c r="C34" s="23">
        <f t="shared" si="0"/>
        <v>90</v>
      </c>
      <c r="D34" s="4"/>
      <c r="E34" s="4">
        <f>MATCH($B34,pigs!$A$3:$A$60,0)</f>
        <v>3</v>
      </c>
      <c r="F34">
        <f>INDEX(pigs!$D$3:$AO$60,$E34,F$4)</f>
        <v>90</v>
      </c>
      <c r="G34">
        <f>INDEX(pigs!$D$3:$AO$60,$E34,G$4)</f>
        <v>8.1</v>
      </c>
      <c r="H34">
        <f>INDEX(pigs!$D$3:$AO$60,$E34,H$4)</f>
        <v>8.6999999999999993</v>
      </c>
      <c r="J34" s="4">
        <f>MATCH($B34,cattle!$A$3:$A$120,0)</f>
        <v>109</v>
      </c>
      <c r="K34">
        <f>INDEX(cattle!$D$3:$AH$120,$J34,K$4)</f>
        <v>90</v>
      </c>
      <c r="L34" s="27">
        <f>INDEX(cattle!$D$3:$AH$120,$J34,L$4)</f>
        <v>13.3</v>
      </c>
      <c r="N34" s="4"/>
    </row>
    <row r="35" spans="2:15" x14ac:dyDescent="0.25">
      <c r="B35" t="s">
        <v>51</v>
      </c>
      <c r="C35" s="23">
        <f t="shared" si="0"/>
        <v>11</v>
      </c>
      <c r="D35" s="4"/>
      <c r="E35" s="4">
        <f>MATCH($B35,pigs!$A$3:$A$60,0)</f>
        <v>1</v>
      </c>
      <c r="F35">
        <f>INDEX(pigs!$D$3:$AO$60,$E35,F$4)</f>
        <v>11</v>
      </c>
      <c r="G35">
        <f>INDEX(pigs!$D$3:$AO$60,$E35,G$4)</f>
        <v>8.1999999999999993</v>
      </c>
      <c r="H35">
        <f>INDEX(pigs!$D$3:$AO$60,$E35,H$4)</f>
        <v>8.9</v>
      </c>
      <c r="J35" s="4"/>
      <c r="L35" s="27"/>
      <c r="N35" s="4"/>
    </row>
    <row r="36" spans="2:15" x14ac:dyDescent="0.25">
      <c r="B36" t="s">
        <v>313</v>
      </c>
      <c r="C36" s="23">
        <f t="shared" si="0"/>
        <v>90</v>
      </c>
      <c r="D36" s="4"/>
      <c r="E36" s="4"/>
      <c r="F36">
        <v>90</v>
      </c>
      <c r="G36" s="3">
        <v>6.6</v>
      </c>
      <c r="H36" s="25">
        <f>H34/G34*G36</f>
        <v>7.0888888888888877</v>
      </c>
      <c r="I36" s="11" t="s">
        <v>316</v>
      </c>
      <c r="J36" s="4">
        <f>MATCH($B36,cattle!$A$3:$A$120,0)</f>
        <v>38</v>
      </c>
      <c r="K36">
        <f>INDEX(cattle!$D$3:$AH$120,$J36,K$4)</f>
        <v>90</v>
      </c>
      <c r="L36" s="27">
        <f>INDEX(cattle!$D$3:$AH$120,$J36,L$4)</f>
        <v>11.6</v>
      </c>
      <c r="N36" s="4"/>
    </row>
    <row r="37" spans="2:15" x14ac:dyDescent="0.25">
      <c r="B37" t="s">
        <v>388</v>
      </c>
      <c r="C37" s="23">
        <f>AVERAGE(F37,K37,O37)</f>
        <v>87</v>
      </c>
      <c r="D37" s="4"/>
      <c r="E37" s="4"/>
      <c r="G37" s="3"/>
      <c r="H37" s="25"/>
      <c r="I37" s="11"/>
      <c r="J37" s="4"/>
      <c r="L37" s="27"/>
      <c r="N37" s="4">
        <f>MATCH($B37,poultry!$A$3:$A$41,0)</f>
        <v>25</v>
      </c>
      <c r="O37">
        <f>INDEX(poultry!$D$3:$U$41,$N37,O$4)</f>
        <v>87</v>
      </c>
    </row>
    <row r="38" spans="2:15" x14ac:dyDescent="0.25">
      <c r="B38" t="s">
        <v>52</v>
      </c>
      <c r="C38" s="23">
        <f t="shared" si="0"/>
        <v>75.5</v>
      </c>
      <c r="D38" s="4"/>
      <c r="E38" s="4">
        <f>MATCH($B38,pigs!$A$3:$A$60,0)</f>
        <v>23</v>
      </c>
      <c r="F38">
        <f>INDEX(pigs!$D$3:$AO$60,$E38,F$4)</f>
        <v>76</v>
      </c>
      <c r="G38">
        <f>INDEX(pigs!$D$3:$AO$60,$E38,G$4)</f>
        <v>8.6999999999999993</v>
      </c>
      <c r="H38">
        <f>INDEX(pigs!$D$3:$AO$60,$E38,H$4)</f>
        <v>9</v>
      </c>
      <c r="J38" s="4">
        <f>MATCH($B38,cattle!$A$3:$A$120,0)</f>
        <v>88</v>
      </c>
      <c r="K38">
        <f>INDEX(cattle!$D$3:$AH$120,$J38,K$4)</f>
        <v>75</v>
      </c>
      <c r="L38" s="27">
        <f>INDEX(cattle!$D$3:$AH$120,$J38,L$4)</f>
        <v>12.4</v>
      </c>
      <c r="N38" s="4"/>
    </row>
    <row r="39" spans="2:15" x14ac:dyDescent="0.25">
      <c r="B39" t="s">
        <v>53</v>
      </c>
      <c r="C39" s="23">
        <f t="shared" si="0"/>
        <v>89.5</v>
      </c>
      <c r="D39" s="4"/>
      <c r="E39" s="4">
        <f>MATCH($B39,pigs!$A$3:$A$60,0)</f>
        <v>4</v>
      </c>
      <c r="F39">
        <f>INDEX(pigs!$D$3:$AO$60,$E39,F$4)</f>
        <v>89</v>
      </c>
      <c r="G39">
        <f>INDEX(pigs!$D$3:$AO$60,$E39,G$4)</f>
        <v>6.9</v>
      </c>
      <c r="H39">
        <f>INDEX(pigs!$D$3:$AO$60,$E39,H$4)</f>
        <v>8</v>
      </c>
      <c r="J39" s="4">
        <f>MATCH($B39,cattle!$A$3:$A$120,0)</f>
        <v>91</v>
      </c>
      <c r="K39">
        <f>INDEX(cattle!$D$3:$AH$120,$J39,K$4)</f>
        <v>90</v>
      </c>
      <c r="L39" s="27">
        <f>INDEX(cattle!$D$3:$AH$120,$J39,L$4)</f>
        <v>12.3</v>
      </c>
      <c r="N39" s="4"/>
    </row>
    <row r="40" spans="2:15" x14ac:dyDescent="0.25">
      <c r="B40" t="s">
        <v>54</v>
      </c>
      <c r="C40" s="23">
        <f t="shared" si="0"/>
        <v>6.25</v>
      </c>
      <c r="D40" s="4"/>
      <c r="E40" s="4">
        <f>MATCH($B40,pigs!$A$3:$A$60,0)</f>
        <v>50</v>
      </c>
      <c r="F40">
        <f>INDEX(pigs!$D$3:$AO$60,$E40,F$4)</f>
        <v>5.5</v>
      </c>
      <c r="G40">
        <f>INDEX(pigs!$D$3:$AO$60,$E40,G$4)</f>
        <v>12.4</v>
      </c>
      <c r="H40">
        <f>INDEX(pigs!$D$3:$AO$60,$E40,H$4)</f>
        <v>12.2</v>
      </c>
      <c r="J40" s="4">
        <f>MATCH($B40,cattle!$A$3:$A$120,0)</f>
        <v>57</v>
      </c>
      <c r="K40">
        <f>INDEX(cattle!$D$3:$AH$120,$J40,K$4)</f>
        <v>7</v>
      </c>
      <c r="L40" s="27">
        <f>INDEX(cattle!$D$3:$AH$120,$J40,L$4)</f>
        <v>13.6</v>
      </c>
      <c r="N40" s="4"/>
    </row>
    <row r="41" spans="2:15" x14ac:dyDescent="0.25">
      <c r="B41" t="s">
        <v>55</v>
      </c>
      <c r="C41" s="23">
        <f t="shared" si="0"/>
        <v>97</v>
      </c>
      <c r="D41" s="4"/>
      <c r="E41" s="4">
        <f>MATCH($B41,pigs!$A$3:$A$60,0)</f>
        <v>52</v>
      </c>
      <c r="F41">
        <f>INDEX(pigs!$D$3:$AO$60,$E41,F$4)</f>
        <v>97</v>
      </c>
      <c r="G41">
        <f>INDEX(pigs!$D$3:$AO$60,$E41,G$4)</f>
        <v>12.4</v>
      </c>
      <c r="H41">
        <f>INDEX(pigs!$D$3:$AO$60,$E41,H$4)</f>
        <v>12.2</v>
      </c>
      <c r="J41" s="4"/>
      <c r="L41" s="27"/>
      <c r="N41" s="4"/>
    </row>
    <row r="42" spans="2:15" x14ac:dyDescent="0.25">
      <c r="B42" t="s">
        <v>56</v>
      </c>
      <c r="C42" s="23">
        <f t="shared" si="0"/>
        <v>91</v>
      </c>
      <c r="D42" s="4"/>
      <c r="E42" s="4">
        <f>MATCH($B42,pigs!$A$3:$A$60,0)</f>
        <v>31</v>
      </c>
      <c r="F42">
        <f>INDEX(pigs!$D$3:$AO$60,$E42,F$4)</f>
        <v>92</v>
      </c>
      <c r="G42">
        <f>INDEX(pigs!$D$3:$AO$60,$E42,G$4)</f>
        <v>11.1</v>
      </c>
      <c r="H42">
        <f>INDEX(pigs!$D$3:$AO$60,$E42,H$4)</f>
        <v>11.3</v>
      </c>
      <c r="J42" s="4">
        <f>MATCH($B42,cattle!$A$3:$A$120,0)</f>
        <v>65</v>
      </c>
      <c r="K42">
        <f>INDEX(cattle!$D$3:$AH$120,$J42,K$4)</f>
        <v>90</v>
      </c>
      <c r="L42" s="27">
        <f>INDEX(cattle!$D$3:$AH$120,$J42,L$4)</f>
        <v>15.5</v>
      </c>
      <c r="N42" s="4">
        <f>MATCH($B42,poultry!$A$3:$A$41,0)</f>
        <v>28</v>
      </c>
      <c r="O42">
        <f>INDEX(poultry!$D$3:$U$41,$N42,O$4)</f>
        <v>90</v>
      </c>
    </row>
    <row r="43" spans="2:15" x14ac:dyDescent="0.25">
      <c r="B43" t="s">
        <v>57</v>
      </c>
      <c r="C43" s="23">
        <f t="shared" si="0"/>
        <v>92</v>
      </c>
      <c r="D43" s="4"/>
      <c r="E43" s="4">
        <f>MATCH($B43,pigs!$A$3:$A$60,0)</f>
        <v>7</v>
      </c>
      <c r="F43">
        <f>INDEX(pigs!$D$3:$AO$60,$E43,F$4)</f>
        <v>92</v>
      </c>
      <c r="G43">
        <f>INDEX(pigs!$D$3:$AO$60,$E43,G$4)</f>
        <v>10.8</v>
      </c>
      <c r="H43">
        <f>INDEX(pigs!$D$3:$AO$60,$E43,H$4)</f>
        <v>10.8</v>
      </c>
      <c r="J43" s="4"/>
      <c r="N43" s="4">
        <f>MATCH($B43,poultry!$A$3:$A$41,0)</f>
        <v>6</v>
      </c>
      <c r="O43">
        <f>INDEX(poultry!$D$3:$U$41,$N43,O$4)</f>
        <v>92</v>
      </c>
    </row>
  </sheetData>
  <hyperlinks>
    <hyperlink ref="C1" r:id="rId1"/>
    <hyperlink ref="I36" r:id="rId2"/>
    <hyperlink ref="M31" r:id="rId3"/>
    <hyperlink ref="M33" r:id="rId4"/>
  </hyperlinks>
  <pageMargins left="0.7" right="0.7" top="0.75" bottom="0.75" header="0.3" footer="0.3"/>
  <pageSetup paperSize="9"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54" workbookViewId="0">
      <selection activeCell="A41" sqref="A41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125</v>
      </c>
      <c r="C2" s="19" t="s">
        <v>128</v>
      </c>
      <c r="D2" s="19" t="s">
        <v>129</v>
      </c>
      <c r="E2" s="19" t="s">
        <v>124</v>
      </c>
      <c r="F2" s="19" t="s">
        <v>123</v>
      </c>
      <c r="G2" s="19" t="s">
        <v>122</v>
      </c>
      <c r="H2" s="19" t="s">
        <v>130</v>
      </c>
      <c r="I2" s="19" t="s">
        <v>131</v>
      </c>
      <c r="J2" s="19" t="s">
        <v>132</v>
      </c>
      <c r="K2" s="19" t="s">
        <v>126</v>
      </c>
      <c r="L2" s="19" t="s">
        <v>127</v>
      </c>
      <c r="M2" s="19" t="s">
        <v>133</v>
      </c>
      <c r="N2" s="19" t="s">
        <v>134</v>
      </c>
      <c r="O2" s="19" t="s">
        <v>135</v>
      </c>
      <c r="P2" s="19" t="s">
        <v>136</v>
      </c>
      <c r="Q2" s="19" t="s">
        <v>137</v>
      </c>
      <c r="R2" s="19" t="s">
        <v>138</v>
      </c>
      <c r="S2" s="19" t="s">
        <v>139</v>
      </c>
      <c r="T2" s="19" t="s">
        <v>140</v>
      </c>
      <c r="U2" s="19" t="s">
        <v>141</v>
      </c>
      <c r="V2" s="19" t="s">
        <v>142</v>
      </c>
      <c r="W2" s="19" t="s">
        <v>143</v>
      </c>
      <c r="X2" s="19" t="s">
        <v>144</v>
      </c>
      <c r="Y2" s="19" t="s">
        <v>145</v>
      </c>
      <c r="Z2" s="19" t="s">
        <v>146</v>
      </c>
      <c r="AA2" s="19" t="s">
        <v>147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153</v>
      </c>
      <c r="AH2" s="19" t="s">
        <v>154</v>
      </c>
      <c r="AI2" s="19" t="s">
        <v>155</v>
      </c>
      <c r="AJ2" s="19" t="s">
        <v>156</v>
      </c>
      <c r="AK2" s="19" t="s">
        <v>157</v>
      </c>
      <c r="AL2" s="19" t="s">
        <v>158</v>
      </c>
      <c r="AM2" s="19" t="s">
        <v>159</v>
      </c>
      <c r="AN2" s="19" t="s">
        <v>160</v>
      </c>
      <c r="AO2" s="19" t="s">
        <v>161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314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317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workbookViewId="0">
      <selection activeCell="C2" sqref="C2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125</v>
      </c>
      <c r="C2" s="19" t="s">
        <v>128</v>
      </c>
      <c r="D2" s="19" t="s">
        <v>129</v>
      </c>
      <c r="E2" s="19" t="s">
        <v>279</v>
      </c>
      <c r="F2" s="19" t="s">
        <v>280</v>
      </c>
      <c r="G2" s="19" t="s">
        <v>281</v>
      </c>
      <c r="H2" s="19" t="s">
        <v>282</v>
      </c>
      <c r="I2" s="19" t="s">
        <v>283</v>
      </c>
      <c r="J2" s="19" t="s">
        <v>284</v>
      </c>
      <c r="K2" s="19" t="s">
        <v>131</v>
      </c>
      <c r="L2" s="19" t="s">
        <v>132</v>
      </c>
      <c r="M2" s="19" t="s">
        <v>135</v>
      </c>
      <c r="N2" s="19" t="s">
        <v>285</v>
      </c>
      <c r="O2" s="19" t="s">
        <v>286</v>
      </c>
      <c r="P2" s="19" t="s">
        <v>287</v>
      </c>
      <c r="Q2" s="19" t="s">
        <v>288</v>
      </c>
      <c r="R2" s="19" t="s">
        <v>289</v>
      </c>
      <c r="S2" s="19" t="s">
        <v>290</v>
      </c>
      <c r="T2" s="19" t="s">
        <v>291</v>
      </c>
      <c r="U2" s="19" t="s">
        <v>292</v>
      </c>
      <c r="V2" s="19" t="s">
        <v>293</v>
      </c>
      <c r="W2" s="19" t="s">
        <v>134</v>
      </c>
      <c r="X2" s="19" t="s">
        <v>294</v>
      </c>
      <c r="Y2" s="19" t="s">
        <v>133</v>
      </c>
      <c r="Z2" s="19" t="s">
        <v>126</v>
      </c>
      <c r="AA2" s="19" t="s">
        <v>295</v>
      </c>
      <c r="AB2" s="19" t="s">
        <v>151</v>
      </c>
      <c r="AC2" s="19" t="s">
        <v>152</v>
      </c>
      <c r="AD2" s="19" t="s">
        <v>153</v>
      </c>
      <c r="AE2" s="19" t="s">
        <v>154</v>
      </c>
      <c r="AF2" s="19" t="s">
        <v>155</v>
      </c>
      <c r="AG2" s="19" t="s">
        <v>296</v>
      </c>
      <c r="AH2" s="19" t="s">
        <v>155</v>
      </c>
    </row>
    <row r="3" spans="1:34" x14ac:dyDescent="0.25">
      <c r="B3" s="12">
        <v>1</v>
      </c>
      <c r="C3" s="14" t="s">
        <v>162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163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164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165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166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167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168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169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170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171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172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173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174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175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176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177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178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179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180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181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182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305</v>
      </c>
      <c r="B24" s="15">
        <v>22</v>
      </c>
      <c r="C24" s="17" t="s">
        <v>183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184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185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186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187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188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189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190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191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192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193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194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195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196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197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313</v>
      </c>
      <c r="B40" s="15">
        <v>38</v>
      </c>
      <c r="C40" s="17" t="s">
        <v>198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199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200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201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202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203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204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205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206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207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208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209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210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211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212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213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214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215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216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217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218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219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220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221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222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223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224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225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308</v>
      </c>
      <c r="B68" s="15">
        <v>66</v>
      </c>
      <c r="C68" s="17" t="s">
        <v>226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227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228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229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230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231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232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233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234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235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236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317</v>
      </c>
      <c r="B79" s="12">
        <v>77</v>
      </c>
      <c r="C79" s="14" t="s">
        <v>237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238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239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240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241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242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243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244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245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246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247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248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249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250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251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318</v>
      </c>
      <c r="B94" s="15">
        <v>92</v>
      </c>
      <c r="C94" s="17" t="s">
        <v>252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253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254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255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256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257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258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259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260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261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262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263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264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265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266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267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268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269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270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271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272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273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274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275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276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277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278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9" workbookViewId="0">
      <selection activeCell="D33" sqref="D33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125</v>
      </c>
      <c r="C2" s="19" t="s">
        <v>128</v>
      </c>
      <c r="D2" s="19" t="s">
        <v>337</v>
      </c>
      <c r="E2" s="19" t="s">
        <v>338</v>
      </c>
      <c r="F2" s="19" t="s">
        <v>339</v>
      </c>
      <c r="G2" s="19" t="s">
        <v>340</v>
      </c>
      <c r="H2" s="19" t="s">
        <v>341</v>
      </c>
      <c r="I2" s="19" t="s">
        <v>342</v>
      </c>
      <c r="J2" s="19" t="s">
        <v>343</v>
      </c>
      <c r="K2" s="19" t="s">
        <v>344</v>
      </c>
      <c r="L2" s="19" t="s">
        <v>133</v>
      </c>
      <c r="M2" s="19" t="s">
        <v>134</v>
      </c>
      <c r="N2" s="19" t="s">
        <v>132</v>
      </c>
      <c r="O2" s="19" t="s">
        <v>151</v>
      </c>
      <c r="P2" s="19" t="s">
        <v>345</v>
      </c>
      <c r="Q2" s="19" t="s">
        <v>346</v>
      </c>
      <c r="R2" s="19" t="s">
        <v>154</v>
      </c>
      <c r="S2" s="19" t="s">
        <v>155</v>
      </c>
      <c r="T2" s="19" t="s">
        <v>347</v>
      </c>
      <c r="U2" s="19" t="s">
        <v>348</v>
      </c>
    </row>
    <row r="3" spans="1:21" x14ac:dyDescent="0.25">
      <c r="A3" t="s">
        <v>314</v>
      </c>
      <c r="B3" s="12">
        <v>1</v>
      </c>
      <c r="C3" s="14" t="s">
        <v>349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350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351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352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353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354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355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356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357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358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359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360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361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362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363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364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365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366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367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368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369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370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371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372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388</v>
      </c>
      <c r="B27" s="12">
        <v>25</v>
      </c>
      <c r="C27" s="14" t="s">
        <v>373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374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375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376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377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317</v>
      </c>
      <c r="B32" s="15">
        <v>30</v>
      </c>
      <c r="C32" s="17" t="s">
        <v>378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379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380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381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382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383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384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385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386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387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feed pars</vt:lpstr>
      <vt:lpstr>pigs</vt:lpstr>
      <vt:lpstr>cattle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2023-06-19T12:58:26Z</dcterms:modified>
</cp:coreProperties>
</file>