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22260" windowHeight="12645"/>
  </bookViews>
  <sheets>
    <sheet name="default" sheetId="1" r:id="rId1"/>
    <sheet name="refer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2" i="1" l="1"/>
  <c r="K67" i="1" l="1"/>
  <c r="K87" i="1"/>
  <c r="K86" i="1"/>
  <c r="K85" i="1"/>
  <c r="K94" i="1" l="1"/>
  <c r="K61" i="1" l="1"/>
  <c r="K60" i="1"/>
  <c r="K59" i="1"/>
  <c r="K47" i="1"/>
  <c r="K54" i="1" s="1"/>
  <c r="K46" i="1"/>
  <c r="K53" i="1" s="1"/>
  <c r="K45" i="1"/>
  <c r="K52" i="1" s="1"/>
  <c r="K40" i="1"/>
  <c r="K39" i="1"/>
  <c r="K38" i="1"/>
  <c r="K51" i="1"/>
  <c r="K81" i="1" l="1"/>
  <c r="K49" i="1" l="1"/>
  <c r="K50" i="1"/>
</calcChain>
</file>

<file path=xl/sharedStrings.xml><?xml version="1.0" encoding="utf-8"?>
<sst xmlns="http://schemas.openxmlformats.org/spreadsheetml/2006/main" count="319" uniqueCount="117">
  <si>
    <t>parameter</t>
  </si>
  <si>
    <t>value</t>
  </si>
  <si>
    <t>unit</t>
  </si>
  <si>
    <t>description</t>
  </si>
  <si>
    <t>source</t>
  </si>
  <si>
    <t>treatment_share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</si>
  <si>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</si>
  <si>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</si>
  <si>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</si>
  <si>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</si>
  <si>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</si>
  <si>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</si>
  <si>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</si>
  <si>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</si>
  <si>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</si>
  <si>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</si>
  <si>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</si>
  <si>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</si>
  <si>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kg C/kg VS</t>
  </si>
  <si>
    <t>kg DM/kg</t>
  </si>
  <si>
    <t>kg VS/kg DM</t>
  </si>
  <si>
    <t>kg N/kg DM</t>
  </si>
  <si>
    <t>kg P/kg DM</t>
  </si>
  <si>
    <t>kg K/kg DM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</si>
  <si>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</si>
  <si>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</si>
  <si>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</si>
  <si>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</si>
  <si>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</si>
  <si>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</si>
  <si>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</si>
  <si>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manure</t>
  </si>
  <si>
    <t>f_MMS</t>
  </si>
  <si>
    <t>Avfall Sverige (2009)</t>
  </si>
  <si>
    <t>biogas_flare_frac</t>
  </si>
  <si>
    <t>biogas_flare_slip</t>
  </si>
  <si>
    <t>biogas_CH4_slip</t>
  </si>
  <si>
    <t>% of CH4 prod</t>
  </si>
  <si>
    <t>% of CH4 to flare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</si>
  <si>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</si>
  <si>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</si>
  <si>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</si>
  <si>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</si>
  <si>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</si>
  <si>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</si>
  <si>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</si>
  <si>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</si>
  <si>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</si>
  <si>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</si>
  <si>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</si>
  <si>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</si>
  <si>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</si>
  <si>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</si>
  <si>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</si>
  <si>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</si>
  <si>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</si>
  <si>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</si>
  <si>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</si>
  <si>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</si>
  <si>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</si>
  <si>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</si>
  <si>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</si>
  <si>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</si>
  <si>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</si>
  <si>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</si>
  <si>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</si>
  <si>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</si>
  <si>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</si>
  <si>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</si>
  <si>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</si>
  <si>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</si>
  <si>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</si>
  <si>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</si>
  <si>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</si>
  <si>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</si>
  <si>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</si>
  <si>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 stat. Tabell 6</t>
  </si>
  <si>
    <t>f_energy_source</t>
  </si>
  <si>
    <t>Electricity</t>
  </si>
  <si>
    <t>District heating</t>
  </si>
  <si>
    <t>biogas_energy_use</t>
  </si>
  <si>
    <t>biogas_use_share</t>
  </si>
  <si>
    <t>biogas_use_CH4_slip</t>
  </si>
  <si>
    <t>biogas_use_energy_use</t>
  </si>
  <si>
    <t>Biomethane</t>
  </si>
  <si>
    <t>Biogas yield</t>
  </si>
  <si>
    <t>Reactor energy use</t>
  </si>
  <si>
    <t>Use of produced biogas</t>
  </si>
  <si>
    <t>Biogas methane fractions</t>
  </si>
  <si>
    <t>Digestate characteristics and losses</t>
  </si>
  <si>
    <t>share of energy</t>
  </si>
  <si>
    <t>50 MJ/kg</t>
  </si>
  <si>
    <t>kWh/kg</t>
  </si>
  <si>
    <t>Fallback</t>
  </si>
  <si>
    <t>Use phase CH4 slip and energy use</t>
  </si>
  <si>
    <t>f_energy_prod</t>
  </si>
  <si>
    <t>CH4_specific_energy</t>
  </si>
  <si>
    <t>kWh/kWh</t>
  </si>
  <si>
    <t>kWh/kg CH4</t>
  </si>
  <si>
    <t>Recalculated from 0.9 MJ/Nm3 raw biogas assuming 60%(vol) CH4 in biogas and 0.718 kg/Nm3 CH4</t>
  </si>
  <si>
    <t>% of CH4</t>
  </si>
  <si>
    <t>f_feedstock_type</t>
  </si>
  <si>
    <t>animal carcasses</t>
  </si>
  <si>
    <t>slaughterhouse waste</t>
  </si>
  <si>
    <t>f_feedstock</t>
  </si>
  <si>
    <t>f_feedstock_group</t>
  </si>
  <si>
    <t>f_treatment</t>
  </si>
  <si>
    <t>feedstock_C</t>
  </si>
  <si>
    <t>feedstock_DM</t>
  </si>
  <si>
    <t>feedstock_VS</t>
  </si>
  <si>
    <t>feedstock_B0</t>
  </si>
  <si>
    <t>feedstock_N</t>
  </si>
  <si>
    <t>feedstock_P</t>
  </si>
  <si>
    <t>feedstock_K</t>
  </si>
  <si>
    <t>food waste, household</t>
  </si>
  <si>
    <t>food waste, retail</t>
  </si>
  <si>
    <t>food waste, processing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</si>
</sst>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u/>
      <sz val="11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3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04"/>
  <sheetViews>
    <sheetView tabSelected="1" zoomScale="80" zoomScaleNormal="80" workbookViewId="0">
      <pane ySplit="1" topLeftCell="A47" activePane="bottomLeft" state="frozen"/>
      <selection pane="bottomLeft" activeCell="J62" sqref="J62"/>
    </sheetView>
  </sheetViews>
  <sheetFormatPr defaultRowHeight="15" x14ac:dyDescent="0.25"/>
  <cols>
    <col min="1" max="1" width="15.42578125" customWidth="1"/>
    <col min="2" max="2" width="17.85546875" bestFit="1" customWidth="1"/>
    <col min="3" max="3" width="22" bestFit="1" customWidth="1"/>
    <col min="4" max="4" width="14" customWidth="1"/>
    <col min="5" max="5" width="21.28515625" bestFit="1" customWidth="1"/>
    <col min="6" max="9" width="21.28515625" customWidth="1"/>
    <col min="10" max="10" width="25.7109375" customWidth="1"/>
    <col min="12" max="12" width="16.7109375" bestFit="1" customWidth="1"/>
    <col min="13" max="13" width="32.42578125" customWidth="1"/>
    <col min="14" max="14" width="20.7109375" customWidth="1"/>
  </cols>
  <sheetData>
    <row r="1" spans="1:14" x14ac:dyDescent="0.25">
      <c r="A1" s="1" t="s">
        <v>104</v>
      </c>
      <c r="B1" s="1" t="s">
        <v>105</v>
      </c>
      <c r="C1" s="1" t="s">
        <v>101</v>
      </c>
      <c r="D1" s="1" t="s">
        <v>32</v>
      </c>
      <c r="E1" s="1" t="s">
        <v>106</v>
      </c>
      <c r="F1" s="1" t="s">
        <v>63</v>
      </c>
      <c r="G1" s="1" t="s">
        <v>64</v>
      </c>
      <c r="H1" s="1" t="s">
        <v>95</v>
      </c>
      <c r="I1" s="1" t="s">
        <v>77</v>
      </c>
      <c r="J1" s="1" t="s">
        <v>0</v>
      </c>
      <c r="K1" s="1" t="s">
        <v>1</v>
      </c>
      <c r="L1" s="1" t="s">
        <v>2</v>
      </c>
      <c r="M1" s="1" t="s">
        <v>3</v>
      </c>
      <c r="N1" s="1" t="s">
        <v>4</v>
      </c>
    </row>
    <row r="3" spans="1:14" x14ac:dyDescent="0.25">
      <c r="A3" s="2" t="s">
        <v>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spans="1:14" x14ac:dyDescent="0.25">
      <c r="J5" s="3" t="s">
        <v>5</v>
      </c>
      <c r="K5" s="3">
        <v>0</v>
      </c>
      <c r="L5" s="3" t="s">
        <v>6</v>
      </c>
      <c r="M5" s="3" t="s">
        <v>7</v>
      </c>
    </row>
    <row r="7" spans="1:14" x14ac:dyDescent="0.25">
      <c r="C7" t="s">
        <v>114</v>
      </c>
      <c r="E7" t="s">
        <v>8</v>
      </c>
      <c r="J7" t="s">
        <v>5</v>
      </c>
      <c r="K7">
        <v>40</v>
      </c>
      <c r="L7" t="s">
        <v>6</v>
      </c>
      <c r="M7" t="s">
        <v>14</v>
      </c>
      <c r="N7" t="s">
        <v>13</v>
      </c>
    </row>
    <row r="8" spans="1:14" x14ac:dyDescent="0.25">
      <c r="C8" t="s">
        <v>114</v>
      </c>
      <c r="E8" t="s">
        <v>9</v>
      </c>
      <c r="J8" t="s">
        <v>5</v>
      </c>
      <c r="K8">
        <v>5</v>
      </c>
      <c r="L8" t="s">
        <v>6</v>
      </c>
    </row>
    <row r="9" spans="1:14" x14ac:dyDescent="0.25">
      <c r="C9" t="s">
        <v>114</v>
      </c>
      <c r="E9" t="s">
        <v>10</v>
      </c>
      <c r="J9" t="s">
        <v>5</v>
      </c>
      <c r="K9">
        <v>50</v>
      </c>
      <c r="L9" t="s">
        <v>6</v>
      </c>
    </row>
    <row r="10" spans="1:14" x14ac:dyDescent="0.25">
      <c r="C10" t="s">
        <v>114</v>
      </c>
      <c r="E10" t="s">
        <v>11</v>
      </c>
      <c r="J10" t="s">
        <v>5</v>
      </c>
      <c r="K10">
        <v>5</v>
      </c>
      <c r="L10" t="s">
        <v>6</v>
      </c>
    </row>
    <row r="12" spans="1:14" x14ac:dyDescent="0.25">
      <c r="C12" t="s">
        <v>115</v>
      </c>
      <c r="E12" t="s">
        <v>8</v>
      </c>
      <c r="J12" t="s">
        <v>5</v>
      </c>
      <c r="K12">
        <v>40</v>
      </c>
      <c r="L12" t="s">
        <v>6</v>
      </c>
      <c r="M12" t="s">
        <v>14</v>
      </c>
      <c r="N12" t="s">
        <v>13</v>
      </c>
    </row>
    <row r="13" spans="1:14" x14ac:dyDescent="0.25">
      <c r="C13" t="s">
        <v>115</v>
      </c>
      <c r="E13" t="s">
        <v>9</v>
      </c>
      <c r="J13" t="s">
        <v>5</v>
      </c>
      <c r="K13">
        <v>5</v>
      </c>
      <c r="L13" t="s">
        <v>6</v>
      </c>
    </row>
    <row r="14" spans="1:14" x14ac:dyDescent="0.25">
      <c r="C14" t="s">
        <v>115</v>
      </c>
      <c r="E14" t="s">
        <v>10</v>
      </c>
      <c r="J14" t="s">
        <v>5</v>
      </c>
      <c r="K14">
        <v>50</v>
      </c>
      <c r="L14" t="s">
        <v>6</v>
      </c>
    </row>
    <row r="15" spans="1:14" x14ac:dyDescent="0.25">
      <c r="C15" t="s">
        <v>115</v>
      </c>
      <c r="E15" t="s">
        <v>11</v>
      </c>
      <c r="J15" t="s">
        <v>5</v>
      </c>
      <c r="K15">
        <v>5</v>
      </c>
      <c r="L15" t="s">
        <v>6</v>
      </c>
    </row>
    <row r="17" spans="1:14" x14ac:dyDescent="0.25">
      <c r="C17" t="s">
        <v>116</v>
      </c>
      <c r="E17" t="s">
        <v>8</v>
      </c>
      <c r="J17" t="s">
        <v>5</v>
      </c>
      <c r="K17">
        <v>40</v>
      </c>
      <c r="L17" t="s">
        <v>6</v>
      </c>
      <c r="M17" t="s">
        <v>14</v>
      </c>
      <c r="N17" t="s">
        <v>13</v>
      </c>
    </row>
    <row r="18" spans="1:14" x14ac:dyDescent="0.25">
      <c r="C18" t="s">
        <v>116</v>
      </c>
      <c r="E18" t="s">
        <v>9</v>
      </c>
      <c r="J18" t="s">
        <v>5</v>
      </c>
      <c r="K18">
        <v>5</v>
      </c>
      <c r="L18" t="s">
        <v>6</v>
      </c>
    </row>
    <row r="19" spans="1:14" x14ac:dyDescent="0.25">
      <c r="C19" t="s">
        <v>116</v>
      </c>
      <c r="E19" t="s">
        <v>10</v>
      </c>
      <c r="J19" t="s">
        <v>5</v>
      </c>
      <c r="K19">
        <v>50</v>
      </c>
      <c r="L19" t="s">
        <v>6</v>
      </c>
    </row>
    <row r="20" spans="1:14" x14ac:dyDescent="0.25">
      <c r="C20" t="s">
        <v>116</v>
      </c>
      <c r="E20" t="s">
        <v>11</v>
      </c>
      <c r="J20" t="s">
        <v>5</v>
      </c>
      <c r="K20">
        <v>5</v>
      </c>
      <c r="L20" t="s">
        <v>6</v>
      </c>
    </row>
    <row r="22" spans="1:14" x14ac:dyDescent="0.25">
      <c r="C22" s="7" t="s">
        <v>102</v>
      </c>
      <c r="D22" s="7"/>
      <c r="E22" s="7" t="s">
        <v>8</v>
      </c>
      <c r="F22" s="7"/>
      <c r="G22" s="7"/>
      <c r="H22" s="7"/>
      <c r="I22" s="7"/>
      <c r="J22" s="7" t="s">
        <v>5</v>
      </c>
      <c r="K22" s="7">
        <v>100</v>
      </c>
      <c r="L22" s="7" t="s">
        <v>6</v>
      </c>
    </row>
    <row r="23" spans="1:14" x14ac:dyDescent="0.25">
      <c r="C23" s="7" t="s">
        <v>103</v>
      </c>
      <c r="D23" s="7"/>
      <c r="E23" s="7" t="s">
        <v>8</v>
      </c>
      <c r="F23" s="7"/>
      <c r="G23" s="7"/>
      <c r="H23" s="7"/>
      <c r="I23" s="7"/>
      <c r="J23" s="7" t="s">
        <v>5</v>
      </c>
      <c r="K23" s="7">
        <v>100</v>
      </c>
      <c r="L23" s="7" t="s">
        <v>6</v>
      </c>
    </row>
    <row r="25" spans="1:14" x14ac:dyDescent="0.25">
      <c r="C25" t="s">
        <v>31</v>
      </c>
      <c r="E25" t="s">
        <v>8</v>
      </c>
      <c r="J25" t="s">
        <v>5</v>
      </c>
      <c r="K25">
        <v>100</v>
      </c>
      <c r="L25" t="s">
        <v>6</v>
      </c>
    </row>
    <row r="27" spans="1:14" x14ac:dyDescent="0.25">
      <c r="A27" s="5" t="s">
        <v>16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</row>
    <row r="29" spans="1:14" x14ac:dyDescent="0.25">
      <c r="A29" s="4" t="s">
        <v>15</v>
      </c>
      <c r="B29" s="4"/>
      <c r="C29" t="s">
        <v>43</v>
      </c>
      <c r="E29" t="s">
        <v>8</v>
      </c>
      <c r="J29" t="s">
        <v>5</v>
      </c>
      <c r="K29">
        <v>100</v>
      </c>
      <c r="L29" t="s">
        <v>6</v>
      </c>
    </row>
    <row r="31" spans="1:14" x14ac:dyDescent="0.25">
      <c r="A31" s="2" t="s">
        <v>17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3" spans="1:15" x14ac:dyDescent="0.25">
      <c r="J33" s="3" t="s">
        <v>107</v>
      </c>
      <c r="K33" s="3">
        <v>0.5</v>
      </c>
      <c r="L33" s="3" t="s">
        <v>18</v>
      </c>
      <c r="M33" s="3" t="s">
        <v>7</v>
      </c>
    </row>
    <row r="35" spans="1:15" x14ac:dyDescent="0.25">
      <c r="A35" s="4"/>
      <c r="B35" s="4"/>
      <c r="C35" t="s">
        <v>114</v>
      </c>
      <c r="J35" t="s">
        <v>108</v>
      </c>
      <c r="K35">
        <v>0.33</v>
      </c>
      <c r="L35" t="s">
        <v>19</v>
      </c>
      <c r="M35" t="s">
        <v>26</v>
      </c>
      <c r="N35" t="s">
        <v>33</v>
      </c>
    </row>
    <row r="36" spans="1:15" x14ac:dyDescent="0.25">
      <c r="A36" s="4"/>
      <c r="B36" s="4"/>
      <c r="C36" t="s">
        <v>114</v>
      </c>
      <c r="J36" t="s">
        <v>109</v>
      </c>
      <c r="K36">
        <v>0.85</v>
      </c>
      <c r="L36" t="s">
        <v>20</v>
      </c>
      <c r="N36" t="s">
        <v>33</v>
      </c>
    </row>
    <row r="37" spans="1:15" x14ac:dyDescent="0.25">
      <c r="C37" t="s">
        <v>114</v>
      </c>
      <c r="J37" t="s">
        <v>110</v>
      </c>
      <c r="K37">
        <v>0.46100000000000002</v>
      </c>
      <c r="L37" t="s">
        <v>29</v>
      </c>
      <c r="N37" t="s">
        <v>33</v>
      </c>
    </row>
    <row r="38" spans="1:15" x14ac:dyDescent="0.25">
      <c r="A38" s="4"/>
      <c r="B38" s="4"/>
      <c r="C38" t="s">
        <v>114</v>
      </c>
      <c r="J38" t="s">
        <v>111</v>
      </c>
      <c r="K38" s="8">
        <f>8.3/1000/0.33</f>
        <v>2.515151515151515E-2</v>
      </c>
      <c r="L38" t="s">
        <v>21</v>
      </c>
      <c r="N38" t="s">
        <v>44</v>
      </c>
      <c r="O38" t="s">
        <v>48</v>
      </c>
    </row>
    <row r="39" spans="1:15" x14ac:dyDescent="0.25">
      <c r="A39" s="4"/>
      <c r="B39" s="4"/>
      <c r="C39" t="s">
        <v>114</v>
      </c>
      <c r="J39" t="s">
        <v>112</v>
      </c>
      <c r="K39" s="8">
        <f>1/1000/0.33</f>
        <v>3.0303030303030303E-3</v>
      </c>
      <c r="L39" t="s">
        <v>22</v>
      </c>
      <c r="N39" t="s">
        <v>44</v>
      </c>
    </row>
    <row r="40" spans="1:15" x14ac:dyDescent="0.25">
      <c r="A40" s="4"/>
      <c r="B40" s="4"/>
      <c r="C40" t="s">
        <v>114</v>
      </c>
      <c r="J40" t="s">
        <v>113</v>
      </c>
      <c r="K40" s="8">
        <f>2.6/1000/0.33</f>
        <v>7.8787878787878775E-3</v>
      </c>
      <c r="L40" t="s">
        <v>23</v>
      </c>
      <c r="N40" t="s">
        <v>44</v>
      </c>
    </row>
    <row r="42" spans="1:15" x14ac:dyDescent="0.25">
      <c r="A42" s="4"/>
      <c r="B42" s="4"/>
      <c r="C42" t="s">
        <v>115</v>
      </c>
      <c r="J42" t="s">
        <v>108</v>
      </c>
      <c r="K42">
        <v>0.15</v>
      </c>
      <c r="L42" t="s">
        <v>19</v>
      </c>
      <c r="N42" t="s">
        <v>44</v>
      </c>
    </row>
    <row r="43" spans="1:15" x14ac:dyDescent="0.25">
      <c r="A43" s="4"/>
      <c r="B43" s="4"/>
      <c r="C43" t="s">
        <v>115</v>
      </c>
      <c r="J43" t="s">
        <v>109</v>
      </c>
      <c r="K43" s="10">
        <v>0.9</v>
      </c>
      <c r="L43" t="s">
        <v>20</v>
      </c>
      <c r="M43" s="7"/>
      <c r="N43" t="s">
        <v>44</v>
      </c>
    </row>
    <row r="44" spans="1:15" x14ac:dyDescent="0.25">
      <c r="C44" t="s">
        <v>115</v>
      </c>
      <c r="J44" t="s">
        <v>110</v>
      </c>
      <c r="K44" s="8">
        <v>0.55000000000000004</v>
      </c>
      <c r="L44" t="s">
        <v>29</v>
      </c>
      <c r="N44" t="s">
        <v>44</v>
      </c>
    </row>
    <row r="45" spans="1:15" x14ac:dyDescent="0.25">
      <c r="A45" s="4"/>
      <c r="B45" s="4"/>
      <c r="C45" t="s">
        <v>115</v>
      </c>
      <c r="J45" t="s">
        <v>111</v>
      </c>
      <c r="K45" s="8">
        <f>3.8/1000/0.15</f>
        <v>2.5333333333333333E-2</v>
      </c>
      <c r="L45" t="s">
        <v>21</v>
      </c>
      <c r="N45" t="s">
        <v>44</v>
      </c>
    </row>
    <row r="46" spans="1:15" x14ac:dyDescent="0.25">
      <c r="A46" s="4"/>
      <c r="B46" s="4"/>
      <c r="C46" t="s">
        <v>115</v>
      </c>
      <c r="J46" t="s">
        <v>112</v>
      </c>
      <c r="K46" s="8">
        <f>0.5/1000/0.15</f>
        <v>3.3333333333333335E-3</v>
      </c>
      <c r="L46" t="s">
        <v>22</v>
      </c>
      <c r="N46" t="s">
        <v>44</v>
      </c>
    </row>
    <row r="47" spans="1:15" x14ac:dyDescent="0.25">
      <c r="A47" s="4"/>
      <c r="B47" s="4"/>
      <c r="C47" t="s">
        <v>115</v>
      </c>
      <c r="J47" t="s">
        <v>113</v>
      </c>
      <c r="K47" s="8">
        <f>1.2/1000/0.15</f>
        <v>8.0000000000000002E-3</v>
      </c>
      <c r="L47" t="s">
        <v>23</v>
      </c>
      <c r="N47" t="s">
        <v>44</v>
      </c>
    </row>
    <row r="49" spans="1:14" x14ac:dyDescent="0.25">
      <c r="A49" s="4"/>
      <c r="B49" s="4"/>
      <c r="C49" t="s">
        <v>116</v>
      </c>
      <c r="J49" t="s">
        <v>108</v>
      </c>
      <c r="K49" s="6">
        <f t="shared" ref="K49:K54" si="0">K42</f>
        <v>0.15</v>
      </c>
      <c r="L49" t="s">
        <v>19</v>
      </c>
      <c r="M49" s="7" t="s">
        <v>27</v>
      </c>
    </row>
    <row r="50" spans="1:14" x14ac:dyDescent="0.25">
      <c r="A50" s="4"/>
      <c r="B50" s="4"/>
      <c r="C50" t="s">
        <v>116</v>
      </c>
      <c r="J50" t="s">
        <v>109</v>
      </c>
      <c r="K50" s="6">
        <f t="shared" si="0"/>
        <v>0.9</v>
      </c>
      <c r="L50" t="s">
        <v>20</v>
      </c>
    </row>
    <row r="51" spans="1:14" x14ac:dyDescent="0.25">
      <c r="A51" s="4"/>
      <c r="B51" s="4"/>
      <c r="C51" t="s">
        <v>116</v>
      </c>
      <c r="J51" t="s">
        <v>110</v>
      </c>
      <c r="K51" s="9">
        <f t="shared" si="0"/>
        <v>0.55000000000000004</v>
      </c>
      <c r="L51" t="s">
        <v>29</v>
      </c>
    </row>
    <row r="52" spans="1:14" x14ac:dyDescent="0.25">
      <c r="A52" s="4"/>
      <c r="B52" s="4"/>
      <c r="C52" t="s">
        <v>116</v>
      </c>
      <c r="J52" t="s">
        <v>111</v>
      </c>
      <c r="K52" s="9">
        <f t="shared" si="0"/>
        <v>2.5333333333333333E-2</v>
      </c>
      <c r="L52" t="s">
        <v>21</v>
      </c>
    </row>
    <row r="53" spans="1:14" x14ac:dyDescent="0.25">
      <c r="A53" s="4"/>
      <c r="B53" s="4"/>
      <c r="C53" t="s">
        <v>116</v>
      </c>
      <c r="J53" t="s">
        <v>112</v>
      </c>
      <c r="K53" s="9">
        <f t="shared" si="0"/>
        <v>3.3333333333333335E-3</v>
      </c>
      <c r="L53" t="s">
        <v>22</v>
      </c>
    </row>
    <row r="54" spans="1:14" x14ac:dyDescent="0.25">
      <c r="A54" s="4"/>
      <c r="B54" s="4"/>
      <c r="C54" t="s">
        <v>116</v>
      </c>
      <c r="J54" t="s">
        <v>113</v>
      </c>
      <c r="K54" s="9">
        <f t="shared" si="0"/>
        <v>8.0000000000000002E-3</v>
      </c>
      <c r="L54" t="s">
        <v>23</v>
      </c>
    </row>
    <row r="56" spans="1:14" x14ac:dyDescent="0.25">
      <c r="A56" s="4" t="s">
        <v>15</v>
      </c>
      <c r="B56" s="4"/>
      <c r="C56" t="s">
        <v>43</v>
      </c>
      <c r="J56" t="s">
        <v>108</v>
      </c>
      <c r="K56">
        <v>1</v>
      </c>
      <c r="L56" t="s">
        <v>19</v>
      </c>
    </row>
    <row r="57" spans="1:14" x14ac:dyDescent="0.25">
      <c r="A57" s="4" t="s">
        <v>15</v>
      </c>
      <c r="B57" s="4"/>
      <c r="C57" t="s">
        <v>43</v>
      </c>
      <c r="J57" t="s">
        <v>109</v>
      </c>
      <c r="K57">
        <v>0.88</v>
      </c>
      <c r="L57" t="s">
        <v>20</v>
      </c>
      <c r="N57" t="s">
        <v>33</v>
      </c>
    </row>
    <row r="58" spans="1:14" x14ac:dyDescent="0.25">
      <c r="A58" s="4" t="s">
        <v>15</v>
      </c>
      <c r="B58" s="4"/>
      <c r="C58" t="s">
        <v>43</v>
      </c>
      <c r="J58" t="s">
        <v>110</v>
      </c>
      <c r="K58" s="8">
        <v>0.3</v>
      </c>
      <c r="L58" t="s">
        <v>29</v>
      </c>
      <c r="N58" t="s">
        <v>33</v>
      </c>
    </row>
    <row r="59" spans="1:14" x14ac:dyDescent="0.25">
      <c r="A59" s="4" t="s">
        <v>15</v>
      </c>
      <c r="B59" s="4"/>
      <c r="C59" t="s">
        <v>43</v>
      </c>
      <c r="J59" t="s">
        <v>111</v>
      </c>
      <c r="K59" s="4">
        <f>2.1/100</f>
        <v>2.1000000000000001E-2</v>
      </c>
      <c r="L59" t="s">
        <v>21</v>
      </c>
      <c r="N59" t="s">
        <v>47</v>
      </c>
    </row>
    <row r="60" spans="1:14" x14ac:dyDescent="0.25">
      <c r="A60" s="4" t="s">
        <v>15</v>
      </c>
      <c r="B60" s="4"/>
      <c r="C60" t="s">
        <v>43</v>
      </c>
      <c r="J60" t="s">
        <v>112</v>
      </c>
      <c r="K60" s="11">
        <f>0.27/100</f>
        <v>2.7000000000000001E-3</v>
      </c>
      <c r="L60" t="s">
        <v>22</v>
      </c>
      <c r="N60" t="s">
        <v>47</v>
      </c>
    </row>
    <row r="61" spans="1:14" x14ac:dyDescent="0.25">
      <c r="A61" s="4" t="s">
        <v>15</v>
      </c>
      <c r="B61" s="4"/>
      <c r="C61" t="s">
        <v>43</v>
      </c>
      <c r="J61" t="s">
        <v>113</v>
      </c>
      <c r="K61" s="11">
        <f>2.34/100</f>
        <v>2.3399999999999997E-2</v>
      </c>
      <c r="L61" t="s">
        <v>23</v>
      </c>
      <c r="N61" t="s">
        <v>47</v>
      </c>
    </row>
    <row r="62" spans="1:14" x14ac:dyDescent="0.25">
      <c r="A62" s="4"/>
      <c r="B62" s="4"/>
      <c r="K62" s="11"/>
    </row>
    <row r="63" spans="1:14" x14ac:dyDescent="0.25">
      <c r="A63" s="2" t="s">
        <v>55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 spans="1:14" x14ac:dyDescent="0.25">
      <c r="A65" s="4"/>
      <c r="B65" s="4"/>
      <c r="J65" t="s">
        <v>56</v>
      </c>
      <c r="K65" s="11">
        <v>0.71750000000000003</v>
      </c>
      <c r="L65" t="s">
        <v>57</v>
      </c>
      <c r="N65" t="s">
        <v>41</v>
      </c>
    </row>
    <row r="66" spans="1:14" x14ac:dyDescent="0.25">
      <c r="A66" s="4"/>
      <c r="B66" s="4"/>
      <c r="J66" t="s">
        <v>58</v>
      </c>
      <c r="K66" s="11">
        <v>1.9496</v>
      </c>
      <c r="L66" t="s">
        <v>57</v>
      </c>
      <c r="N66" t="s">
        <v>41</v>
      </c>
    </row>
    <row r="67" spans="1:14" x14ac:dyDescent="0.25">
      <c r="A67" s="4"/>
      <c r="B67" s="4"/>
      <c r="J67" t="s">
        <v>96</v>
      </c>
      <c r="K67" s="13">
        <f>50*(1/3.6)</f>
        <v>13.888888888888889</v>
      </c>
      <c r="L67" t="s">
        <v>92</v>
      </c>
      <c r="M67" t="s">
        <v>91</v>
      </c>
      <c r="N67" t="s">
        <v>41</v>
      </c>
    </row>
    <row r="69" spans="1:14" x14ac:dyDescent="0.25">
      <c r="A69" s="2" t="s">
        <v>24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25">
      <c r="A70" s="14" t="s">
        <v>85</v>
      </c>
    </row>
    <row r="71" spans="1:14" x14ac:dyDescent="0.25">
      <c r="J71" t="s">
        <v>30</v>
      </c>
      <c r="K71" s="4">
        <v>90</v>
      </c>
      <c r="L71" s="4" t="s">
        <v>6</v>
      </c>
      <c r="M71" s="4" t="s">
        <v>46</v>
      </c>
      <c r="N71" t="s">
        <v>44</v>
      </c>
    </row>
    <row r="72" spans="1:14" x14ac:dyDescent="0.25">
      <c r="J72" t="s">
        <v>36</v>
      </c>
      <c r="K72" s="4">
        <v>0.22</v>
      </c>
      <c r="L72" s="4" t="s">
        <v>37</v>
      </c>
      <c r="M72" s="7"/>
      <c r="N72" t="s">
        <v>53</v>
      </c>
    </row>
    <row r="73" spans="1:14" x14ac:dyDescent="0.25">
      <c r="J73" t="s">
        <v>34</v>
      </c>
      <c r="K73" s="4">
        <v>3.4</v>
      </c>
      <c r="L73" s="4" t="s">
        <v>37</v>
      </c>
      <c r="M73" s="7"/>
      <c r="N73" t="s">
        <v>76</v>
      </c>
    </row>
    <row r="74" spans="1:14" x14ac:dyDescent="0.25">
      <c r="J74" t="s">
        <v>35</v>
      </c>
      <c r="K74" s="4">
        <v>5</v>
      </c>
      <c r="L74" s="4" t="s">
        <v>38</v>
      </c>
      <c r="M74" s="7"/>
      <c r="N74" t="s">
        <v>53</v>
      </c>
    </row>
    <row r="75" spans="1:14" x14ac:dyDescent="0.25">
      <c r="A75" s="14" t="s">
        <v>86</v>
      </c>
      <c r="K75" s="4"/>
      <c r="L75" s="4"/>
      <c r="M75" s="7"/>
    </row>
    <row r="76" spans="1:14" x14ac:dyDescent="0.25">
      <c r="I76" t="s">
        <v>78</v>
      </c>
      <c r="J76" t="s">
        <v>80</v>
      </c>
      <c r="K76" s="4">
        <v>0.61</v>
      </c>
      <c r="L76" s="4" t="s">
        <v>39</v>
      </c>
      <c r="M76" s="4" t="s">
        <v>40</v>
      </c>
      <c r="N76" t="s">
        <v>41</v>
      </c>
    </row>
    <row r="77" spans="1:14" x14ac:dyDescent="0.25">
      <c r="I77" t="s">
        <v>79</v>
      </c>
      <c r="J77" t="s">
        <v>80</v>
      </c>
      <c r="K77" s="4">
        <v>0.99</v>
      </c>
      <c r="L77" s="4" t="s">
        <v>39</v>
      </c>
      <c r="M77" s="7"/>
      <c r="N77" t="s">
        <v>41</v>
      </c>
    </row>
    <row r="78" spans="1:14" x14ac:dyDescent="0.25">
      <c r="A78" s="14" t="s">
        <v>88</v>
      </c>
    </row>
    <row r="79" spans="1:14" x14ac:dyDescent="0.25">
      <c r="C79" t="s">
        <v>114</v>
      </c>
      <c r="J79" t="s">
        <v>25</v>
      </c>
      <c r="K79">
        <v>63</v>
      </c>
      <c r="L79" t="s">
        <v>54</v>
      </c>
      <c r="N79" t="s">
        <v>33</v>
      </c>
    </row>
    <row r="80" spans="1:14" x14ac:dyDescent="0.25">
      <c r="C80" t="s">
        <v>115</v>
      </c>
      <c r="J80" t="s">
        <v>25</v>
      </c>
      <c r="K80">
        <v>59</v>
      </c>
      <c r="L80" t="s">
        <v>54</v>
      </c>
      <c r="N80" t="s">
        <v>33</v>
      </c>
    </row>
    <row r="81" spans="1:14" x14ac:dyDescent="0.25">
      <c r="C81" t="s">
        <v>116</v>
      </c>
      <c r="J81" t="s">
        <v>25</v>
      </c>
      <c r="K81" s="6">
        <f>K80</f>
        <v>59</v>
      </c>
      <c r="L81" t="s">
        <v>54</v>
      </c>
      <c r="M81" s="7" t="s">
        <v>27</v>
      </c>
    </row>
    <row r="82" spans="1:14" x14ac:dyDescent="0.25">
      <c r="A82" s="4" t="s">
        <v>15</v>
      </c>
      <c r="B82" s="4"/>
      <c r="C82" t="s">
        <v>43</v>
      </c>
      <c r="J82" t="s">
        <v>25</v>
      </c>
      <c r="K82">
        <v>56</v>
      </c>
      <c r="L82" t="s">
        <v>54</v>
      </c>
      <c r="M82" t="s">
        <v>62</v>
      </c>
      <c r="N82" t="s">
        <v>33</v>
      </c>
    </row>
    <row r="83" spans="1:14" x14ac:dyDescent="0.25">
      <c r="C83" t="s">
        <v>31</v>
      </c>
      <c r="J83" t="s">
        <v>25</v>
      </c>
      <c r="K83" s="4">
        <v>65</v>
      </c>
      <c r="L83" t="s">
        <v>54</v>
      </c>
      <c r="M83" t="s">
        <v>61</v>
      </c>
      <c r="N83" t="s">
        <v>33</v>
      </c>
    </row>
    <row r="84" spans="1:14" x14ac:dyDescent="0.25">
      <c r="A84" s="14" t="s">
        <v>87</v>
      </c>
      <c r="K84" s="4"/>
      <c r="L84" s="4"/>
      <c r="M84" s="7"/>
    </row>
    <row r="85" spans="1:14" x14ac:dyDescent="0.25">
      <c r="H85" t="s">
        <v>84</v>
      </c>
      <c r="J85" t="s">
        <v>81</v>
      </c>
      <c r="K85" s="13">
        <f>1041/(50+3+1041)*100</f>
        <v>95.155393053016454</v>
      </c>
      <c r="L85" s="4" t="s">
        <v>6</v>
      </c>
      <c r="M85" s="4" t="s">
        <v>90</v>
      </c>
      <c r="N85" t="s">
        <v>76</v>
      </c>
    </row>
    <row r="86" spans="1:14" x14ac:dyDescent="0.25">
      <c r="H86" t="s">
        <v>79</v>
      </c>
      <c r="J86" t="s">
        <v>81</v>
      </c>
      <c r="K86" s="12">
        <f>50/(50+3+1041)*100</f>
        <v>4.5703839122486292</v>
      </c>
      <c r="L86" s="4" t="s">
        <v>6</v>
      </c>
      <c r="M86" s="4"/>
    </row>
    <row r="87" spans="1:14" x14ac:dyDescent="0.25">
      <c r="H87" t="s">
        <v>78</v>
      </c>
      <c r="J87" t="s">
        <v>81</v>
      </c>
      <c r="K87" s="12">
        <f>3/(50+3+1041)*100</f>
        <v>0.27422303473491771</v>
      </c>
      <c r="L87" s="4" t="s">
        <v>6</v>
      </c>
      <c r="M87" s="4"/>
    </row>
    <row r="88" spans="1:14" x14ac:dyDescent="0.25">
      <c r="A88" s="14" t="s">
        <v>94</v>
      </c>
      <c r="K88" s="4"/>
      <c r="L88" s="4"/>
      <c r="M88" s="4"/>
    </row>
    <row r="89" spans="1:14" x14ac:dyDescent="0.25">
      <c r="A89" s="15"/>
      <c r="B89" s="3"/>
      <c r="C89" s="3"/>
      <c r="D89" s="3"/>
      <c r="E89" s="3"/>
      <c r="F89" s="3"/>
      <c r="G89" s="3"/>
      <c r="H89" s="3"/>
      <c r="I89" s="3"/>
      <c r="J89" s="3" t="s">
        <v>82</v>
      </c>
      <c r="K89" s="3">
        <v>0</v>
      </c>
      <c r="L89" s="3" t="s">
        <v>6</v>
      </c>
      <c r="M89" s="3" t="s">
        <v>93</v>
      </c>
    </row>
    <row r="90" spans="1:14" x14ac:dyDescent="0.25">
      <c r="A90" s="15"/>
      <c r="B90" s="3"/>
      <c r="C90" s="3"/>
      <c r="D90" s="3"/>
      <c r="E90" s="3"/>
      <c r="F90" s="3"/>
      <c r="G90" s="3"/>
      <c r="H90" s="3"/>
      <c r="I90" s="3"/>
      <c r="J90" s="3" t="s">
        <v>83</v>
      </c>
      <c r="K90" s="3">
        <v>0</v>
      </c>
      <c r="L90" s="3" t="s">
        <v>97</v>
      </c>
      <c r="M90" s="3" t="s">
        <v>93</v>
      </c>
    </row>
    <row r="91" spans="1:14" x14ac:dyDescent="0.25">
      <c r="H91" t="s">
        <v>84</v>
      </c>
      <c r="J91" t="s">
        <v>82</v>
      </c>
      <c r="K91" s="4">
        <v>0.5</v>
      </c>
      <c r="L91" s="4" t="s">
        <v>100</v>
      </c>
      <c r="M91" s="7"/>
      <c r="N91" t="s">
        <v>53</v>
      </c>
    </row>
    <row r="92" spans="1:14" x14ac:dyDescent="0.25">
      <c r="H92" t="s">
        <v>84</v>
      </c>
      <c r="I92" t="s">
        <v>78</v>
      </c>
      <c r="J92" t="s">
        <v>83</v>
      </c>
      <c r="K92" s="10">
        <f>0.9 * (1/3.6) / 0.6 / 0.718</f>
        <v>0.5803156917363046</v>
      </c>
      <c r="L92" s="4" t="s">
        <v>98</v>
      </c>
      <c r="M92" s="4" t="s">
        <v>99</v>
      </c>
      <c r="N92" t="s">
        <v>53</v>
      </c>
    </row>
    <row r="93" spans="1:14" x14ac:dyDescent="0.25">
      <c r="A93" s="14" t="s">
        <v>89</v>
      </c>
      <c r="K93" s="4"/>
      <c r="L93" s="4"/>
      <c r="M93" s="7"/>
    </row>
    <row r="94" spans="1:14" x14ac:dyDescent="0.25">
      <c r="J94" t="s">
        <v>49</v>
      </c>
      <c r="K94" s="11">
        <f>238/0.74/1000</f>
        <v>0.32162162162162161</v>
      </c>
      <c r="L94" s="4" t="s">
        <v>29</v>
      </c>
      <c r="M94" s="7"/>
      <c r="N94" t="s">
        <v>53</v>
      </c>
    </row>
    <row r="95" spans="1:14" x14ac:dyDescent="0.25">
      <c r="J95" t="s">
        <v>59</v>
      </c>
      <c r="K95" s="12">
        <v>1.5</v>
      </c>
      <c r="L95" s="4" t="s">
        <v>60</v>
      </c>
      <c r="M95" s="7"/>
      <c r="N95" t="s">
        <v>53</v>
      </c>
    </row>
    <row r="96" spans="1:14" x14ac:dyDescent="0.25">
      <c r="J96" t="s">
        <v>50</v>
      </c>
      <c r="K96" s="13">
        <v>60</v>
      </c>
      <c r="L96" s="4" t="s">
        <v>51</v>
      </c>
      <c r="M96" s="7"/>
      <c r="N96" t="s">
        <v>53</v>
      </c>
    </row>
    <row r="98" spans="6:12" x14ac:dyDescent="0.25">
      <c r="F98" t="s">
        <v>65</v>
      </c>
      <c r="G98" t="s">
        <v>67</v>
      </c>
      <c r="J98" t="s">
        <v>66</v>
      </c>
      <c r="K98">
        <v>2.75</v>
      </c>
      <c r="L98" t="s">
        <v>51</v>
      </c>
    </row>
    <row r="99" spans="6:12" x14ac:dyDescent="0.25">
      <c r="F99" t="s">
        <v>65</v>
      </c>
      <c r="G99" t="s">
        <v>68</v>
      </c>
      <c r="J99" t="s">
        <v>66</v>
      </c>
      <c r="K99">
        <v>0</v>
      </c>
      <c r="L99" t="s">
        <v>71</v>
      </c>
    </row>
    <row r="100" spans="6:12" x14ac:dyDescent="0.25">
      <c r="F100" t="s">
        <v>65</v>
      </c>
      <c r="G100" t="s">
        <v>69</v>
      </c>
      <c r="J100" t="s">
        <v>66</v>
      </c>
      <c r="K100">
        <v>0</v>
      </c>
      <c r="L100" t="s">
        <v>51</v>
      </c>
    </row>
    <row r="101" spans="6:12" x14ac:dyDescent="0.25">
      <c r="F101" t="s">
        <v>65</v>
      </c>
      <c r="G101" t="s">
        <v>70</v>
      </c>
      <c r="J101" t="s">
        <v>66</v>
      </c>
      <c r="K101">
        <v>0</v>
      </c>
      <c r="L101" t="s">
        <v>71</v>
      </c>
    </row>
    <row r="103" spans="6:12" x14ac:dyDescent="0.25">
      <c r="F103" t="s">
        <v>72</v>
      </c>
      <c r="G103" t="s">
        <v>72</v>
      </c>
      <c r="J103" t="s">
        <v>66</v>
      </c>
      <c r="K103">
        <v>0</v>
      </c>
      <c r="L103" t="s">
        <v>74</v>
      </c>
    </row>
    <row r="104" spans="6:12" x14ac:dyDescent="0.25">
      <c r="F104" t="s">
        <v>73</v>
      </c>
      <c r="G104" t="s">
        <v>73</v>
      </c>
      <c r="J104" t="s">
        <v>66</v>
      </c>
      <c r="K104">
        <v>0</v>
      </c>
      <c r="L104" t="s">
        <v>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A5"/>
  <sheetViews>
    <sheetView workbookViewId="0">
      <selection activeCell="B37" sqref="B37"/>
    </sheetView>
  </sheetViews>
  <sheetFormatPr defaultRowHeight="15" x14ac:dyDescent="0.25"/>
  <sheetData>
    <row r="2" spans="1:1" x14ac:dyDescent="0.25">
      <c r="A2" t="s">
        <v>28</v>
      </c>
    </row>
    <row r="3" spans="1:1" x14ac:dyDescent="0.25">
      <c r="A3" t="s">
        <v>42</v>
      </c>
    </row>
    <row r="4" spans="1:1" x14ac:dyDescent="0.25">
      <c r="A4" t="s">
        <v>45</v>
      </c>
    </row>
    <row r="5" spans="1:1" x14ac:dyDescent="0.25">
      <c r="A5" t="s">
        <v>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2024-05-22T10:13:16Z</dcterms:modified>
</cp:coreProperties>
</file>