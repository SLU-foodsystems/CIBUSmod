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1520"/>
  </bookViews>
  <sheets>
    <sheet name="default" sheetId="1" r:id="rId1"/>
    <sheet name="Sheet1" sheetId="2" r:id="rId2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5" i="1" l="1"/>
  <c r="K212" i="1"/>
  <c r="K58" i="1" l="1"/>
  <c r="K137" i="1" l="1"/>
  <c r="K216" i="1" l="1"/>
  <c r="K214" i="1"/>
  <c r="K209" i="1"/>
  <c r="K206" i="1"/>
  <c r="K60" i="1" l="1"/>
  <c r="K59" i="1"/>
  <c r="K195" i="1" l="1"/>
  <c r="K196" i="1" s="1"/>
  <c r="K173" i="1" l="1"/>
  <c r="K172" i="1"/>
  <c r="K171" i="1"/>
  <c r="K235" i="1"/>
  <c r="K234" i="1"/>
  <c r="K236" i="1" l="1"/>
  <c r="K241" i="1"/>
  <c r="K92" i="1"/>
  <c r="K37" i="1"/>
  <c r="K38" i="1"/>
  <c r="K163" i="1" l="1"/>
  <c r="K162" i="1"/>
  <c r="K150" i="1"/>
  <c r="K233" i="1"/>
  <c r="K36" i="1"/>
  <c r="K161" i="1" l="1"/>
  <c r="K160" i="1"/>
  <c r="K159" i="1"/>
  <c r="K158" i="1"/>
  <c r="K156" i="1" l="1"/>
  <c r="K157" i="1" s="1"/>
  <c r="K154" i="1"/>
  <c r="K153" i="1" s="1"/>
  <c r="K152" i="1"/>
  <c r="K151" i="1" s="1"/>
  <c r="K149" i="1"/>
  <c r="K155" i="1" l="1"/>
  <c r="K168" i="1"/>
  <c r="K167" i="1"/>
  <c r="K166" i="1"/>
  <c r="K3" i="1" l="1"/>
</calcChain>
</file>

<file path=xl/sharedStrings.xml><?xml version="1.0" encoding="utf-8"?>
<sst xmlns="http://schemas.openxmlformats.org/spreadsheetml/2006/main" count="1145" uniqueCount="246">
  <si>
    <t>parameter</t>
  </si>
  <si>
    <t>value</t>
  </si>
  <si>
    <t>description</t>
  </si>
  <si>
    <t>source</t>
  </si>
  <si>
    <t>unit</t>
  </si>
  <si>
    <t>population</t>
  </si>
  <si>
    <t>millions</t>
  </si>
  <si>
    <t>SCB</t>
  </si>
  <si>
    <t>Swedish pop. in 2020</t>
  </si>
  <si>
    <t>DIET</t>
  </si>
  <si>
    <t>Cereals (excl. beer)</t>
  </si>
  <si>
    <t>Tubers or starchy vegetables</t>
  </si>
  <si>
    <t>Vegetables</t>
  </si>
  <si>
    <t>Fruits (excl. wine)</t>
  </si>
  <si>
    <t>Dairy foods</t>
  </si>
  <si>
    <t>Eggs</t>
  </si>
  <si>
    <t>Fish</t>
  </si>
  <si>
    <t>POPULATION</t>
  </si>
  <si>
    <t>consumption</t>
  </si>
  <si>
    <t>g/day</t>
  </si>
  <si>
    <t>Pulses and oil seeds</t>
  </si>
  <si>
    <t>Treenuts</t>
  </si>
  <si>
    <t>Vegetable oils</t>
  </si>
  <si>
    <t>Meat, offals and animal fats</t>
  </si>
  <si>
    <t>Sweeteners</t>
  </si>
  <si>
    <t>f_food_group</t>
  </si>
  <si>
    <t>cereals</t>
  </si>
  <si>
    <t>f_crop_prod</t>
  </si>
  <si>
    <t>f_by_prod</t>
  </si>
  <si>
    <t>Alcoholic beverages</t>
  </si>
  <si>
    <t>Stimulants</t>
  </si>
  <si>
    <t>Spices</t>
  </si>
  <si>
    <t>Wild food</t>
  </si>
  <si>
    <t>Novel foods</t>
  </si>
  <si>
    <t>WASTE</t>
  </si>
  <si>
    <t>Wheat and products</t>
  </si>
  <si>
    <t>f_animal_prod</t>
  </si>
  <si>
    <t>f_food</t>
  </si>
  <si>
    <t>wheat</t>
  </si>
  <si>
    <t>%</t>
  </si>
  <si>
    <t>IMPORT SHARES</t>
  </si>
  <si>
    <t>share_imported</t>
  </si>
  <si>
    <t>share_in_prod_system</t>
  </si>
  <si>
    <t>f_prod_system</t>
  </si>
  <si>
    <t>Rice and products</t>
  </si>
  <si>
    <t>organic</t>
  </si>
  <si>
    <t>Fallback</t>
  </si>
  <si>
    <t>conventional</t>
  </si>
  <si>
    <t>-</t>
  </si>
  <si>
    <t>f_origin</t>
  </si>
  <si>
    <t>Barley and products</t>
  </si>
  <si>
    <t>barley</t>
  </si>
  <si>
    <t>f_waste_level</t>
  </si>
  <si>
    <t>household</t>
  </si>
  <si>
    <t>retail</t>
  </si>
  <si>
    <t>processing</t>
  </si>
  <si>
    <t>waste_share</t>
  </si>
  <si>
    <t>Pig meat and products</t>
  </si>
  <si>
    <t>meat</t>
  </si>
  <si>
    <t>f_species</t>
  </si>
  <si>
    <t>pigs</t>
  </si>
  <si>
    <r>
      <t>CONVERSION FACTORS</t>
    </r>
    <r>
      <rPr>
        <sz val="11"/>
        <color theme="1"/>
        <rFont val="Calibri"/>
        <family val="2"/>
        <scheme val="minor"/>
      </rPr>
      <t xml:space="preserve"> (share of crop/animal product ending up as corresponding food or by-product)</t>
    </r>
  </si>
  <si>
    <t>milk</t>
  </si>
  <si>
    <t>cream</t>
  </si>
  <si>
    <t>Milk and products 1-2% fat</t>
  </si>
  <si>
    <t>Milk and products less than 1% fat</t>
  </si>
  <si>
    <t>Milk and products more than 2% fat</t>
  </si>
  <si>
    <t>Cheese</t>
  </si>
  <si>
    <t>Butter</t>
  </si>
  <si>
    <t>Cream low fat</t>
  </si>
  <si>
    <t>Cream high fat</t>
  </si>
  <si>
    <t>Icecream</t>
  </si>
  <si>
    <t>Sourcream</t>
  </si>
  <si>
    <t>whey</t>
  </si>
  <si>
    <t>0.5% fat (4.2% fat in raw milk and 40% in cream)</t>
  </si>
  <si>
    <t>1.5% fat</t>
  </si>
  <si>
    <t>3% fat</t>
  </si>
  <si>
    <t>12% fat</t>
  </si>
  <si>
    <t>13% fat</t>
  </si>
  <si>
    <t>40% fat</t>
  </si>
  <si>
    <t>80% fat</t>
  </si>
  <si>
    <t>10% fat</t>
  </si>
  <si>
    <t>cattle</t>
  </si>
  <si>
    <t>produced from milk w. 3% fat</t>
  </si>
  <si>
    <t>dairy</t>
  </si>
  <si>
    <t>buttermilk</t>
  </si>
  <si>
    <t>1% fat in buttermilk</t>
  </si>
  <si>
    <t>disagg?</t>
  </si>
  <si>
    <t>conv_factor_main</t>
  </si>
  <si>
    <t>conv_factor_by</t>
  </si>
  <si>
    <t>domestic</t>
  </si>
  <si>
    <t>Other cereals and products</t>
  </si>
  <si>
    <t>Oats and products</t>
  </si>
  <si>
    <t>Rye and products</t>
  </si>
  <si>
    <t>Maize and products</t>
  </si>
  <si>
    <t>need to check overlap with conversion factors</t>
  </si>
  <si>
    <t>rye</t>
  </si>
  <si>
    <t>oats</t>
  </si>
  <si>
    <t>FAO 1992</t>
  </si>
  <si>
    <t>calc from fat content</t>
  </si>
  <si>
    <t>SJV stat</t>
  </si>
  <si>
    <t>Bovine meat and products</t>
  </si>
  <si>
    <t>(1/0.76)=carcass weight--&gt;live weight</t>
  </si>
  <si>
    <t>(1/0.52)=carcass weight--&gt;live weight</t>
  </si>
  <si>
    <t>SJV stat (2016-2020)</t>
  </si>
  <si>
    <t>Potatoes, fresh</t>
  </si>
  <si>
    <t>Potatoes, frozen</t>
  </si>
  <si>
    <t>Starch of potatoes</t>
  </si>
  <si>
    <t>Potato flour, meal, powder, granulates and pellets of potatoes</t>
  </si>
  <si>
    <t>tubers</t>
  </si>
  <si>
    <t>where do we handle discarded potatoes?</t>
  </si>
  <si>
    <t>potatoes table</t>
  </si>
  <si>
    <t>potatoes starch</t>
  </si>
  <si>
    <t>Tomatoes and products</t>
  </si>
  <si>
    <t>vegetables</t>
  </si>
  <si>
    <t>tomatoes</t>
  </si>
  <si>
    <t>Cucumbers and gherkins</t>
  </si>
  <si>
    <t>cucumbers</t>
  </si>
  <si>
    <t>Beer from barley</t>
  </si>
  <si>
    <t>alcoholic beverages</t>
  </si>
  <si>
    <t>Assumed same as 'Barley and products'</t>
  </si>
  <si>
    <t>Chapter 16.2 in Pandey. 2009. Biotechnology for Agro-Industrial Residues Utilisation</t>
  </si>
  <si>
    <t>~75% water content. 20% of produced beer</t>
  </si>
  <si>
    <t>wheat bran</t>
  </si>
  <si>
    <t>wheat germ</t>
  </si>
  <si>
    <t>barley bran</t>
  </si>
  <si>
    <t>barley hulls</t>
  </si>
  <si>
    <t>rye bran</t>
  </si>
  <si>
    <t>oat offals</t>
  </si>
  <si>
    <t>potatoe offals</t>
  </si>
  <si>
    <t>pig offals</t>
  </si>
  <si>
    <t>pig slaughterhouse fat</t>
  </si>
  <si>
    <t>pig skins</t>
  </si>
  <si>
    <t>pig butcher fat</t>
  </si>
  <si>
    <t>cattle offals</t>
  </si>
  <si>
    <t>cattle slaughterhouse fat</t>
  </si>
  <si>
    <t>cattle skins</t>
  </si>
  <si>
    <t>cattle butcher fat</t>
  </si>
  <si>
    <t>barley brewers grain</t>
  </si>
  <si>
    <t>Rape and mustard oil and products</t>
  </si>
  <si>
    <t>vegetable oils</t>
  </si>
  <si>
    <t>rapeseed</t>
  </si>
  <si>
    <t>rapeseed meal</t>
  </si>
  <si>
    <t>rapeseed cake</t>
  </si>
  <si>
    <t>calc. based on 45.5% fat in seed and 20% fat in cold pressed cake</t>
  </si>
  <si>
    <t>1/3 of oil other added here</t>
  </si>
  <si>
    <t>Sunflowerseed oil and products</t>
  </si>
  <si>
    <t>Olive oil and products</t>
  </si>
  <si>
    <t>Carrots and turnips</t>
  </si>
  <si>
    <t>carrots</t>
  </si>
  <si>
    <t>Cabbages (and cauliflower &amp; broccoli)</t>
  </si>
  <si>
    <t>Lettuce and spinach</t>
  </si>
  <si>
    <t>Pumpkins, squash and gourds</t>
  </si>
  <si>
    <t>Peas, green</t>
  </si>
  <si>
    <t>Onions, dry</t>
  </si>
  <si>
    <t>peas green</t>
  </si>
  <si>
    <t>cabbages etc</t>
  </si>
  <si>
    <t>lettuce and spinach</t>
  </si>
  <si>
    <t>pumpkins and squash</t>
  </si>
  <si>
    <t>other vegetables</t>
  </si>
  <si>
    <t>onions</t>
  </si>
  <si>
    <t>Other vegetables</t>
  </si>
  <si>
    <t>assumed same as wheat</t>
  </si>
  <si>
    <t>100% in Hanna's sheet</t>
  </si>
  <si>
    <r>
      <t>PRODUCTION SYSTEM SHARES</t>
    </r>
    <r>
      <rPr>
        <sz val="11"/>
        <color theme="1"/>
        <rFont val="Calibri"/>
        <family val="2"/>
        <scheme val="minor"/>
      </rPr>
      <t xml:space="preserve"> (shares can be different for 'domestic' and 'imported' by specifying 'f_origin')</t>
    </r>
  </si>
  <si>
    <t>Raps</t>
  </si>
  <si>
    <t>Kanske används lite I FAME. Troligen ej I HVO</t>
  </si>
  <si>
    <t>Kan vara annat, såpa</t>
  </si>
  <si>
    <t>Margarin, Hanna kollar</t>
  </si>
  <si>
    <t>Hönsen?</t>
  </si>
  <si>
    <t>Fiskfoder? Export till Norge?</t>
  </si>
  <si>
    <t>Potatis stärkelse</t>
  </si>
  <si>
    <t>Konsumption kan vara underskattad</t>
  </si>
  <si>
    <t>Finns det export</t>
  </si>
  <si>
    <t>Vete</t>
  </si>
  <si>
    <t>200 000 ton foder</t>
  </si>
  <si>
    <t>600 000 ton spannmål (absolut majoritet vete) per år till Agroetanol. Även lite rågvete</t>
  </si>
  <si>
    <t>Morötter</t>
  </si>
  <si>
    <t>Morötter till foder</t>
  </si>
  <si>
    <t>Avg. of "Klass 1&amp;2" and "Klass 3"</t>
  </si>
  <si>
    <t>Ekologiska årsrapporten 2021</t>
  </si>
  <si>
    <t>From share organic raw milk to dairies. Using product level shares difficult</t>
  </si>
  <si>
    <t>From prod. stat</t>
  </si>
  <si>
    <t>"Havregryn"</t>
  </si>
  <si>
    <t>"Sallat"</t>
  </si>
  <si>
    <t>"Morötter"</t>
  </si>
  <si>
    <t>"Lök"</t>
  </si>
  <si>
    <t>"Gurka"</t>
  </si>
  <si>
    <t>"Tomater"</t>
  </si>
  <si>
    <t>barley malt culms</t>
  </si>
  <si>
    <t>maltgroddar</t>
  </si>
  <si>
    <t>Share conventional is calculated as what remains (value should be -100). Do not specify per food</t>
  </si>
  <si>
    <t>oat hulls</t>
  </si>
  <si>
    <t>Wheat and products, refined</t>
  </si>
  <si>
    <t>Barley and products, refined</t>
  </si>
  <si>
    <t>Rye and products, refined</t>
  </si>
  <si>
    <t>Oats and products, refined</t>
  </si>
  <si>
    <t>Other cereals and products, refined</t>
  </si>
  <si>
    <t>Wheat and products, whole grain</t>
  </si>
  <si>
    <t>Barley and products, whole grain</t>
  </si>
  <si>
    <t>Rye and products, whole grain</t>
  </si>
  <si>
    <t>Oats and products, whole grain</t>
  </si>
  <si>
    <t>flour of mixed grain</t>
  </si>
  <si>
    <t>Other cereals and products, whole grain</t>
  </si>
  <si>
    <t>EXPORTS</t>
  </si>
  <si>
    <t>tonnes</t>
  </si>
  <si>
    <t>potatoe protein</t>
  </si>
  <si>
    <t>2% prot. in potatoes, 50% recovery, 84.4% prot. in potatoe protein DM, 90% DM</t>
  </si>
  <si>
    <t>Pers. Com. Kalle Johansson, Lyckeby, 2023-05</t>
  </si>
  <si>
    <t>Biofuel, ethanol</t>
  </si>
  <si>
    <t>Biofuel, RME</t>
  </si>
  <si>
    <t xml:space="preserve">SJV 2015. Marknadsöversikt potatis till mat och stärkelseproduktion </t>
  </si>
  <si>
    <t>Used in paper industry</t>
  </si>
  <si>
    <t>Produced from domestic rapseed</t>
  </si>
  <si>
    <t>non_food_demand</t>
  </si>
  <si>
    <t>exports</t>
  </si>
  <si>
    <t>BIOENERGY AND OTHER NON-FOOD DEMAND</t>
  </si>
  <si>
    <t>Bioenergy</t>
  </si>
  <si>
    <t>non-food</t>
  </si>
  <si>
    <t>Assuming Oil:RME = 1:1</t>
  </si>
  <si>
    <t>Peas, dry</t>
  </si>
  <si>
    <t>Broad beans and horse beans, dry</t>
  </si>
  <si>
    <t>Beans, dry</t>
  </si>
  <si>
    <t>Chick peas, dry</t>
  </si>
  <si>
    <t>Lentils, dry</t>
  </si>
  <si>
    <t>pulses</t>
  </si>
  <si>
    <t>1/3 of oil other added here + margarine*0.6</t>
  </si>
  <si>
    <t>Potato flour</t>
  </si>
  <si>
    <t>made from starch potatoes??</t>
  </si>
  <si>
    <t>peas</t>
  </si>
  <si>
    <t>broad beans</t>
  </si>
  <si>
    <t>beans</t>
  </si>
  <si>
    <t>"Ärtor/bönor/linser torkade"</t>
  </si>
  <si>
    <t>Ekologiska årsrapporten 2022</t>
  </si>
  <si>
    <t>same as refined</t>
  </si>
  <si>
    <t>Sugar and products</t>
  </si>
  <si>
    <t>Honey</t>
  </si>
  <si>
    <t>Other sweeteners</t>
  </si>
  <si>
    <t>sweeteners</t>
  </si>
  <si>
    <t>same as sugar</t>
  </si>
  <si>
    <t>may be higher?</t>
  </si>
  <si>
    <t>sirup and maple syrup</t>
  </si>
  <si>
    <t>sugar beet</t>
  </si>
  <si>
    <r>
      <rPr>
        <sz val="11"/>
        <color rgb="FFFF0000"/>
        <rFont val="Calibri"/>
        <family val="2"/>
        <scheme val="minor"/>
      </rPr>
      <t>Higher factor for syrup than sugar?</t>
    </r>
    <r>
      <rPr>
        <sz val="11"/>
        <color theme="1"/>
        <rFont val="Calibri"/>
        <family val="2"/>
        <scheme val="minor"/>
      </rPr>
      <t xml:space="preserve"> Assumed from sugar beet for domestic prod</t>
    </r>
  </si>
  <si>
    <t>beet pulp</t>
  </si>
  <si>
    <t>molasses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</si>
</sst>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0" borderId="0" xfId="0" applyBorder="1"/>
    <xf numFmtId="0" fontId="0" fillId="0" borderId="0" xfId="0" applyFill="1" applyBorder="1"/>
    <xf numFmtId="0" fontId="3" fillId="0" borderId="0" xfId="0" applyFont="1" applyBorder="1"/>
    <xf numFmtId="0" fontId="3" fillId="0" borderId="0" xfId="0" applyFont="1" applyFill="1" applyBorder="1"/>
    <xf numFmtId="1" fontId="3" fillId="0" borderId="0" xfId="0" applyNumberFormat="1" applyFont="1" applyBorder="1"/>
    <xf numFmtId="164" fontId="3" fillId="0" borderId="0" xfId="0" applyNumberFormat="1" applyFont="1"/>
    <xf numFmtId="1" fontId="3" fillId="0" borderId="0" xfId="0" applyNumberFormat="1" applyFont="1" applyFill="1" applyBorder="1"/>
    <xf numFmtId="1" fontId="5" fillId="0" borderId="0" xfId="0" applyNumberFormat="1" applyFont="1"/>
    <xf numFmtId="1" fontId="0" fillId="0" borderId="0" xfId="0" applyNumberFormat="1" applyFill="1" applyBorder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1" fontId="5" fillId="0" borderId="0" xfId="0" applyNumberFormat="1" applyFont="1" applyBorder="1"/>
    <xf numFmtId="1" fontId="0" fillId="0" borderId="0" xfId="0" applyNumberFormat="1"/>
    <xf numFmtId="164" fontId="0" fillId="0" borderId="0" xfId="0" applyNumberFormat="1"/>
    <xf numFmtId="1" fontId="3" fillId="0" borderId="0" xfId="0" applyNumberFormat="1" applyFont="1"/>
    <xf numFmtId="9" fontId="0" fillId="0" borderId="0" xfId="0" applyNumberFormat="1"/>
    <xf numFmtId="0" fontId="2" fillId="0" borderId="0" xfId="0" applyFont="1"/>
    <xf numFmtId="0" fontId="6" fillId="0" borderId="0" xfId="0" applyFont="1"/>
    <xf numFmtId="0" fontId="7" fillId="0" borderId="0" xfId="0" applyFont="1"/>
    <xf numFmtId="2" fontId="5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1"/>
  <sheetViews>
    <sheetView tabSelected="1" zoomScale="80" zoomScaleNormal="80" zoomScaleSheetLayoutView="80" workbookViewId="0">
      <pane ySplit="1" topLeftCell="A78" activePane="bottomLeft" state="frozen"/>
      <selection pane="bottomLeft" activeCell="K104" sqref="K104"/>
    </sheetView>
  </sheetViews>
  <sheetFormatPr defaultRowHeight="15" x14ac:dyDescent="0.25"/>
  <cols>
    <col min="1" max="1" width="41.42578125" customWidth="1"/>
    <col min="2" max="2" width="19" customWidth="1"/>
    <col min="3" max="5" width="15.42578125" customWidth="1"/>
    <col min="6" max="6" width="19.42578125" customWidth="1"/>
    <col min="7" max="9" width="14.28515625" customWidth="1"/>
    <col min="10" max="10" width="21.42578125" bestFit="1" customWidth="1"/>
    <col min="13" max="13" width="48" customWidth="1"/>
    <col min="14" max="14" width="18.28515625" customWidth="1"/>
  </cols>
  <sheetData>
    <row r="1" spans="1:14" x14ac:dyDescent="0.25">
      <c r="A1" s="2" t="s">
        <v>37</v>
      </c>
      <c r="B1" s="2" t="s">
        <v>25</v>
      </c>
      <c r="C1" s="2" t="s">
        <v>27</v>
      </c>
      <c r="D1" s="2" t="s">
        <v>59</v>
      </c>
      <c r="E1" s="2" t="s">
        <v>36</v>
      </c>
      <c r="F1" s="2" t="s">
        <v>28</v>
      </c>
      <c r="G1" s="2" t="s">
        <v>49</v>
      </c>
      <c r="H1" s="2" t="s">
        <v>43</v>
      </c>
      <c r="I1" s="2" t="s">
        <v>52</v>
      </c>
      <c r="J1" s="2" t="s">
        <v>0</v>
      </c>
      <c r="K1" s="2" t="s">
        <v>1</v>
      </c>
      <c r="L1" s="2" t="s">
        <v>4</v>
      </c>
      <c r="M1" s="2" t="s">
        <v>2</v>
      </c>
      <c r="N1" s="2" t="s">
        <v>3</v>
      </c>
    </row>
    <row r="2" spans="1:14" x14ac:dyDescent="0.25">
      <c r="A2" s="3" t="s">
        <v>17</v>
      </c>
      <c r="B2" s="3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</row>
    <row r="3" spans="1:14" x14ac:dyDescent="0.25">
      <c r="J3" t="s">
        <v>5</v>
      </c>
      <c r="K3" s="1">
        <f>(5222847+5156448)/1000000</f>
        <v>10.379295000000001</v>
      </c>
      <c r="L3" t="s">
        <v>6</v>
      </c>
      <c r="M3" t="s">
        <v>8</v>
      </c>
      <c r="N3" t="s">
        <v>7</v>
      </c>
    </row>
    <row r="5" spans="1:14" x14ac:dyDescent="0.25">
      <c r="A5" s="3" t="s">
        <v>9</v>
      </c>
      <c r="B5" s="3"/>
      <c r="C5" s="3"/>
      <c r="D5" s="3"/>
      <c r="E5" s="3"/>
      <c r="F5" s="3"/>
      <c r="G5" s="3"/>
      <c r="H5" s="3"/>
      <c r="I5" s="3"/>
      <c r="J5" s="4"/>
      <c r="K5" s="4"/>
      <c r="L5" s="4"/>
      <c r="M5" s="4"/>
      <c r="N5" s="4"/>
    </row>
    <row r="6" spans="1:14" x14ac:dyDescent="0.25">
      <c r="A6" s="5" t="s">
        <v>10</v>
      </c>
      <c r="B6" s="5"/>
      <c r="C6" s="5"/>
      <c r="D6" s="5"/>
      <c r="E6" s="5"/>
      <c r="F6" s="5"/>
      <c r="G6" s="5"/>
      <c r="H6" s="5"/>
      <c r="I6" s="5"/>
      <c r="J6" s="6"/>
      <c r="K6" s="6"/>
      <c r="L6" s="6"/>
      <c r="M6" s="6"/>
      <c r="N6" s="6"/>
    </row>
    <row r="7" spans="1:14" x14ac:dyDescent="0.25">
      <c r="A7" t="s">
        <v>193</v>
      </c>
      <c r="B7" t="s">
        <v>26</v>
      </c>
      <c r="J7" t="s">
        <v>18</v>
      </c>
      <c r="K7">
        <v>93.1</v>
      </c>
      <c r="L7" t="s">
        <v>19</v>
      </c>
      <c r="M7" s="7"/>
    </row>
    <row r="8" spans="1:14" x14ac:dyDescent="0.25">
      <c r="A8" t="s">
        <v>198</v>
      </c>
      <c r="B8" t="s">
        <v>26</v>
      </c>
      <c r="J8" t="s">
        <v>18</v>
      </c>
      <c r="K8" s="7">
        <v>0</v>
      </c>
      <c r="L8" t="s">
        <v>19</v>
      </c>
      <c r="M8" s="7"/>
    </row>
    <row r="9" spans="1:14" x14ac:dyDescent="0.25">
      <c r="A9" t="s">
        <v>44</v>
      </c>
      <c r="B9" t="s">
        <v>26</v>
      </c>
      <c r="J9" t="s">
        <v>18</v>
      </c>
      <c r="K9">
        <v>14.1</v>
      </c>
      <c r="L9" t="s">
        <v>19</v>
      </c>
      <c r="M9" s="7"/>
    </row>
    <row r="10" spans="1:14" x14ac:dyDescent="0.25">
      <c r="A10" t="s">
        <v>194</v>
      </c>
      <c r="B10" t="s">
        <v>26</v>
      </c>
      <c r="J10" t="s">
        <v>18</v>
      </c>
      <c r="K10">
        <v>3.5</v>
      </c>
      <c r="L10" t="s">
        <v>19</v>
      </c>
      <c r="M10" s="7"/>
    </row>
    <row r="11" spans="1:14" x14ac:dyDescent="0.25">
      <c r="A11" t="s">
        <v>199</v>
      </c>
      <c r="B11" t="s">
        <v>26</v>
      </c>
      <c r="J11" t="s">
        <v>18</v>
      </c>
      <c r="K11" s="7">
        <v>0</v>
      </c>
      <c r="L11" t="s">
        <v>19</v>
      </c>
      <c r="M11" s="7"/>
    </row>
    <row r="12" spans="1:14" x14ac:dyDescent="0.25">
      <c r="A12" t="s">
        <v>94</v>
      </c>
      <c r="B12" t="s">
        <v>26</v>
      </c>
      <c r="J12" t="s">
        <v>18</v>
      </c>
      <c r="K12">
        <v>3.8</v>
      </c>
      <c r="L12" t="s">
        <v>19</v>
      </c>
    </row>
    <row r="13" spans="1:14" x14ac:dyDescent="0.25">
      <c r="A13" t="s">
        <v>195</v>
      </c>
      <c r="B13" t="s">
        <v>26</v>
      </c>
      <c r="J13" t="s">
        <v>18</v>
      </c>
      <c r="K13">
        <v>12.8</v>
      </c>
      <c r="L13" t="s">
        <v>19</v>
      </c>
      <c r="M13" s="7"/>
    </row>
    <row r="14" spans="1:14" x14ac:dyDescent="0.25">
      <c r="A14" t="s">
        <v>200</v>
      </c>
      <c r="B14" t="s">
        <v>26</v>
      </c>
      <c r="J14" t="s">
        <v>18</v>
      </c>
      <c r="K14" s="7">
        <v>0</v>
      </c>
      <c r="L14" t="s">
        <v>19</v>
      </c>
      <c r="M14" s="7"/>
    </row>
    <row r="15" spans="1:14" x14ac:dyDescent="0.25">
      <c r="A15" t="s">
        <v>196</v>
      </c>
      <c r="B15" t="s">
        <v>26</v>
      </c>
      <c r="J15" t="s">
        <v>18</v>
      </c>
      <c r="K15">
        <v>5.2</v>
      </c>
      <c r="L15" t="s">
        <v>19</v>
      </c>
      <c r="M15" s="7"/>
    </row>
    <row r="16" spans="1:14" x14ac:dyDescent="0.25">
      <c r="A16" t="s">
        <v>201</v>
      </c>
      <c r="B16" t="s">
        <v>26</v>
      </c>
      <c r="J16" t="s">
        <v>18</v>
      </c>
      <c r="K16" s="7">
        <v>0</v>
      </c>
      <c r="L16" t="s">
        <v>19</v>
      </c>
      <c r="M16" s="7"/>
    </row>
    <row r="17" spans="1:14" x14ac:dyDescent="0.25">
      <c r="A17" s="7" t="s">
        <v>197</v>
      </c>
      <c r="B17" t="s">
        <v>26</v>
      </c>
      <c r="J17" t="s">
        <v>18</v>
      </c>
      <c r="K17" s="7">
        <v>0.5</v>
      </c>
      <c r="L17" t="s">
        <v>19</v>
      </c>
      <c r="M17" s="7" t="s">
        <v>202</v>
      </c>
    </row>
    <row r="18" spans="1:14" x14ac:dyDescent="0.25">
      <c r="A18" s="7" t="s">
        <v>203</v>
      </c>
      <c r="B18" t="s">
        <v>26</v>
      </c>
      <c r="J18" t="s">
        <v>18</v>
      </c>
      <c r="K18" s="7">
        <v>0</v>
      </c>
      <c r="L18" t="s">
        <v>19</v>
      </c>
      <c r="M18" s="7" t="s">
        <v>202</v>
      </c>
    </row>
    <row r="19" spans="1:14" x14ac:dyDescent="0.25">
      <c r="A19" s="5" t="s">
        <v>11</v>
      </c>
      <c r="B19" s="5"/>
      <c r="C19" s="5"/>
      <c r="D19" s="5"/>
      <c r="E19" s="5"/>
      <c r="F19" s="5"/>
      <c r="G19" s="5"/>
      <c r="H19" s="5"/>
      <c r="I19" s="5"/>
      <c r="J19" s="6"/>
      <c r="K19" s="6"/>
      <c r="L19" s="6"/>
      <c r="M19" s="6"/>
      <c r="N19" s="6"/>
    </row>
    <row r="20" spans="1:14" x14ac:dyDescent="0.25">
      <c r="A20" s="18" t="s">
        <v>105</v>
      </c>
      <c r="B20" t="s">
        <v>109</v>
      </c>
      <c r="J20" t="s">
        <v>18</v>
      </c>
      <c r="K20">
        <v>108.1</v>
      </c>
      <c r="L20" t="s">
        <v>19</v>
      </c>
    </row>
    <row r="21" spans="1:14" x14ac:dyDescent="0.25">
      <c r="A21" s="18" t="s">
        <v>106</v>
      </c>
      <c r="B21" t="s">
        <v>109</v>
      </c>
      <c r="J21" t="s">
        <v>18</v>
      </c>
      <c r="K21">
        <v>24.1</v>
      </c>
      <c r="L21" t="s">
        <v>19</v>
      </c>
    </row>
    <row r="22" spans="1:14" x14ac:dyDescent="0.25">
      <c r="A22" s="18" t="s">
        <v>227</v>
      </c>
      <c r="B22" t="s">
        <v>109</v>
      </c>
      <c r="J22" t="s">
        <v>18</v>
      </c>
      <c r="K22">
        <v>0.9</v>
      </c>
      <c r="L22" t="s">
        <v>19</v>
      </c>
      <c r="M22" t="s">
        <v>108</v>
      </c>
    </row>
    <row r="23" spans="1:14" x14ac:dyDescent="0.25">
      <c r="A23" s="18" t="s">
        <v>107</v>
      </c>
      <c r="B23" t="s">
        <v>109</v>
      </c>
      <c r="J23" t="s">
        <v>18</v>
      </c>
      <c r="K23">
        <v>0.3</v>
      </c>
      <c r="L23" t="s">
        <v>19</v>
      </c>
    </row>
    <row r="24" spans="1:14" x14ac:dyDescent="0.25">
      <c r="A24" s="5" t="s">
        <v>12</v>
      </c>
      <c r="B24" s="5"/>
      <c r="C24" s="5"/>
      <c r="D24" s="5"/>
      <c r="E24" s="5"/>
      <c r="F24" s="5"/>
      <c r="G24" s="5"/>
      <c r="H24" s="5"/>
      <c r="I24" s="5"/>
      <c r="J24" s="6"/>
      <c r="K24" s="6"/>
      <c r="L24" s="6"/>
      <c r="M24" s="6"/>
      <c r="N24" s="6"/>
    </row>
    <row r="25" spans="1:14" x14ac:dyDescent="0.25">
      <c r="A25" s="18" t="s">
        <v>148</v>
      </c>
      <c r="B25" t="s">
        <v>114</v>
      </c>
      <c r="J25" t="s">
        <v>18</v>
      </c>
      <c r="K25">
        <v>25</v>
      </c>
      <c r="L25" t="s">
        <v>19</v>
      </c>
    </row>
    <row r="26" spans="1:14" x14ac:dyDescent="0.25">
      <c r="A26" s="18" t="s">
        <v>154</v>
      </c>
      <c r="B26" t="s">
        <v>114</v>
      </c>
      <c r="J26" t="s">
        <v>18</v>
      </c>
      <c r="K26">
        <v>19.3</v>
      </c>
      <c r="L26" t="s">
        <v>19</v>
      </c>
    </row>
    <row r="27" spans="1:14" x14ac:dyDescent="0.25">
      <c r="A27" s="18" t="s">
        <v>150</v>
      </c>
      <c r="B27" t="s">
        <v>114</v>
      </c>
      <c r="J27" t="s">
        <v>18</v>
      </c>
      <c r="K27">
        <v>14.6</v>
      </c>
      <c r="L27" t="s">
        <v>19</v>
      </c>
    </row>
    <row r="28" spans="1:14" x14ac:dyDescent="0.25">
      <c r="A28" s="18" t="s">
        <v>151</v>
      </c>
      <c r="B28" t="s">
        <v>114</v>
      </c>
      <c r="J28" t="s">
        <v>18</v>
      </c>
      <c r="K28">
        <v>11.3</v>
      </c>
      <c r="L28" t="s">
        <v>19</v>
      </c>
    </row>
    <row r="29" spans="1:14" x14ac:dyDescent="0.25">
      <c r="A29" s="18" t="s">
        <v>152</v>
      </c>
      <c r="B29" t="s">
        <v>114</v>
      </c>
      <c r="J29" t="s">
        <v>18</v>
      </c>
      <c r="K29">
        <v>3.8</v>
      </c>
      <c r="L29" t="s">
        <v>19</v>
      </c>
    </row>
    <row r="30" spans="1:14" x14ac:dyDescent="0.25">
      <c r="A30" s="18" t="s">
        <v>153</v>
      </c>
      <c r="B30" t="s">
        <v>114</v>
      </c>
      <c r="J30" t="s">
        <v>18</v>
      </c>
      <c r="K30">
        <v>3.5</v>
      </c>
      <c r="L30" t="s">
        <v>19</v>
      </c>
    </row>
    <row r="31" spans="1:14" x14ac:dyDescent="0.25">
      <c r="A31" s="18" t="s">
        <v>113</v>
      </c>
      <c r="B31" t="s">
        <v>114</v>
      </c>
      <c r="J31" t="s">
        <v>18</v>
      </c>
      <c r="K31">
        <v>37</v>
      </c>
      <c r="L31" t="s">
        <v>19</v>
      </c>
    </row>
    <row r="32" spans="1:14" x14ac:dyDescent="0.25">
      <c r="A32" s="18" t="s">
        <v>116</v>
      </c>
      <c r="B32" t="s">
        <v>114</v>
      </c>
      <c r="J32" t="s">
        <v>18</v>
      </c>
      <c r="K32">
        <v>14.3</v>
      </c>
      <c r="L32" t="s">
        <v>19</v>
      </c>
    </row>
    <row r="33" spans="1:14" x14ac:dyDescent="0.25">
      <c r="A33" s="18" t="s">
        <v>161</v>
      </c>
      <c r="B33" t="s">
        <v>114</v>
      </c>
      <c r="J33" t="s">
        <v>18</v>
      </c>
      <c r="K33" s="7">
        <v>0</v>
      </c>
      <c r="L33" t="s">
        <v>19</v>
      </c>
    </row>
    <row r="34" spans="1:14" x14ac:dyDescent="0.25">
      <c r="A34" s="5" t="s">
        <v>13</v>
      </c>
      <c r="B34" s="5"/>
      <c r="C34" s="5"/>
      <c r="D34" s="5"/>
      <c r="E34" s="5"/>
      <c r="F34" s="5"/>
      <c r="G34" s="5"/>
      <c r="H34" s="5"/>
      <c r="I34" s="5"/>
      <c r="J34" s="6"/>
      <c r="K34" s="6"/>
      <c r="L34" s="6"/>
      <c r="M34" s="6"/>
      <c r="N34" s="6"/>
    </row>
    <row r="35" spans="1:14" x14ac:dyDescent="0.25">
      <c r="A35" s="5" t="s">
        <v>14</v>
      </c>
      <c r="B35" s="5"/>
      <c r="C35" s="5"/>
      <c r="D35" s="5"/>
      <c r="E35" s="5"/>
      <c r="F35" s="5"/>
      <c r="G35" s="5"/>
      <c r="H35" s="5"/>
      <c r="I35" s="5"/>
      <c r="J35" s="6"/>
      <c r="K35" s="6"/>
      <c r="L35" s="6"/>
      <c r="M35" s="6"/>
      <c r="N35" s="6"/>
    </row>
    <row r="36" spans="1:14" x14ac:dyDescent="0.25">
      <c r="A36" s="7" t="s">
        <v>65</v>
      </c>
      <c r="B36" t="s">
        <v>84</v>
      </c>
      <c r="J36" t="s">
        <v>18</v>
      </c>
      <c r="K36" s="7">
        <f>29.5+8.5</f>
        <v>38</v>
      </c>
      <c r="L36" t="s">
        <v>19</v>
      </c>
      <c r="M36" s="7" t="s">
        <v>87</v>
      </c>
    </row>
    <row r="37" spans="1:14" x14ac:dyDescent="0.25">
      <c r="A37" s="7" t="s">
        <v>64</v>
      </c>
      <c r="B37" t="s">
        <v>84</v>
      </c>
      <c r="J37" t="s">
        <v>18</v>
      </c>
      <c r="K37" s="7">
        <f>80.7+14.4+0.3*5</f>
        <v>96.600000000000009</v>
      </c>
      <c r="L37" t="s">
        <v>19</v>
      </c>
      <c r="M37" s="7" t="s">
        <v>87</v>
      </c>
    </row>
    <row r="38" spans="1:14" x14ac:dyDescent="0.25">
      <c r="A38" s="7" t="s">
        <v>66</v>
      </c>
      <c r="B38" t="s">
        <v>84</v>
      </c>
      <c r="J38" t="s">
        <v>18</v>
      </c>
      <c r="K38" s="7">
        <f>45.6+44.1+1.3*5+1.8*10</f>
        <v>114.2</v>
      </c>
      <c r="L38" t="s">
        <v>19</v>
      </c>
      <c r="M38" s="7" t="s">
        <v>87</v>
      </c>
    </row>
    <row r="39" spans="1:14" x14ac:dyDescent="0.25">
      <c r="A39" s="7" t="s">
        <v>67</v>
      </c>
      <c r="B39" t="s">
        <v>84</v>
      </c>
      <c r="J39" t="s">
        <v>18</v>
      </c>
      <c r="K39">
        <v>46.8</v>
      </c>
      <c r="L39" t="s">
        <v>19</v>
      </c>
    </row>
    <row r="40" spans="1:14" x14ac:dyDescent="0.25">
      <c r="A40" s="7" t="s">
        <v>71</v>
      </c>
      <c r="B40" t="s">
        <v>84</v>
      </c>
      <c r="J40" t="s">
        <v>18</v>
      </c>
      <c r="K40">
        <v>8.1</v>
      </c>
      <c r="L40" t="s">
        <v>19</v>
      </c>
    </row>
    <row r="41" spans="1:14" x14ac:dyDescent="0.25">
      <c r="A41" s="7" t="s">
        <v>72</v>
      </c>
      <c r="B41" t="s">
        <v>84</v>
      </c>
      <c r="J41" t="s">
        <v>18</v>
      </c>
      <c r="K41">
        <v>1</v>
      </c>
      <c r="L41" t="s">
        <v>19</v>
      </c>
    </row>
    <row r="42" spans="1:14" x14ac:dyDescent="0.25">
      <c r="A42" s="7" t="s">
        <v>69</v>
      </c>
      <c r="B42" t="s">
        <v>84</v>
      </c>
      <c r="J42" t="s">
        <v>18</v>
      </c>
      <c r="K42">
        <v>6.6</v>
      </c>
      <c r="L42" t="s">
        <v>19</v>
      </c>
    </row>
    <row r="43" spans="1:14" x14ac:dyDescent="0.25">
      <c r="A43" s="7" t="s">
        <v>70</v>
      </c>
      <c r="B43" t="s">
        <v>84</v>
      </c>
      <c r="J43" t="s">
        <v>18</v>
      </c>
      <c r="K43">
        <v>8.3000000000000007</v>
      </c>
      <c r="L43" t="s">
        <v>19</v>
      </c>
    </row>
    <row r="44" spans="1:14" x14ac:dyDescent="0.25">
      <c r="A44" s="7" t="s">
        <v>68</v>
      </c>
      <c r="B44" t="s">
        <v>84</v>
      </c>
      <c r="J44" t="s">
        <v>18</v>
      </c>
      <c r="K44">
        <v>15.3</v>
      </c>
      <c r="L44" t="s">
        <v>19</v>
      </c>
    </row>
    <row r="45" spans="1:14" x14ac:dyDescent="0.25">
      <c r="A45" s="5" t="s">
        <v>23</v>
      </c>
      <c r="B45" s="5"/>
      <c r="C45" s="5"/>
      <c r="D45" s="5"/>
      <c r="E45" s="5"/>
      <c r="F45" s="5"/>
      <c r="G45" s="5"/>
      <c r="H45" s="5"/>
      <c r="I45" s="5"/>
      <c r="J45" s="6"/>
      <c r="K45" s="6"/>
      <c r="L45" s="6"/>
      <c r="M45" s="6"/>
      <c r="N45" s="6"/>
    </row>
    <row r="46" spans="1:14" x14ac:dyDescent="0.25">
      <c r="A46" t="s">
        <v>57</v>
      </c>
      <c r="B46" t="s">
        <v>58</v>
      </c>
      <c r="J46" t="s">
        <v>18</v>
      </c>
      <c r="K46">
        <v>60.6</v>
      </c>
      <c r="L46" t="s">
        <v>19</v>
      </c>
    </row>
    <row r="47" spans="1:14" x14ac:dyDescent="0.25">
      <c r="A47" t="s">
        <v>101</v>
      </c>
      <c r="B47" t="s">
        <v>58</v>
      </c>
      <c r="J47" t="s">
        <v>18</v>
      </c>
      <c r="K47">
        <v>39.9</v>
      </c>
      <c r="L47" t="s">
        <v>19</v>
      </c>
    </row>
    <row r="48" spans="1:14" x14ac:dyDescent="0.25">
      <c r="A48" s="5" t="s">
        <v>15</v>
      </c>
      <c r="B48" s="5"/>
      <c r="C48" s="5"/>
      <c r="D48" s="5"/>
      <c r="E48" s="5"/>
      <c r="F48" s="5"/>
      <c r="G48" s="5"/>
      <c r="H48" s="5"/>
      <c r="I48" s="5"/>
      <c r="J48" s="6"/>
      <c r="K48" s="6"/>
      <c r="L48" s="6"/>
      <c r="M48" s="6"/>
      <c r="N48" s="6"/>
    </row>
    <row r="49" spans="1:14" x14ac:dyDescent="0.25">
      <c r="A49" s="5" t="s">
        <v>16</v>
      </c>
      <c r="B49" s="5"/>
      <c r="C49" s="5"/>
      <c r="D49" s="5"/>
      <c r="E49" s="5"/>
      <c r="F49" s="5"/>
      <c r="G49" s="5"/>
      <c r="H49" s="5"/>
      <c r="I49" s="5"/>
      <c r="J49" s="6"/>
      <c r="K49" s="6"/>
      <c r="L49" s="6"/>
      <c r="M49" s="6"/>
      <c r="N49" s="6"/>
    </row>
    <row r="50" spans="1:14" x14ac:dyDescent="0.25">
      <c r="A50" s="5" t="s">
        <v>20</v>
      </c>
      <c r="B50" s="5"/>
      <c r="C50" s="5"/>
      <c r="D50" s="5"/>
      <c r="E50" s="5"/>
      <c r="F50" s="5"/>
      <c r="G50" s="5"/>
      <c r="H50" s="5"/>
      <c r="I50" s="5"/>
      <c r="J50" s="6"/>
      <c r="K50" s="6"/>
      <c r="L50" s="6"/>
      <c r="M50" s="6"/>
      <c r="N50" s="6"/>
    </row>
    <row r="51" spans="1:14" x14ac:dyDescent="0.25">
      <c r="A51" t="s">
        <v>220</v>
      </c>
      <c r="B51" t="s">
        <v>225</v>
      </c>
      <c r="J51" t="s">
        <v>18</v>
      </c>
      <c r="K51">
        <v>4.5</v>
      </c>
      <c r="L51" t="s">
        <v>19</v>
      </c>
    </row>
    <row r="52" spans="1:14" x14ac:dyDescent="0.25">
      <c r="A52" s="27" t="s">
        <v>221</v>
      </c>
      <c r="B52" t="s">
        <v>225</v>
      </c>
      <c r="J52" t="s">
        <v>18</v>
      </c>
      <c r="K52" s="7">
        <v>0</v>
      </c>
      <c r="L52" t="s">
        <v>19</v>
      </c>
    </row>
    <row r="53" spans="1:14" x14ac:dyDescent="0.25">
      <c r="A53" s="27" t="s">
        <v>222</v>
      </c>
      <c r="B53" t="s">
        <v>225</v>
      </c>
      <c r="J53" t="s">
        <v>18</v>
      </c>
      <c r="K53">
        <v>0.7</v>
      </c>
      <c r="L53" t="s">
        <v>19</v>
      </c>
    </row>
    <row r="54" spans="1:14" x14ac:dyDescent="0.25">
      <c r="A54" s="27" t="s">
        <v>223</v>
      </c>
      <c r="B54" t="s">
        <v>225</v>
      </c>
      <c r="J54" t="s">
        <v>18</v>
      </c>
      <c r="K54">
        <v>0.3</v>
      </c>
      <c r="L54" t="s">
        <v>19</v>
      </c>
    </row>
    <row r="55" spans="1:14" x14ac:dyDescent="0.25">
      <c r="A55" s="27" t="s">
        <v>224</v>
      </c>
      <c r="B55" t="s">
        <v>225</v>
      </c>
      <c r="J55" t="s">
        <v>18</v>
      </c>
      <c r="K55">
        <v>0.6</v>
      </c>
      <c r="L55" t="s">
        <v>19</v>
      </c>
    </row>
    <row r="56" spans="1:14" x14ac:dyDescent="0.25">
      <c r="A56" s="5" t="s">
        <v>21</v>
      </c>
      <c r="B56" s="5"/>
      <c r="C56" s="5"/>
      <c r="D56" s="5"/>
      <c r="E56" s="5"/>
      <c r="F56" s="5"/>
      <c r="G56" s="5"/>
      <c r="H56" s="5"/>
      <c r="I56" s="5"/>
      <c r="J56" s="6"/>
      <c r="K56" s="6"/>
      <c r="L56" s="6"/>
      <c r="M56" s="6"/>
      <c r="N56" s="6"/>
    </row>
    <row r="57" spans="1:14" x14ac:dyDescent="0.25">
      <c r="A57" s="5" t="s">
        <v>22</v>
      </c>
      <c r="B57" s="5"/>
      <c r="C57" s="5"/>
      <c r="D57" s="5"/>
      <c r="E57" s="5"/>
      <c r="F57" s="5"/>
      <c r="G57" s="5"/>
      <c r="H57" s="5"/>
      <c r="I57" s="5"/>
      <c r="J57" s="6"/>
      <c r="K57" s="6"/>
      <c r="L57" s="6"/>
      <c r="M57" s="6"/>
      <c r="N57" s="6"/>
    </row>
    <row r="58" spans="1:14" x14ac:dyDescent="0.25">
      <c r="A58" t="s">
        <v>139</v>
      </c>
      <c r="B58" t="s">
        <v>140</v>
      </c>
      <c r="J58" t="s">
        <v>18</v>
      </c>
      <c r="K58" s="14">
        <f>6+4.4/3+13*0.6</f>
        <v>15.266666666666666</v>
      </c>
      <c r="L58" t="s">
        <v>19</v>
      </c>
      <c r="M58" s="7" t="s">
        <v>226</v>
      </c>
    </row>
    <row r="59" spans="1:14" x14ac:dyDescent="0.25">
      <c r="A59" t="s">
        <v>146</v>
      </c>
      <c r="B59" t="s">
        <v>140</v>
      </c>
      <c r="J59" t="s">
        <v>18</v>
      </c>
      <c r="K59" s="23">
        <f>8.2+4.4/3</f>
        <v>9.6666666666666661</v>
      </c>
      <c r="L59" t="s">
        <v>19</v>
      </c>
      <c r="M59" t="s">
        <v>145</v>
      </c>
    </row>
    <row r="60" spans="1:14" x14ac:dyDescent="0.25">
      <c r="A60" t="s">
        <v>147</v>
      </c>
      <c r="B60" t="s">
        <v>140</v>
      </c>
      <c r="J60" t="s">
        <v>18</v>
      </c>
      <c r="K60" s="23">
        <f>2.8+4.4/3</f>
        <v>4.2666666666666666</v>
      </c>
      <c r="L60" t="s">
        <v>19</v>
      </c>
      <c r="M60" t="s">
        <v>145</v>
      </c>
    </row>
    <row r="61" spans="1:14" x14ac:dyDescent="0.25">
      <c r="A61" s="5" t="s">
        <v>24</v>
      </c>
      <c r="B61" s="5"/>
      <c r="C61" s="5"/>
      <c r="D61" s="5"/>
      <c r="E61" s="5"/>
      <c r="F61" s="5"/>
      <c r="G61" s="5"/>
      <c r="H61" s="5"/>
      <c r="I61" s="5"/>
      <c r="J61" s="6"/>
      <c r="K61" s="6"/>
      <c r="L61" s="6"/>
      <c r="M61" s="6"/>
      <c r="N61" s="6"/>
    </row>
    <row r="62" spans="1:14" x14ac:dyDescent="0.25">
      <c r="A62" t="s">
        <v>235</v>
      </c>
      <c r="B62" t="s">
        <v>238</v>
      </c>
      <c r="J62" t="s">
        <v>18</v>
      </c>
      <c r="K62">
        <v>79.3</v>
      </c>
      <c r="L62" t="s">
        <v>19</v>
      </c>
    </row>
    <row r="63" spans="1:14" x14ac:dyDescent="0.25">
      <c r="A63" t="s">
        <v>237</v>
      </c>
      <c r="B63" t="s">
        <v>238</v>
      </c>
      <c r="J63" t="s">
        <v>18</v>
      </c>
      <c r="K63">
        <v>10</v>
      </c>
      <c r="L63" t="s">
        <v>19</v>
      </c>
      <c r="M63" t="s">
        <v>241</v>
      </c>
    </row>
    <row r="64" spans="1:14" x14ac:dyDescent="0.25">
      <c r="A64" t="s">
        <v>236</v>
      </c>
      <c r="B64" t="s">
        <v>238</v>
      </c>
      <c r="J64" t="s">
        <v>18</v>
      </c>
      <c r="K64">
        <v>1</v>
      </c>
      <c r="L64" t="s">
        <v>19</v>
      </c>
    </row>
    <row r="65" spans="1:14" x14ac:dyDescent="0.25">
      <c r="A65" s="5" t="s">
        <v>29</v>
      </c>
      <c r="B65" s="5"/>
      <c r="C65" s="5"/>
      <c r="D65" s="5"/>
      <c r="E65" s="5"/>
      <c r="F65" s="5"/>
      <c r="G65" s="5"/>
      <c r="H65" s="5"/>
      <c r="I65" s="5"/>
      <c r="J65" s="6"/>
      <c r="K65" s="6"/>
      <c r="L65" s="6"/>
      <c r="M65" s="6"/>
      <c r="N65" s="6"/>
    </row>
    <row r="66" spans="1:14" x14ac:dyDescent="0.25">
      <c r="A66" t="s">
        <v>118</v>
      </c>
      <c r="B66" t="s">
        <v>119</v>
      </c>
      <c r="J66" t="s">
        <v>18</v>
      </c>
      <c r="K66">
        <v>125.5</v>
      </c>
      <c r="L66" t="s">
        <v>19</v>
      </c>
    </row>
    <row r="67" spans="1:14" x14ac:dyDescent="0.25">
      <c r="A67" s="5" t="s">
        <v>30</v>
      </c>
      <c r="B67" s="5"/>
      <c r="C67" s="5"/>
      <c r="D67" s="5"/>
      <c r="E67" s="5"/>
      <c r="F67" s="5"/>
      <c r="G67" s="5"/>
      <c r="H67" s="5"/>
      <c r="I67" s="5"/>
      <c r="J67" s="6"/>
      <c r="K67" s="6"/>
      <c r="L67" s="6"/>
      <c r="M67" s="6"/>
      <c r="N67" s="6"/>
    </row>
    <row r="68" spans="1:14" x14ac:dyDescent="0.25">
      <c r="A68" s="5" t="s">
        <v>31</v>
      </c>
      <c r="B68" s="5"/>
      <c r="C68" s="5"/>
      <c r="D68" s="5"/>
      <c r="E68" s="5"/>
      <c r="F68" s="5"/>
      <c r="G68" s="5"/>
      <c r="H68" s="5"/>
      <c r="I68" s="5"/>
      <c r="J68" s="6"/>
      <c r="K68" s="6"/>
      <c r="L68" s="6"/>
      <c r="M68" s="6"/>
      <c r="N68" s="6"/>
    </row>
    <row r="69" spans="1:14" x14ac:dyDescent="0.25">
      <c r="A69" s="5" t="s">
        <v>32</v>
      </c>
      <c r="B69" s="5"/>
      <c r="C69" s="5"/>
      <c r="D69" s="5"/>
      <c r="E69" s="5"/>
      <c r="F69" s="5"/>
      <c r="G69" s="5"/>
      <c r="H69" s="5"/>
      <c r="I69" s="5"/>
      <c r="J69" s="6"/>
      <c r="K69" s="6"/>
      <c r="L69" s="6"/>
      <c r="M69" s="6"/>
      <c r="N69" s="6"/>
    </row>
    <row r="70" spans="1:14" x14ac:dyDescent="0.25">
      <c r="A70" s="5" t="s">
        <v>33</v>
      </c>
      <c r="B70" s="5"/>
      <c r="C70" s="5"/>
      <c r="D70" s="5"/>
      <c r="E70" s="5"/>
      <c r="F70" s="5"/>
      <c r="G70" s="5"/>
      <c r="H70" s="5"/>
      <c r="I70" s="5"/>
      <c r="J70" s="6"/>
      <c r="K70" s="6"/>
      <c r="L70" s="6"/>
      <c r="M70" s="6"/>
      <c r="N70" s="6"/>
    </row>
    <row r="72" spans="1:14" x14ac:dyDescent="0.25">
      <c r="A72" s="3" t="s">
        <v>216</v>
      </c>
      <c r="B72" s="3"/>
      <c r="C72" s="3"/>
      <c r="D72" s="3"/>
      <c r="E72" s="3"/>
      <c r="F72" s="3"/>
      <c r="G72" s="3"/>
      <c r="H72" s="3"/>
      <c r="I72" s="3"/>
      <c r="J72" s="4"/>
      <c r="K72" s="4"/>
      <c r="L72" s="4"/>
      <c r="M72" s="4"/>
      <c r="N72" s="4"/>
    </row>
    <row r="73" spans="1:14" x14ac:dyDescent="0.25">
      <c r="A73" t="s">
        <v>209</v>
      </c>
      <c r="B73" t="s">
        <v>218</v>
      </c>
      <c r="J73" t="s">
        <v>214</v>
      </c>
      <c r="K73" s="7">
        <v>0</v>
      </c>
      <c r="L73" t="s">
        <v>205</v>
      </c>
    </row>
    <row r="74" spans="1:14" x14ac:dyDescent="0.25">
      <c r="A74" t="s">
        <v>210</v>
      </c>
      <c r="B74" t="s">
        <v>218</v>
      </c>
      <c r="J74" t="s">
        <v>214</v>
      </c>
      <c r="K74">
        <v>10000</v>
      </c>
      <c r="L74" t="s">
        <v>205</v>
      </c>
      <c r="M74" t="s">
        <v>213</v>
      </c>
    </row>
    <row r="76" spans="1:14" x14ac:dyDescent="0.25">
      <c r="A76" t="s">
        <v>107</v>
      </c>
      <c r="B76" t="s">
        <v>218</v>
      </c>
      <c r="J76" t="s">
        <v>214</v>
      </c>
      <c r="K76">
        <v>30000</v>
      </c>
      <c r="L76" t="s">
        <v>205</v>
      </c>
      <c r="M76" t="s">
        <v>212</v>
      </c>
      <c r="N76" t="s">
        <v>211</v>
      </c>
    </row>
    <row r="78" spans="1:14" x14ac:dyDescent="0.25">
      <c r="A78" s="3" t="s">
        <v>204</v>
      </c>
      <c r="B78" s="3"/>
      <c r="C78" s="3"/>
      <c r="D78" s="3"/>
      <c r="E78" s="3"/>
      <c r="F78" s="3"/>
      <c r="G78" s="3"/>
      <c r="H78" s="3"/>
      <c r="I78" s="3"/>
      <c r="J78" s="4"/>
      <c r="K78" s="4"/>
      <c r="L78" s="4"/>
      <c r="M78" s="4"/>
      <c r="N78" s="4"/>
    </row>
    <row r="79" spans="1:14" x14ac:dyDescent="0.25">
      <c r="J79" t="s">
        <v>215</v>
      </c>
      <c r="L79" t="s">
        <v>205</v>
      </c>
    </row>
    <row r="81" spans="1:14" x14ac:dyDescent="0.25">
      <c r="A81" s="3" t="s">
        <v>34</v>
      </c>
      <c r="B81" s="3"/>
      <c r="C81" s="3"/>
      <c r="D81" s="3"/>
      <c r="E81" s="3"/>
      <c r="F81" s="3"/>
      <c r="G81" s="3"/>
      <c r="H81" s="3"/>
      <c r="I81" s="3"/>
      <c r="J81" s="4"/>
      <c r="K81" s="4"/>
      <c r="L81" s="4"/>
      <c r="M81" s="4"/>
      <c r="N81" s="4"/>
    </row>
    <row r="82" spans="1:14" x14ac:dyDescent="0.25">
      <c r="B82" t="s">
        <v>26</v>
      </c>
      <c r="I82" t="s">
        <v>53</v>
      </c>
      <c r="J82" t="s">
        <v>56</v>
      </c>
      <c r="K82">
        <v>25</v>
      </c>
      <c r="L82" t="s">
        <v>39</v>
      </c>
    </row>
    <row r="83" spans="1:14" x14ac:dyDescent="0.25">
      <c r="B83" t="s">
        <v>26</v>
      </c>
      <c r="I83" t="s">
        <v>54</v>
      </c>
      <c r="J83" t="s">
        <v>56</v>
      </c>
      <c r="K83">
        <v>2</v>
      </c>
      <c r="L83" t="s">
        <v>39</v>
      </c>
    </row>
    <row r="84" spans="1:14" x14ac:dyDescent="0.25">
      <c r="B84" t="s">
        <v>26</v>
      </c>
      <c r="I84" t="s">
        <v>55</v>
      </c>
      <c r="J84" t="s">
        <v>56</v>
      </c>
      <c r="K84" s="7">
        <v>10.5</v>
      </c>
      <c r="L84" t="s">
        <v>39</v>
      </c>
      <c r="M84" s="7" t="s">
        <v>95</v>
      </c>
    </row>
    <row r="85" spans="1:14" x14ac:dyDescent="0.25">
      <c r="B85" t="s">
        <v>109</v>
      </c>
      <c r="I85" t="s">
        <v>53</v>
      </c>
      <c r="J85" t="s">
        <v>56</v>
      </c>
      <c r="K85">
        <v>17</v>
      </c>
      <c r="L85" t="s">
        <v>39</v>
      </c>
    </row>
    <row r="86" spans="1:14" x14ac:dyDescent="0.25">
      <c r="B86" t="s">
        <v>109</v>
      </c>
      <c r="I86" t="s">
        <v>54</v>
      </c>
      <c r="J86" t="s">
        <v>56</v>
      </c>
      <c r="K86">
        <v>7</v>
      </c>
      <c r="L86" t="s">
        <v>39</v>
      </c>
    </row>
    <row r="87" spans="1:14" x14ac:dyDescent="0.25">
      <c r="B87" t="s">
        <v>109</v>
      </c>
      <c r="I87" t="s">
        <v>55</v>
      </c>
      <c r="J87" t="s">
        <v>56</v>
      </c>
      <c r="K87" s="7">
        <v>15</v>
      </c>
      <c r="L87" t="s">
        <v>39</v>
      </c>
      <c r="M87" s="7" t="s">
        <v>95</v>
      </c>
    </row>
    <row r="88" spans="1:14" x14ac:dyDescent="0.25">
      <c r="B88" t="s">
        <v>114</v>
      </c>
      <c r="I88" t="s">
        <v>53</v>
      </c>
      <c r="J88" t="s">
        <v>56</v>
      </c>
      <c r="K88">
        <v>19</v>
      </c>
      <c r="L88" t="s">
        <v>39</v>
      </c>
    </row>
    <row r="89" spans="1:14" x14ac:dyDescent="0.25">
      <c r="B89" t="s">
        <v>114</v>
      </c>
      <c r="I89" t="s">
        <v>54</v>
      </c>
      <c r="J89" t="s">
        <v>56</v>
      </c>
      <c r="K89">
        <v>10</v>
      </c>
      <c r="L89" t="s">
        <v>39</v>
      </c>
    </row>
    <row r="90" spans="1:14" x14ac:dyDescent="0.25">
      <c r="B90" t="s">
        <v>114</v>
      </c>
      <c r="I90" t="s">
        <v>55</v>
      </c>
      <c r="J90" t="s">
        <v>56</v>
      </c>
      <c r="K90" s="7">
        <v>2</v>
      </c>
      <c r="L90" t="s">
        <v>39</v>
      </c>
      <c r="M90" s="7" t="s">
        <v>95</v>
      </c>
    </row>
    <row r="91" spans="1:14" x14ac:dyDescent="0.25">
      <c r="B91" t="s">
        <v>84</v>
      </c>
      <c r="I91" t="s">
        <v>53</v>
      </c>
      <c r="J91" t="s">
        <v>56</v>
      </c>
      <c r="K91">
        <v>11</v>
      </c>
      <c r="L91" t="s">
        <v>39</v>
      </c>
    </row>
    <row r="92" spans="1:14" x14ac:dyDescent="0.25">
      <c r="B92" t="s">
        <v>84</v>
      </c>
      <c r="I92" t="s">
        <v>54</v>
      </c>
      <c r="J92" t="s">
        <v>56</v>
      </c>
      <c r="K92">
        <f>0.5</f>
        <v>0.5</v>
      </c>
      <c r="L92" t="s">
        <v>39</v>
      </c>
    </row>
    <row r="93" spans="1:14" x14ac:dyDescent="0.25">
      <c r="B93" t="s">
        <v>84</v>
      </c>
      <c r="I93" t="s">
        <v>55</v>
      </c>
      <c r="J93" t="s">
        <v>56</v>
      </c>
      <c r="K93" s="7">
        <v>1</v>
      </c>
      <c r="L93" t="s">
        <v>39</v>
      </c>
      <c r="M93" s="7" t="s">
        <v>95</v>
      </c>
    </row>
    <row r="94" spans="1:14" x14ac:dyDescent="0.25">
      <c r="B94" t="s">
        <v>58</v>
      </c>
      <c r="I94" t="s">
        <v>53</v>
      </c>
      <c r="J94" t="s">
        <v>56</v>
      </c>
      <c r="K94">
        <v>11</v>
      </c>
      <c r="L94" t="s">
        <v>39</v>
      </c>
    </row>
    <row r="95" spans="1:14" x14ac:dyDescent="0.25">
      <c r="B95" t="s">
        <v>58</v>
      </c>
      <c r="I95" t="s">
        <v>54</v>
      </c>
      <c r="J95" t="s">
        <v>56</v>
      </c>
      <c r="K95">
        <v>4</v>
      </c>
      <c r="L95" t="s">
        <v>39</v>
      </c>
    </row>
    <row r="96" spans="1:14" x14ac:dyDescent="0.25">
      <c r="B96" t="s">
        <v>58</v>
      </c>
      <c r="I96" t="s">
        <v>55</v>
      </c>
      <c r="J96" t="s">
        <v>56</v>
      </c>
      <c r="K96" s="7">
        <v>5</v>
      </c>
      <c r="L96" t="s">
        <v>39</v>
      </c>
      <c r="M96" s="7" t="s">
        <v>95</v>
      </c>
    </row>
    <row r="97" spans="1:14" x14ac:dyDescent="0.25">
      <c r="B97" t="s">
        <v>225</v>
      </c>
      <c r="I97" t="s">
        <v>53</v>
      </c>
      <c r="J97" t="s">
        <v>56</v>
      </c>
      <c r="K97">
        <v>4</v>
      </c>
      <c r="L97" t="s">
        <v>39</v>
      </c>
    </row>
    <row r="98" spans="1:14" x14ac:dyDescent="0.25">
      <c r="B98" t="s">
        <v>225</v>
      </c>
      <c r="I98" t="s">
        <v>54</v>
      </c>
      <c r="J98" t="s">
        <v>56</v>
      </c>
      <c r="K98">
        <v>1</v>
      </c>
      <c r="L98" t="s">
        <v>39</v>
      </c>
    </row>
    <row r="99" spans="1:14" x14ac:dyDescent="0.25">
      <c r="B99" t="s">
        <v>225</v>
      </c>
      <c r="I99" t="s">
        <v>55</v>
      </c>
      <c r="J99" t="s">
        <v>56</v>
      </c>
      <c r="K99" s="7">
        <v>5</v>
      </c>
      <c r="L99" t="s">
        <v>39</v>
      </c>
      <c r="M99" s="7" t="s">
        <v>95</v>
      </c>
    </row>
    <row r="100" spans="1:14" x14ac:dyDescent="0.25">
      <c r="B100" t="s">
        <v>140</v>
      </c>
      <c r="I100" t="s">
        <v>53</v>
      </c>
      <c r="J100" t="s">
        <v>56</v>
      </c>
      <c r="K100">
        <v>4</v>
      </c>
      <c r="L100" t="s">
        <v>39</v>
      </c>
    </row>
    <row r="101" spans="1:14" x14ac:dyDescent="0.25">
      <c r="B101" t="s">
        <v>140</v>
      </c>
      <c r="I101" t="s">
        <v>54</v>
      </c>
      <c r="J101" t="s">
        <v>56</v>
      </c>
      <c r="K101">
        <v>1</v>
      </c>
      <c r="L101" t="s">
        <v>39</v>
      </c>
    </row>
    <row r="102" spans="1:14" x14ac:dyDescent="0.25">
      <c r="B102" t="s">
        <v>140</v>
      </c>
      <c r="I102" t="s">
        <v>55</v>
      </c>
      <c r="J102" t="s">
        <v>56</v>
      </c>
      <c r="K102" s="7">
        <v>5</v>
      </c>
      <c r="L102" t="s">
        <v>39</v>
      </c>
      <c r="M102" s="7" t="s">
        <v>95</v>
      </c>
    </row>
    <row r="103" spans="1:14" x14ac:dyDescent="0.25">
      <c r="B103" t="s">
        <v>238</v>
      </c>
      <c r="I103" t="s">
        <v>53</v>
      </c>
      <c r="J103" t="s">
        <v>56</v>
      </c>
      <c r="K103">
        <v>13</v>
      </c>
      <c r="L103" t="s">
        <v>39</v>
      </c>
    </row>
    <row r="104" spans="1:14" x14ac:dyDescent="0.25">
      <c r="B104" t="s">
        <v>238</v>
      </c>
      <c r="I104" t="s">
        <v>54</v>
      </c>
      <c r="J104" t="s">
        <v>56</v>
      </c>
      <c r="K104">
        <v>5</v>
      </c>
      <c r="L104" t="s">
        <v>39</v>
      </c>
    </row>
    <row r="105" spans="1:14" x14ac:dyDescent="0.25">
      <c r="B105" t="s">
        <v>238</v>
      </c>
      <c r="I105" t="s">
        <v>55</v>
      </c>
      <c r="J105" t="s">
        <v>56</v>
      </c>
      <c r="K105" s="7">
        <v>5</v>
      </c>
      <c r="L105" t="s">
        <v>39</v>
      </c>
      <c r="M105" s="7" t="s">
        <v>95</v>
      </c>
    </row>
    <row r="106" spans="1:14" x14ac:dyDescent="0.25">
      <c r="B106" t="s">
        <v>119</v>
      </c>
      <c r="I106" t="s">
        <v>53</v>
      </c>
      <c r="J106" t="s">
        <v>56</v>
      </c>
      <c r="K106">
        <v>0</v>
      </c>
      <c r="L106" t="s">
        <v>39</v>
      </c>
    </row>
    <row r="107" spans="1:14" x14ac:dyDescent="0.25">
      <c r="B107" t="s">
        <v>119</v>
      </c>
      <c r="I107" t="s">
        <v>54</v>
      </c>
      <c r="J107" t="s">
        <v>56</v>
      </c>
      <c r="K107">
        <v>5</v>
      </c>
      <c r="L107" t="s">
        <v>39</v>
      </c>
    </row>
    <row r="108" spans="1:14" x14ac:dyDescent="0.25">
      <c r="B108" t="s">
        <v>119</v>
      </c>
      <c r="I108" t="s">
        <v>55</v>
      </c>
      <c r="J108" t="s">
        <v>56</v>
      </c>
      <c r="K108" s="7">
        <v>5</v>
      </c>
      <c r="L108" t="s">
        <v>39</v>
      </c>
      <c r="M108" s="7" t="s">
        <v>95</v>
      </c>
    </row>
    <row r="110" spans="1:14" x14ac:dyDescent="0.25">
      <c r="A110" s="3" t="s">
        <v>61</v>
      </c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4"/>
      <c r="N110" s="4"/>
    </row>
    <row r="111" spans="1:14" x14ac:dyDescent="0.25">
      <c r="J111" s="8" t="s">
        <v>88</v>
      </c>
      <c r="K111" s="8">
        <v>0</v>
      </c>
      <c r="L111" s="8" t="s">
        <v>39</v>
      </c>
      <c r="M111" s="8" t="s">
        <v>46</v>
      </c>
    </row>
    <row r="112" spans="1:14" x14ac:dyDescent="0.25">
      <c r="J112" s="8" t="s">
        <v>89</v>
      </c>
      <c r="K112" s="8">
        <v>0</v>
      </c>
      <c r="L112" s="8" t="s">
        <v>39</v>
      </c>
      <c r="M112" s="8" t="s">
        <v>46</v>
      </c>
    </row>
    <row r="113" spans="1:14" x14ac:dyDescent="0.25">
      <c r="A113" s="5" t="s">
        <v>10</v>
      </c>
      <c r="B113" s="5"/>
      <c r="C113" s="5"/>
      <c r="D113" s="5"/>
      <c r="E113" s="5"/>
      <c r="F113" s="5"/>
      <c r="G113" s="5"/>
      <c r="H113" s="5"/>
      <c r="I113" s="5"/>
      <c r="J113" s="6"/>
      <c r="K113" s="6"/>
      <c r="L113" s="6"/>
      <c r="M113" s="6"/>
      <c r="N113" s="6"/>
    </row>
    <row r="114" spans="1:14" x14ac:dyDescent="0.25">
      <c r="A114" t="s">
        <v>193</v>
      </c>
      <c r="C114" t="s">
        <v>38</v>
      </c>
      <c r="J114" t="s">
        <v>88</v>
      </c>
      <c r="K114">
        <v>79</v>
      </c>
      <c r="L114" t="s">
        <v>39</v>
      </c>
      <c r="N114" t="s">
        <v>98</v>
      </c>
    </row>
    <row r="115" spans="1:14" x14ac:dyDescent="0.25">
      <c r="A115" t="s">
        <v>193</v>
      </c>
      <c r="C115" t="s">
        <v>38</v>
      </c>
      <c r="F115" t="s">
        <v>123</v>
      </c>
      <c r="J115" t="s">
        <v>89</v>
      </c>
      <c r="K115">
        <v>19</v>
      </c>
      <c r="L115" t="s">
        <v>39</v>
      </c>
      <c r="N115" t="s">
        <v>98</v>
      </c>
    </row>
    <row r="116" spans="1:14" x14ac:dyDescent="0.25">
      <c r="A116" t="s">
        <v>193</v>
      </c>
      <c r="C116" t="s">
        <v>38</v>
      </c>
      <c r="F116" t="s">
        <v>124</v>
      </c>
      <c r="J116" t="s">
        <v>89</v>
      </c>
      <c r="K116">
        <v>2</v>
      </c>
      <c r="L116" t="s">
        <v>39</v>
      </c>
      <c r="N116" t="s">
        <v>98</v>
      </c>
    </row>
    <row r="117" spans="1:14" x14ac:dyDescent="0.25">
      <c r="A117" t="s">
        <v>198</v>
      </c>
      <c r="C117" t="s">
        <v>38</v>
      </c>
      <c r="J117" t="s">
        <v>88</v>
      </c>
      <c r="K117">
        <v>100</v>
      </c>
      <c r="L117" t="s">
        <v>39</v>
      </c>
      <c r="N117" t="s">
        <v>98</v>
      </c>
    </row>
    <row r="118" spans="1:14" x14ac:dyDescent="0.25">
      <c r="A118" s="9" t="s">
        <v>194</v>
      </c>
      <c r="B118" s="9"/>
      <c r="C118" s="9" t="s">
        <v>51</v>
      </c>
      <c r="D118" s="9"/>
      <c r="E118" s="9"/>
      <c r="F118" s="9"/>
      <c r="G118" s="9"/>
      <c r="H118" s="9"/>
      <c r="I118" s="9"/>
      <c r="J118" t="s">
        <v>88</v>
      </c>
      <c r="K118" s="9">
        <v>72</v>
      </c>
      <c r="L118" s="9" t="s">
        <v>39</v>
      </c>
      <c r="M118" s="9"/>
      <c r="N118" t="s">
        <v>98</v>
      </c>
    </row>
    <row r="119" spans="1:14" x14ac:dyDescent="0.25">
      <c r="A119" s="9" t="s">
        <v>194</v>
      </c>
      <c r="B119" s="9"/>
      <c r="C119" s="9" t="s">
        <v>51</v>
      </c>
      <c r="D119" s="9"/>
      <c r="E119" s="9"/>
      <c r="F119" s="9" t="s">
        <v>125</v>
      </c>
      <c r="G119" s="9"/>
      <c r="H119" s="9"/>
      <c r="I119" s="9"/>
      <c r="J119" t="s">
        <v>89</v>
      </c>
      <c r="K119" s="9">
        <v>19</v>
      </c>
      <c r="L119" s="9" t="s">
        <v>39</v>
      </c>
      <c r="M119" s="9"/>
      <c r="N119" t="s">
        <v>98</v>
      </c>
    </row>
    <row r="120" spans="1:14" x14ac:dyDescent="0.25">
      <c r="A120" s="9" t="s">
        <v>194</v>
      </c>
      <c r="B120" s="9"/>
      <c r="C120" s="9" t="s">
        <v>51</v>
      </c>
      <c r="D120" s="9"/>
      <c r="E120" s="9"/>
      <c r="F120" s="9" t="s">
        <v>126</v>
      </c>
      <c r="G120" s="9"/>
      <c r="H120" s="9"/>
      <c r="I120" s="9"/>
      <c r="J120" t="s">
        <v>89</v>
      </c>
      <c r="K120" s="9">
        <v>9</v>
      </c>
      <c r="L120" s="9" t="s">
        <v>39</v>
      </c>
      <c r="M120" s="9"/>
      <c r="N120" t="s">
        <v>98</v>
      </c>
    </row>
    <row r="121" spans="1:14" x14ac:dyDescent="0.25">
      <c r="A121" s="9" t="s">
        <v>199</v>
      </c>
      <c r="B121" s="9"/>
      <c r="C121" s="9" t="s">
        <v>51</v>
      </c>
      <c r="D121" s="9"/>
      <c r="E121" s="9"/>
      <c r="F121" s="9"/>
      <c r="G121" s="9"/>
      <c r="H121" s="9"/>
      <c r="I121" s="9"/>
      <c r="J121" t="s">
        <v>88</v>
      </c>
      <c r="K121" s="10">
        <v>91</v>
      </c>
      <c r="L121" s="9" t="s">
        <v>39</v>
      </c>
      <c r="M121" s="9"/>
      <c r="N121" t="s">
        <v>98</v>
      </c>
    </row>
    <row r="122" spans="1:14" x14ac:dyDescent="0.25">
      <c r="A122" s="9" t="s">
        <v>199</v>
      </c>
      <c r="B122" s="9"/>
      <c r="C122" s="9" t="s">
        <v>51</v>
      </c>
      <c r="D122" s="9"/>
      <c r="E122" s="9"/>
      <c r="F122" s="9" t="s">
        <v>126</v>
      </c>
      <c r="G122" s="9"/>
      <c r="H122" s="9"/>
      <c r="I122" s="9"/>
      <c r="J122" t="s">
        <v>89</v>
      </c>
      <c r="K122" s="10">
        <v>9</v>
      </c>
      <c r="L122" s="10" t="s">
        <v>39</v>
      </c>
      <c r="M122" s="9"/>
      <c r="N122" t="s">
        <v>98</v>
      </c>
    </row>
    <row r="123" spans="1:14" x14ac:dyDescent="0.25">
      <c r="A123" t="s">
        <v>195</v>
      </c>
      <c r="B123" s="9"/>
      <c r="C123" s="10" t="s">
        <v>96</v>
      </c>
      <c r="D123" s="9"/>
      <c r="E123" s="9"/>
      <c r="F123" s="9"/>
      <c r="G123" s="9"/>
      <c r="H123" s="9"/>
      <c r="I123" s="9"/>
      <c r="J123" t="s">
        <v>88</v>
      </c>
      <c r="K123" s="10">
        <v>80</v>
      </c>
      <c r="L123" s="10" t="s">
        <v>39</v>
      </c>
      <c r="M123" s="9"/>
      <c r="N123" t="s">
        <v>98</v>
      </c>
    </row>
    <row r="124" spans="1:14" x14ac:dyDescent="0.25">
      <c r="A124" t="s">
        <v>195</v>
      </c>
      <c r="B124" s="9"/>
      <c r="C124" s="10" t="s">
        <v>96</v>
      </c>
      <c r="D124" s="9"/>
      <c r="E124" s="9"/>
      <c r="F124" s="10" t="s">
        <v>127</v>
      </c>
      <c r="G124" s="9"/>
      <c r="H124" s="9"/>
      <c r="I124" s="9"/>
      <c r="J124" t="s">
        <v>89</v>
      </c>
      <c r="K124" s="10">
        <v>20</v>
      </c>
      <c r="L124" s="10" t="s">
        <v>39</v>
      </c>
      <c r="M124" s="9"/>
      <c r="N124" t="s">
        <v>98</v>
      </c>
    </row>
    <row r="125" spans="1:14" x14ac:dyDescent="0.25">
      <c r="A125" t="s">
        <v>200</v>
      </c>
      <c r="B125" s="9"/>
      <c r="C125" s="10" t="s">
        <v>96</v>
      </c>
      <c r="D125" s="9"/>
      <c r="E125" s="9"/>
      <c r="F125" s="10"/>
      <c r="G125" s="9"/>
      <c r="H125" s="9"/>
      <c r="I125" s="9"/>
      <c r="J125" t="s">
        <v>88</v>
      </c>
      <c r="K125" s="10">
        <v>100</v>
      </c>
      <c r="L125" s="10" t="s">
        <v>39</v>
      </c>
      <c r="M125" s="9"/>
      <c r="N125" t="s">
        <v>98</v>
      </c>
    </row>
    <row r="126" spans="1:14" x14ac:dyDescent="0.25">
      <c r="A126" t="s">
        <v>196</v>
      </c>
      <c r="B126" s="9"/>
      <c r="C126" s="10" t="s">
        <v>97</v>
      </c>
      <c r="D126" s="9"/>
      <c r="E126" s="9"/>
      <c r="F126" s="9"/>
      <c r="G126" s="9"/>
      <c r="H126" s="9"/>
      <c r="I126" s="9"/>
      <c r="J126" t="s">
        <v>88</v>
      </c>
      <c r="K126" s="10">
        <v>53</v>
      </c>
      <c r="L126" s="10" t="s">
        <v>39</v>
      </c>
      <c r="M126" s="9"/>
      <c r="N126" t="s">
        <v>98</v>
      </c>
    </row>
    <row r="127" spans="1:14" x14ac:dyDescent="0.25">
      <c r="A127" t="s">
        <v>196</v>
      </c>
      <c r="B127" s="9"/>
      <c r="C127" s="10" t="s">
        <v>97</v>
      </c>
      <c r="D127" s="9"/>
      <c r="E127" s="9"/>
      <c r="F127" s="10" t="s">
        <v>128</v>
      </c>
      <c r="G127" s="9"/>
      <c r="H127" s="9"/>
      <c r="I127" s="9"/>
      <c r="J127" t="s">
        <v>89</v>
      </c>
      <c r="K127" s="10">
        <v>20</v>
      </c>
      <c r="L127" s="10" t="s">
        <v>39</v>
      </c>
      <c r="M127" s="9"/>
      <c r="N127" t="s">
        <v>98</v>
      </c>
    </row>
    <row r="128" spans="1:14" x14ac:dyDescent="0.25">
      <c r="A128" t="s">
        <v>196</v>
      </c>
      <c r="B128" s="9"/>
      <c r="C128" s="10" t="s">
        <v>97</v>
      </c>
      <c r="D128" s="9"/>
      <c r="E128" s="9"/>
      <c r="F128" s="10" t="s">
        <v>192</v>
      </c>
      <c r="G128" s="9"/>
      <c r="H128" s="9"/>
      <c r="I128" s="9"/>
      <c r="J128" t="s">
        <v>89</v>
      </c>
      <c r="K128" s="10">
        <v>27</v>
      </c>
      <c r="L128" s="10" t="s">
        <v>39</v>
      </c>
      <c r="M128" s="9"/>
      <c r="N128" t="s">
        <v>98</v>
      </c>
    </row>
    <row r="129" spans="1:14" x14ac:dyDescent="0.25">
      <c r="A129" t="s">
        <v>201</v>
      </c>
      <c r="B129" s="9"/>
      <c r="C129" s="10" t="s">
        <v>97</v>
      </c>
      <c r="D129" s="9"/>
      <c r="E129" s="9"/>
      <c r="F129" s="10"/>
      <c r="G129" s="9"/>
      <c r="H129" s="9"/>
      <c r="I129" s="9"/>
      <c r="J129" t="s">
        <v>88</v>
      </c>
      <c r="K129" s="10">
        <v>73</v>
      </c>
      <c r="L129" s="10" t="s">
        <v>39</v>
      </c>
      <c r="M129" s="9"/>
      <c r="N129" t="s">
        <v>98</v>
      </c>
    </row>
    <row r="130" spans="1:14" x14ac:dyDescent="0.25">
      <c r="A130" t="s">
        <v>201</v>
      </c>
      <c r="B130" s="9"/>
      <c r="C130" s="10" t="s">
        <v>97</v>
      </c>
      <c r="D130" s="9"/>
      <c r="E130" s="9"/>
      <c r="F130" s="10" t="s">
        <v>192</v>
      </c>
      <c r="G130" s="9"/>
      <c r="H130" s="9"/>
      <c r="I130" s="9"/>
      <c r="J130" t="s">
        <v>89</v>
      </c>
      <c r="K130" s="10">
        <v>27</v>
      </c>
      <c r="L130" s="10" t="s">
        <v>39</v>
      </c>
      <c r="M130" s="9"/>
      <c r="N130" t="s">
        <v>98</v>
      </c>
    </row>
    <row r="131" spans="1:14" x14ac:dyDescent="0.25">
      <c r="A131" s="5" t="s">
        <v>11</v>
      </c>
      <c r="B131" s="5"/>
      <c r="C131" s="5"/>
      <c r="D131" s="5"/>
      <c r="E131" s="5"/>
      <c r="F131" s="5"/>
      <c r="G131" s="5"/>
      <c r="H131" s="5"/>
      <c r="I131" s="5"/>
      <c r="J131" s="6"/>
      <c r="K131" s="6"/>
      <c r="L131" s="6"/>
      <c r="M131" s="6"/>
      <c r="N131" s="6"/>
    </row>
    <row r="132" spans="1:14" x14ac:dyDescent="0.25">
      <c r="A132" s="18" t="s">
        <v>105</v>
      </c>
      <c r="B132" s="9"/>
      <c r="C132" s="10" t="s">
        <v>111</v>
      </c>
      <c r="D132" s="9"/>
      <c r="E132" s="9"/>
      <c r="F132" s="10"/>
      <c r="G132" s="9"/>
      <c r="H132" s="9"/>
      <c r="I132" s="9"/>
      <c r="J132" t="s">
        <v>88</v>
      </c>
      <c r="K132" s="12">
        <v>100</v>
      </c>
      <c r="L132" s="10" t="s">
        <v>39</v>
      </c>
      <c r="M132" s="11" t="s">
        <v>110</v>
      </c>
    </row>
    <row r="133" spans="1:14" x14ac:dyDescent="0.25">
      <c r="A133" s="18" t="s">
        <v>106</v>
      </c>
      <c r="B133" s="9"/>
      <c r="C133" s="10" t="s">
        <v>111</v>
      </c>
      <c r="D133" s="9"/>
      <c r="E133" s="9"/>
      <c r="F133" s="10"/>
      <c r="G133" s="9"/>
      <c r="H133" s="9"/>
      <c r="I133" s="9"/>
      <c r="J133" t="s">
        <v>88</v>
      </c>
      <c r="K133" s="10">
        <v>50</v>
      </c>
      <c r="L133" s="10" t="s">
        <v>39</v>
      </c>
      <c r="M133" s="9"/>
    </row>
    <row r="134" spans="1:14" x14ac:dyDescent="0.25">
      <c r="A134" s="18" t="s">
        <v>106</v>
      </c>
      <c r="B134" s="9"/>
      <c r="C134" s="10" t="s">
        <v>111</v>
      </c>
      <c r="D134" s="9"/>
      <c r="E134" s="9"/>
      <c r="F134" s="10" t="s">
        <v>129</v>
      </c>
      <c r="G134" s="9"/>
      <c r="H134" s="9"/>
      <c r="I134" s="9"/>
      <c r="J134" t="s">
        <v>89</v>
      </c>
      <c r="K134" s="10">
        <v>50</v>
      </c>
      <c r="L134" s="10" t="s">
        <v>39</v>
      </c>
      <c r="M134" s="9"/>
    </row>
    <row r="135" spans="1:14" x14ac:dyDescent="0.25">
      <c r="A135" s="18" t="s">
        <v>227</v>
      </c>
      <c r="B135" s="9"/>
      <c r="C135" s="12" t="s">
        <v>112</v>
      </c>
      <c r="D135" s="9"/>
      <c r="E135" s="9"/>
      <c r="F135" s="10"/>
      <c r="G135" s="9"/>
      <c r="H135" s="9"/>
      <c r="I135" s="9"/>
      <c r="J135" t="s">
        <v>88</v>
      </c>
      <c r="K135" s="19">
        <v>20</v>
      </c>
      <c r="L135" s="10" t="s">
        <v>39</v>
      </c>
      <c r="M135" s="11" t="s">
        <v>228</v>
      </c>
    </row>
    <row r="136" spans="1:14" x14ac:dyDescent="0.25">
      <c r="A136" s="18" t="s">
        <v>107</v>
      </c>
      <c r="B136" s="9"/>
      <c r="C136" s="10" t="s">
        <v>112</v>
      </c>
      <c r="D136" s="9"/>
      <c r="E136" s="9"/>
      <c r="F136" s="10"/>
      <c r="G136" s="9"/>
      <c r="H136" s="9"/>
      <c r="I136" s="9"/>
      <c r="J136" t="s">
        <v>88</v>
      </c>
      <c r="K136" s="19">
        <v>19</v>
      </c>
      <c r="L136" s="10" t="s">
        <v>39</v>
      </c>
      <c r="M136" s="20"/>
    </row>
    <row r="137" spans="1:14" x14ac:dyDescent="0.25">
      <c r="A137" s="18" t="s">
        <v>107</v>
      </c>
      <c r="B137" s="9"/>
      <c r="C137" s="10" t="s">
        <v>112</v>
      </c>
      <c r="D137" s="9"/>
      <c r="E137" s="9"/>
      <c r="F137" t="s">
        <v>206</v>
      </c>
      <c r="G137" s="9"/>
      <c r="H137" s="9"/>
      <c r="I137" s="9"/>
      <c r="J137" t="s">
        <v>89</v>
      </c>
      <c r="K137" s="29">
        <f>0.02*0.5*100/(844/1000)/0.9</f>
        <v>1.3164823591363877</v>
      </c>
      <c r="L137" s="10" t="s">
        <v>39</v>
      </c>
      <c r="M137" s="20" t="s">
        <v>207</v>
      </c>
      <c r="N137" s="10" t="s">
        <v>208</v>
      </c>
    </row>
    <row r="138" spans="1:14" x14ac:dyDescent="0.25">
      <c r="A138" s="5" t="s">
        <v>12</v>
      </c>
      <c r="B138" s="5"/>
      <c r="C138" s="5"/>
      <c r="D138" s="5"/>
      <c r="E138" s="5"/>
      <c r="F138" s="5"/>
      <c r="G138" s="5"/>
      <c r="H138" s="5"/>
      <c r="I138" s="5"/>
      <c r="J138" s="6"/>
      <c r="K138" s="6"/>
      <c r="L138" s="6"/>
      <c r="M138" s="6"/>
      <c r="N138" s="6"/>
    </row>
    <row r="139" spans="1:14" x14ac:dyDescent="0.25">
      <c r="A139" s="18" t="s">
        <v>148</v>
      </c>
      <c r="C139" s="10" t="s">
        <v>149</v>
      </c>
      <c r="J139" t="s">
        <v>88</v>
      </c>
      <c r="K139" s="19">
        <v>100</v>
      </c>
      <c r="L139" s="18" t="s">
        <v>39</v>
      </c>
    </row>
    <row r="140" spans="1:14" x14ac:dyDescent="0.25">
      <c r="A140" s="18" t="s">
        <v>154</v>
      </c>
      <c r="C140" s="10" t="s">
        <v>160</v>
      </c>
      <c r="J140" t="s">
        <v>88</v>
      </c>
      <c r="K140" s="19">
        <v>100</v>
      </c>
      <c r="L140" s="18" t="s">
        <v>39</v>
      </c>
    </row>
    <row r="141" spans="1:14" x14ac:dyDescent="0.25">
      <c r="A141" s="18" t="s">
        <v>150</v>
      </c>
      <c r="C141" s="10" t="s">
        <v>156</v>
      </c>
      <c r="J141" t="s">
        <v>88</v>
      </c>
      <c r="K141" s="19">
        <v>100</v>
      </c>
      <c r="L141" s="18" t="s">
        <v>39</v>
      </c>
    </row>
    <row r="142" spans="1:14" x14ac:dyDescent="0.25">
      <c r="A142" s="18" t="s">
        <v>151</v>
      </c>
      <c r="C142" s="10" t="s">
        <v>157</v>
      </c>
      <c r="J142" t="s">
        <v>88</v>
      </c>
      <c r="K142" s="19">
        <v>100</v>
      </c>
      <c r="L142" s="18" t="s">
        <v>39</v>
      </c>
    </row>
    <row r="143" spans="1:14" x14ac:dyDescent="0.25">
      <c r="A143" s="18" t="s">
        <v>152</v>
      </c>
      <c r="C143" s="10" t="s">
        <v>158</v>
      </c>
      <c r="J143" t="s">
        <v>88</v>
      </c>
      <c r="K143" s="19">
        <v>100</v>
      </c>
      <c r="L143" s="18" t="s">
        <v>39</v>
      </c>
    </row>
    <row r="144" spans="1:14" x14ac:dyDescent="0.25">
      <c r="A144" s="18" t="s">
        <v>153</v>
      </c>
      <c r="C144" s="10" t="s">
        <v>155</v>
      </c>
      <c r="J144" t="s">
        <v>88</v>
      </c>
      <c r="K144" s="19">
        <v>100</v>
      </c>
      <c r="L144" s="18" t="s">
        <v>39</v>
      </c>
    </row>
    <row r="145" spans="1:14" x14ac:dyDescent="0.25">
      <c r="A145" s="18" t="s">
        <v>113</v>
      </c>
      <c r="B145" s="9"/>
      <c r="C145" s="10" t="s">
        <v>115</v>
      </c>
      <c r="D145" s="9"/>
      <c r="E145" s="9"/>
      <c r="F145" s="10"/>
      <c r="G145" s="9"/>
      <c r="H145" s="9"/>
      <c r="I145" s="9"/>
      <c r="J145" t="s">
        <v>88</v>
      </c>
      <c r="K145" s="19">
        <v>100</v>
      </c>
      <c r="L145" s="18" t="s">
        <v>39</v>
      </c>
      <c r="M145" s="11"/>
    </row>
    <row r="146" spans="1:14" x14ac:dyDescent="0.25">
      <c r="A146" s="18" t="s">
        <v>116</v>
      </c>
      <c r="B146" s="9"/>
      <c r="C146" s="10" t="s">
        <v>117</v>
      </c>
      <c r="D146" s="9"/>
      <c r="E146" s="9"/>
      <c r="F146" s="10"/>
      <c r="G146" s="9"/>
      <c r="H146" s="9"/>
      <c r="I146" s="9"/>
      <c r="J146" t="s">
        <v>88</v>
      </c>
      <c r="K146" s="19">
        <v>100</v>
      </c>
      <c r="L146" s="18" t="s">
        <v>39</v>
      </c>
      <c r="M146" s="11"/>
    </row>
    <row r="147" spans="1:14" x14ac:dyDescent="0.25">
      <c r="A147" s="18" t="s">
        <v>161</v>
      </c>
      <c r="B147" s="9"/>
      <c r="C147" s="10" t="s">
        <v>159</v>
      </c>
      <c r="D147" s="9"/>
      <c r="E147" s="9"/>
      <c r="F147" s="10"/>
      <c r="G147" s="9"/>
      <c r="H147" s="9"/>
      <c r="I147" s="9"/>
      <c r="J147" t="s">
        <v>88</v>
      </c>
      <c r="K147" s="19">
        <v>100</v>
      </c>
      <c r="L147" s="18" t="s">
        <v>39</v>
      </c>
      <c r="M147" s="11"/>
    </row>
    <row r="148" spans="1:14" x14ac:dyDescent="0.25">
      <c r="A148" s="5" t="s">
        <v>14</v>
      </c>
      <c r="B148" s="5"/>
      <c r="C148" s="5"/>
      <c r="D148" s="5"/>
      <c r="E148" s="5"/>
      <c r="F148" s="5"/>
      <c r="G148" s="5"/>
      <c r="H148" s="5"/>
      <c r="I148" s="5"/>
      <c r="J148" s="6"/>
      <c r="K148" s="6"/>
      <c r="L148" s="6"/>
      <c r="M148" s="6"/>
      <c r="N148" s="6"/>
    </row>
    <row r="149" spans="1:14" x14ac:dyDescent="0.25">
      <c r="A149" s="11" t="s">
        <v>65</v>
      </c>
      <c r="B149" s="11"/>
      <c r="C149" s="11"/>
      <c r="D149" s="11" t="s">
        <v>82</v>
      </c>
      <c r="E149" s="11" t="s">
        <v>62</v>
      </c>
      <c r="F149" s="11"/>
      <c r="G149" s="11"/>
      <c r="H149" s="11"/>
      <c r="I149" s="11"/>
      <c r="J149" t="s">
        <v>88</v>
      </c>
      <c r="K149" s="13">
        <f>100-K150</f>
        <v>90.75</v>
      </c>
      <c r="L149" s="11" t="s">
        <v>39</v>
      </c>
      <c r="M149" t="s">
        <v>74</v>
      </c>
      <c r="N149" s="9" t="s">
        <v>99</v>
      </c>
    </row>
    <row r="150" spans="1:14" x14ac:dyDescent="0.25">
      <c r="A150" s="11" t="s">
        <v>65</v>
      </c>
      <c r="B150" s="11"/>
      <c r="C150" s="11"/>
      <c r="D150" s="11" t="s">
        <v>82</v>
      </c>
      <c r="E150" s="11" t="s">
        <v>62</v>
      </c>
      <c r="F150" s="11" t="s">
        <v>63</v>
      </c>
      <c r="G150" s="11"/>
      <c r="H150" s="11"/>
      <c r="I150" s="11"/>
      <c r="J150" t="s">
        <v>89</v>
      </c>
      <c r="K150" s="13">
        <f>(0.042-0.005)/0.4*100</f>
        <v>9.2500000000000018</v>
      </c>
      <c r="L150" s="11" t="s">
        <v>39</v>
      </c>
      <c r="N150" s="9" t="s">
        <v>99</v>
      </c>
    </row>
    <row r="151" spans="1:14" x14ac:dyDescent="0.25">
      <c r="A151" s="11" t="s">
        <v>64</v>
      </c>
      <c r="B151" s="11"/>
      <c r="C151" s="11"/>
      <c r="D151" s="11" t="s">
        <v>82</v>
      </c>
      <c r="E151" s="11" t="s">
        <v>62</v>
      </c>
      <c r="F151" s="11"/>
      <c r="G151" s="11"/>
      <c r="H151" s="11"/>
      <c r="I151" s="11"/>
      <c r="J151" t="s">
        <v>88</v>
      </c>
      <c r="K151" s="13">
        <f>100-K152</f>
        <v>93.25</v>
      </c>
      <c r="L151" s="11" t="s">
        <v>39</v>
      </c>
      <c r="M151" t="s">
        <v>75</v>
      </c>
      <c r="N151" s="9" t="s">
        <v>99</v>
      </c>
    </row>
    <row r="152" spans="1:14" x14ac:dyDescent="0.25">
      <c r="A152" s="11" t="s">
        <v>64</v>
      </c>
      <c r="B152" s="11"/>
      <c r="C152" s="11"/>
      <c r="D152" s="11" t="s">
        <v>82</v>
      </c>
      <c r="E152" s="11" t="s">
        <v>62</v>
      </c>
      <c r="F152" s="11" t="s">
        <v>63</v>
      </c>
      <c r="G152" s="11"/>
      <c r="H152" s="11"/>
      <c r="I152" s="11"/>
      <c r="J152" t="s">
        <v>89</v>
      </c>
      <c r="K152" s="13">
        <f>(0.042-0.015)/0.4*100</f>
        <v>6.75</v>
      </c>
      <c r="L152" s="11" t="s">
        <v>39</v>
      </c>
      <c r="N152" s="9" t="s">
        <v>99</v>
      </c>
    </row>
    <row r="153" spans="1:14" x14ac:dyDescent="0.25">
      <c r="A153" s="11" t="s">
        <v>66</v>
      </c>
      <c r="B153" s="11"/>
      <c r="C153" s="11"/>
      <c r="D153" s="11" t="s">
        <v>82</v>
      </c>
      <c r="E153" s="11" t="s">
        <v>62</v>
      </c>
      <c r="F153" s="11"/>
      <c r="G153" s="11"/>
      <c r="H153" s="11"/>
      <c r="I153" s="11"/>
      <c r="J153" t="s">
        <v>88</v>
      </c>
      <c r="K153" s="13">
        <f>100-K154</f>
        <v>93.25</v>
      </c>
      <c r="L153" s="11" t="s">
        <v>39</v>
      </c>
      <c r="M153" t="s">
        <v>76</v>
      </c>
      <c r="N153" s="9" t="s">
        <v>99</v>
      </c>
    </row>
    <row r="154" spans="1:14" x14ac:dyDescent="0.25">
      <c r="A154" s="11" t="s">
        <v>66</v>
      </c>
      <c r="B154" s="11"/>
      <c r="C154" s="11"/>
      <c r="D154" s="11" t="s">
        <v>82</v>
      </c>
      <c r="E154" s="11" t="s">
        <v>62</v>
      </c>
      <c r="F154" s="11" t="s">
        <v>63</v>
      </c>
      <c r="G154" s="11"/>
      <c r="H154" s="11"/>
      <c r="I154" s="11"/>
      <c r="J154" t="s">
        <v>89</v>
      </c>
      <c r="K154" s="13">
        <f>(0.042-0.015)/0.4*100</f>
        <v>6.75</v>
      </c>
      <c r="L154" s="11" t="s">
        <v>39</v>
      </c>
      <c r="N154" s="9" t="s">
        <v>99</v>
      </c>
    </row>
    <row r="155" spans="1:14" x14ac:dyDescent="0.25">
      <c r="A155" s="11" t="s">
        <v>67</v>
      </c>
      <c r="B155" s="11"/>
      <c r="C155" s="11"/>
      <c r="D155" s="11" t="s">
        <v>82</v>
      </c>
      <c r="E155" s="11" t="s">
        <v>62</v>
      </c>
      <c r="F155" s="11"/>
      <c r="G155" s="11"/>
      <c r="H155" s="11"/>
      <c r="I155" s="11"/>
      <c r="J155" t="s">
        <v>88</v>
      </c>
      <c r="K155" s="13">
        <f>(100-K156)*0.1</f>
        <v>9.3250000000000011</v>
      </c>
      <c r="L155" s="11" t="s">
        <v>39</v>
      </c>
      <c r="M155" t="s">
        <v>83</v>
      </c>
      <c r="N155" s="9" t="s">
        <v>99</v>
      </c>
    </row>
    <row r="156" spans="1:14" x14ac:dyDescent="0.25">
      <c r="A156" s="11" t="s">
        <v>67</v>
      </c>
      <c r="B156" s="11"/>
      <c r="C156" s="11"/>
      <c r="D156" s="11" t="s">
        <v>82</v>
      </c>
      <c r="E156" s="11" t="s">
        <v>62</v>
      </c>
      <c r="F156" s="11" t="s">
        <v>63</v>
      </c>
      <c r="G156" s="11"/>
      <c r="H156" s="11"/>
      <c r="I156" s="11"/>
      <c r="J156" t="s">
        <v>89</v>
      </c>
      <c r="K156" s="13">
        <f>(0.042-0.015)/0.4*100</f>
        <v>6.75</v>
      </c>
      <c r="L156" s="11" t="s">
        <v>39</v>
      </c>
      <c r="N156" s="9" t="s">
        <v>99</v>
      </c>
    </row>
    <row r="157" spans="1:14" x14ac:dyDescent="0.25">
      <c r="A157" s="11" t="s">
        <v>67</v>
      </c>
      <c r="B157" s="11"/>
      <c r="C157" s="11"/>
      <c r="D157" s="11" t="s">
        <v>82</v>
      </c>
      <c r="E157" s="11" t="s">
        <v>62</v>
      </c>
      <c r="F157" s="11" t="s">
        <v>73</v>
      </c>
      <c r="G157" s="11"/>
      <c r="H157" s="11"/>
      <c r="I157" s="11"/>
      <c r="J157" t="s">
        <v>89</v>
      </c>
      <c r="K157" s="13">
        <f>(100-K156)*0.9</f>
        <v>83.924999999999997</v>
      </c>
      <c r="L157" s="11" t="s">
        <v>39</v>
      </c>
      <c r="N157" s="9" t="s">
        <v>99</v>
      </c>
    </row>
    <row r="158" spans="1:14" x14ac:dyDescent="0.25">
      <c r="A158" s="11" t="s">
        <v>71</v>
      </c>
      <c r="B158" s="11"/>
      <c r="C158" s="11"/>
      <c r="D158" s="11" t="s">
        <v>82</v>
      </c>
      <c r="E158" s="11" t="s">
        <v>63</v>
      </c>
      <c r="F158" s="11"/>
      <c r="G158" s="11"/>
      <c r="H158" s="11"/>
      <c r="I158" s="11"/>
      <c r="J158" t="s">
        <v>88</v>
      </c>
      <c r="K158" s="11">
        <f>1/(0.1/0.4)*100</f>
        <v>400</v>
      </c>
      <c r="L158" s="11" t="s">
        <v>39</v>
      </c>
      <c r="M158" t="s">
        <v>81</v>
      </c>
      <c r="N158" s="9" t="s">
        <v>99</v>
      </c>
    </row>
    <row r="159" spans="1:14" x14ac:dyDescent="0.25">
      <c r="A159" s="12" t="s">
        <v>72</v>
      </c>
      <c r="B159" s="11"/>
      <c r="C159" s="11"/>
      <c r="D159" s="11" t="s">
        <v>82</v>
      </c>
      <c r="E159" s="11" t="s">
        <v>63</v>
      </c>
      <c r="F159" s="11"/>
      <c r="G159" s="11"/>
      <c r="H159" s="11"/>
      <c r="I159" s="11"/>
      <c r="J159" t="s">
        <v>88</v>
      </c>
      <c r="K159" s="13">
        <f>1/(0.12/0.4)*100</f>
        <v>333.33333333333337</v>
      </c>
      <c r="L159" s="11" t="s">
        <v>39</v>
      </c>
      <c r="M159" t="s">
        <v>77</v>
      </c>
      <c r="N159" s="9" t="s">
        <v>99</v>
      </c>
    </row>
    <row r="160" spans="1:14" x14ac:dyDescent="0.25">
      <c r="A160" s="11" t="s">
        <v>69</v>
      </c>
      <c r="B160" s="11"/>
      <c r="C160" s="11"/>
      <c r="D160" s="11" t="s">
        <v>82</v>
      </c>
      <c r="E160" s="11" t="s">
        <v>63</v>
      </c>
      <c r="F160" s="11"/>
      <c r="G160" s="11"/>
      <c r="H160" s="11"/>
      <c r="I160" s="11"/>
      <c r="J160" t="s">
        <v>88</v>
      </c>
      <c r="K160" s="13">
        <f>1/(0.13/0.4)*100</f>
        <v>307.69230769230768</v>
      </c>
      <c r="L160" s="11" t="s">
        <v>39</v>
      </c>
      <c r="M160" t="s">
        <v>78</v>
      </c>
      <c r="N160" s="9" t="s">
        <v>99</v>
      </c>
    </row>
    <row r="161" spans="1:14" x14ac:dyDescent="0.25">
      <c r="A161" s="11" t="s">
        <v>70</v>
      </c>
      <c r="B161" s="11"/>
      <c r="C161" s="11"/>
      <c r="D161" s="11" t="s">
        <v>82</v>
      </c>
      <c r="E161" s="11" t="s">
        <v>63</v>
      </c>
      <c r="F161" s="11"/>
      <c r="G161" s="11"/>
      <c r="H161" s="11"/>
      <c r="I161" s="11"/>
      <c r="J161" t="s">
        <v>88</v>
      </c>
      <c r="K161" s="11">
        <f>1/(0.4/0.4)*100</f>
        <v>100</v>
      </c>
      <c r="L161" s="11" t="s">
        <v>39</v>
      </c>
      <c r="M161" t="s">
        <v>79</v>
      </c>
      <c r="N161" s="9" t="s">
        <v>99</v>
      </c>
    </row>
    <row r="162" spans="1:14" x14ac:dyDescent="0.25">
      <c r="A162" s="11" t="s">
        <v>68</v>
      </c>
      <c r="B162" s="11"/>
      <c r="C162" s="11"/>
      <c r="D162" s="11" t="s">
        <v>82</v>
      </c>
      <c r="E162" s="11" t="s">
        <v>63</v>
      </c>
      <c r="F162" s="11"/>
      <c r="G162" s="11"/>
      <c r="H162" s="11"/>
      <c r="I162" s="11"/>
      <c r="J162" t="s">
        <v>88</v>
      </c>
      <c r="K162" s="13">
        <f>1/((0.4-0.8)/(0.01-0.4)+1)*100</f>
        <v>49.367088607594937</v>
      </c>
      <c r="L162" s="11" t="s">
        <v>39</v>
      </c>
      <c r="M162" t="s">
        <v>80</v>
      </c>
      <c r="N162" s="9" t="s">
        <v>99</v>
      </c>
    </row>
    <row r="163" spans="1:14" x14ac:dyDescent="0.25">
      <c r="A163" s="11" t="s">
        <v>68</v>
      </c>
      <c r="B163" s="9"/>
      <c r="C163" s="9"/>
      <c r="D163" s="11" t="s">
        <v>82</v>
      </c>
      <c r="E163" s="11" t="s">
        <v>63</v>
      </c>
      <c r="F163" s="11" t="s">
        <v>85</v>
      </c>
      <c r="G163" s="9"/>
      <c r="H163" s="9"/>
      <c r="I163" s="9"/>
      <c r="J163" t="s">
        <v>89</v>
      </c>
      <c r="K163" s="15">
        <f>1/((0.01-0.4)/(0.4-0.8)+1)*100</f>
        <v>50.632911392405056</v>
      </c>
      <c r="L163" s="11" t="s">
        <v>39</v>
      </c>
      <c r="M163" s="9" t="s">
        <v>86</v>
      </c>
      <c r="N163" s="9" t="s">
        <v>99</v>
      </c>
    </row>
    <row r="164" spans="1:14" x14ac:dyDescent="0.25">
      <c r="A164" s="5" t="s">
        <v>23</v>
      </c>
      <c r="B164" s="5"/>
      <c r="C164" s="5"/>
      <c r="D164" s="5"/>
      <c r="E164" s="5"/>
      <c r="F164" s="5"/>
      <c r="G164" s="5"/>
      <c r="H164" s="5"/>
      <c r="I164" s="5"/>
      <c r="J164" s="6"/>
      <c r="K164" s="6"/>
      <c r="L164" s="6"/>
      <c r="M164" s="6"/>
      <c r="N164" s="6"/>
    </row>
    <row r="165" spans="1:14" x14ac:dyDescent="0.25">
      <c r="A165" s="9" t="s">
        <v>57</v>
      </c>
      <c r="B165" s="9"/>
      <c r="C165" s="9"/>
      <c r="D165" s="9" t="s">
        <v>60</v>
      </c>
      <c r="E165" s="9" t="s">
        <v>58</v>
      </c>
      <c r="F165" s="9"/>
      <c r="G165" s="9"/>
      <c r="H165" s="9"/>
      <c r="I165" s="9"/>
      <c r="J165" t="s">
        <v>88</v>
      </c>
      <c r="K165" s="10">
        <v>73</v>
      </c>
      <c r="L165" s="9" t="s">
        <v>39</v>
      </c>
      <c r="M165" s="9"/>
      <c r="N165" s="9" t="s">
        <v>98</v>
      </c>
    </row>
    <row r="166" spans="1:14" x14ac:dyDescent="0.25">
      <c r="A166" s="9" t="s">
        <v>57</v>
      </c>
      <c r="B166" s="9"/>
      <c r="C166" s="9"/>
      <c r="D166" s="9" t="s">
        <v>60</v>
      </c>
      <c r="E166" s="9" t="s">
        <v>58</v>
      </c>
      <c r="F166" s="9" t="s">
        <v>130</v>
      </c>
      <c r="G166" s="9"/>
      <c r="H166" s="9"/>
      <c r="I166" s="9"/>
      <c r="J166" t="s">
        <v>89</v>
      </c>
      <c r="K166" s="17">
        <f>(1/0.76)*4</f>
        <v>5.2631578947368425</v>
      </c>
      <c r="L166" s="9" t="s">
        <v>39</v>
      </c>
      <c r="M166" s="10" t="s">
        <v>102</v>
      </c>
      <c r="N166" s="9" t="s">
        <v>98</v>
      </c>
    </row>
    <row r="167" spans="1:14" x14ac:dyDescent="0.25">
      <c r="A167" s="9" t="s">
        <v>57</v>
      </c>
      <c r="B167" s="9"/>
      <c r="C167" s="9"/>
      <c r="D167" s="9" t="s">
        <v>60</v>
      </c>
      <c r="E167" s="9" t="s">
        <v>58</v>
      </c>
      <c r="F167" s="9" t="s">
        <v>131</v>
      </c>
      <c r="G167" s="9"/>
      <c r="H167" s="9"/>
      <c r="I167" s="9"/>
      <c r="J167" t="s">
        <v>89</v>
      </c>
      <c r="K167" s="17">
        <f>(1/0.76)*6</f>
        <v>7.8947368421052637</v>
      </c>
      <c r="L167" s="9" t="s">
        <v>39</v>
      </c>
      <c r="M167" s="10" t="s">
        <v>102</v>
      </c>
      <c r="N167" s="9" t="s">
        <v>98</v>
      </c>
    </row>
    <row r="168" spans="1:14" x14ac:dyDescent="0.25">
      <c r="A168" s="9" t="s">
        <v>57</v>
      </c>
      <c r="B168" s="9"/>
      <c r="C168" s="9"/>
      <c r="D168" s="9" t="s">
        <v>60</v>
      </c>
      <c r="E168" s="9" t="s">
        <v>58</v>
      </c>
      <c r="F168" s="9" t="s">
        <v>132</v>
      </c>
      <c r="G168" s="9"/>
      <c r="H168" s="9"/>
      <c r="I168" s="9"/>
      <c r="J168" t="s">
        <v>89</v>
      </c>
      <c r="K168" s="17">
        <f>(1/0.76)*5</f>
        <v>6.5789473684210531</v>
      </c>
      <c r="L168" s="9" t="s">
        <v>39</v>
      </c>
      <c r="M168" s="10" t="s">
        <v>102</v>
      </c>
      <c r="N168" s="9" t="s">
        <v>98</v>
      </c>
    </row>
    <row r="169" spans="1:14" x14ac:dyDescent="0.25">
      <c r="A169" s="9" t="s">
        <v>57</v>
      </c>
      <c r="B169" s="9"/>
      <c r="C169" s="9"/>
      <c r="D169" s="9" t="s">
        <v>60</v>
      </c>
      <c r="E169" s="9" t="s">
        <v>58</v>
      </c>
      <c r="F169" s="9" t="s">
        <v>133</v>
      </c>
      <c r="G169" s="9"/>
      <c r="H169" s="9"/>
      <c r="I169" s="9"/>
      <c r="J169" t="s">
        <v>89</v>
      </c>
      <c r="K169" s="10">
        <v>18</v>
      </c>
      <c r="L169" s="9" t="s">
        <v>39</v>
      </c>
      <c r="M169" s="9"/>
      <c r="N169" s="9" t="s">
        <v>98</v>
      </c>
    </row>
    <row r="170" spans="1:14" x14ac:dyDescent="0.25">
      <c r="A170" t="s">
        <v>101</v>
      </c>
      <c r="B170" s="9"/>
      <c r="C170" s="9"/>
      <c r="D170" s="10" t="s">
        <v>82</v>
      </c>
      <c r="E170" s="10" t="s">
        <v>58</v>
      </c>
      <c r="F170" s="9"/>
      <c r="G170" s="9"/>
      <c r="H170" s="9"/>
      <c r="I170" s="9"/>
      <c r="J170" t="s">
        <v>88</v>
      </c>
      <c r="K170" s="10">
        <v>71</v>
      </c>
      <c r="L170" s="10" t="s">
        <v>39</v>
      </c>
      <c r="M170" s="9"/>
      <c r="N170" s="9" t="s">
        <v>98</v>
      </c>
    </row>
    <row r="171" spans="1:14" x14ac:dyDescent="0.25">
      <c r="A171" t="s">
        <v>101</v>
      </c>
      <c r="B171" s="9"/>
      <c r="C171" s="9"/>
      <c r="D171" s="10" t="s">
        <v>82</v>
      </c>
      <c r="E171" s="10" t="s">
        <v>58</v>
      </c>
      <c r="F171" s="10" t="s">
        <v>134</v>
      </c>
      <c r="G171" s="9"/>
      <c r="H171" s="9"/>
      <c r="I171" s="9"/>
      <c r="J171" t="s">
        <v>89</v>
      </c>
      <c r="K171" s="17">
        <f>(1/0.52)*7</f>
        <v>13.46153846153846</v>
      </c>
      <c r="L171" s="10" t="s">
        <v>39</v>
      </c>
      <c r="M171" s="10" t="s">
        <v>103</v>
      </c>
      <c r="N171" s="9" t="s">
        <v>98</v>
      </c>
    </row>
    <row r="172" spans="1:14" x14ac:dyDescent="0.25">
      <c r="A172" t="s">
        <v>101</v>
      </c>
      <c r="B172" s="9"/>
      <c r="C172" s="9"/>
      <c r="D172" s="10" t="s">
        <v>82</v>
      </c>
      <c r="E172" s="10" t="s">
        <v>58</v>
      </c>
      <c r="F172" s="9" t="s">
        <v>135</v>
      </c>
      <c r="G172" s="9"/>
      <c r="H172" s="9"/>
      <c r="I172" s="9"/>
      <c r="J172" t="s">
        <v>89</v>
      </c>
      <c r="K172" s="17">
        <f>(1/0.52)*3</f>
        <v>5.7692307692307683</v>
      </c>
      <c r="L172" s="10" t="s">
        <v>39</v>
      </c>
      <c r="M172" s="10" t="s">
        <v>103</v>
      </c>
      <c r="N172" s="9" t="s">
        <v>98</v>
      </c>
    </row>
    <row r="173" spans="1:14" x14ac:dyDescent="0.25">
      <c r="A173" t="s">
        <v>101</v>
      </c>
      <c r="B173" s="9"/>
      <c r="C173" s="9"/>
      <c r="D173" s="10" t="s">
        <v>82</v>
      </c>
      <c r="E173" s="10" t="s">
        <v>58</v>
      </c>
      <c r="F173" s="10" t="s">
        <v>136</v>
      </c>
      <c r="G173" s="9"/>
      <c r="H173" s="9"/>
      <c r="I173" s="9"/>
      <c r="J173" t="s">
        <v>89</v>
      </c>
      <c r="K173" s="17">
        <f>(1/0.52)*6</f>
        <v>11.538461538461537</v>
      </c>
      <c r="L173" s="10" t="s">
        <v>39</v>
      </c>
      <c r="M173" s="10" t="s">
        <v>103</v>
      </c>
      <c r="N173" s="9" t="s">
        <v>98</v>
      </c>
    </row>
    <row r="174" spans="1:14" x14ac:dyDescent="0.25">
      <c r="A174" t="s">
        <v>101</v>
      </c>
      <c r="B174" s="9"/>
      <c r="C174" s="9"/>
      <c r="D174" s="10" t="s">
        <v>82</v>
      </c>
      <c r="E174" s="10" t="s">
        <v>58</v>
      </c>
      <c r="F174" s="9" t="s">
        <v>137</v>
      </c>
      <c r="G174" s="9"/>
      <c r="H174" s="9"/>
      <c r="I174" s="9"/>
      <c r="J174" t="s">
        <v>89</v>
      </c>
      <c r="K174" s="10">
        <v>12</v>
      </c>
      <c r="L174" s="10" t="s">
        <v>39</v>
      </c>
      <c r="M174" s="9"/>
      <c r="N174" s="9" t="s">
        <v>98</v>
      </c>
    </row>
    <row r="175" spans="1:14" x14ac:dyDescent="0.25">
      <c r="A175" s="5" t="s">
        <v>20</v>
      </c>
      <c r="B175" s="5"/>
      <c r="C175" s="5"/>
      <c r="D175" s="5"/>
      <c r="E175" s="5"/>
      <c r="F175" s="5"/>
      <c r="G175" s="5"/>
      <c r="H175" s="5"/>
      <c r="I175" s="5"/>
      <c r="J175" s="6"/>
      <c r="K175" s="6"/>
      <c r="L175" s="6"/>
      <c r="M175" s="6"/>
      <c r="N175" s="6"/>
    </row>
    <row r="176" spans="1:14" x14ac:dyDescent="0.25">
      <c r="A176" t="s">
        <v>220</v>
      </c>
      <c r="C176" t="s">
        <v>229</v>
      </c>
      <c r="J176" t="s">
        <v>88</v>
      </c>
      <c r="K176">
        <v>100</v>
      </c>
      <c r="L176" t="s">
        <v>39</v>
      </c>
    </row>
    <row r="177" spans="1:14" x14ac:dyDescent="0.25">
      <c r="A177" s="27" t="s">
        <v>221</v>
      </c>
      <c r="C177" t="s">
        <v>230</v>
      </c>
      <c r="J177" t="s">
        <v>88</v>
      </c>
      <c r="K177">
        <v>100</v>
      </c>
      <c r="L177" t="s">
        <v>39</v>
      </c>
    </row>
    <row r="178" spans="1:14" x14ac:dyDescent="0.25">
      <c r="A178" s="27" t="s">
        <v>222</v>
      </c>
      <c r="C178" t="s">
        <v>231</v>
      </c>
      <c r="J178" t="s">
        <v>88</v>
      </c>
      <c r="K178">
        <v>100</v>
      </c>
      <c r="L178" t="s">
        <v>39</v>
      </c>
    </row>
    <row r="179" spans="1:14" x14ac:dyDescent="0.25">
      <c r="A179" s="7" t="s">
        <v>223</v>
      </c>
    </row>
    <row r="180" spans="1:14" x14ac:dyDescent="0.25">
      <c r="A180" s="7" t="s">
        <v>224</v>
      </c>
      <c r="B180" s="9"/>
      <c r="C180" s="9"/>
      <c r="D180" s="10"/>
      <c r="E180" s="10"/>
      <c r="F180" s="9"/>
      <c r="G180" s="9"/>
      <c r="H180" s="9"/>
      <c r="I180" s="9"/>
      <c r="M180" s="9"/>
      <c r="N180" s="9"/>
    </row>
    <row r="181" spans="1:14" x14ac:dyDescent="0.25">
      <c r="A181" s="5" t="s">
        <v>22</v>
      </c>
      <c r="B181" s="5"/>
      <c r="C181" s="5"/>
      <c r="D181" s="5"/>
      <c r="E181" s="5"/>
      <c r="F181" s="5"/>
      <c r="G181" s="5"/>
      <c r="H181" s="5"/>
      <c r="I181" s="5"/>
      <c r="J181" s="6"/>
      <c r="K181" s="6"/>
      <c r="L181" s="6"/>
      <c r="M181" s="6"/>
      <c r="N181" s="6"/>
    </row>
    <row r="182" spans="1:14" x14ac:dyDescent="0.25">
      <c r="A182" t="s">
        <v>139</v>
      </c>
      <c r="C182" t="s">
        <v>141</v>
      </c>
      <c r="H182" t="s">
        <v>47</v>
      </c>
      <c r="J182" t="s">
        <v>88</v>
      </c>
      <c r="K182" s="22">
        <v>38</v>
      </c>
      <c r="L182" t="s">
        <v>39</v>
      </c>
      <c r="M182" s="12"/>
      <c r="N182" s="9" t="s">
        <v>98</v>
      </c>
    </row>
    <row r="183" spans="1:14" x14ac:dyDescent="0.25">
      <c r="A183" t="s">
        <v>139</v>
      </c>
      <c r="C183" t="s">
        <v>141</v>
      </c>
      <c r="F183" t="s">
        <v>142</v>
      </c>
      <c r="H183" t="s">
        <v>47</v>
      </c>
      <c r="J183" t="s">
        <v>89</v>
      </c>
      <c r="K183" s="22">
        <v>60</v>
      </c>
      <c r="L183" t="s">
        <v>39</v>
      </c>
      <c r="N183" s="9" t="s">
        <v>98</v>
      </c>
    </row>
    <row r="184" spans="1:14" x14ac:dyDescent="0.25">
      <c r="A184" t="s">
        <v>139</v>
      </c>
      <c r="C184" t="s">
        <v>141</v>
      </c>
      <c r="H184" t="s">
        <v>45</v>
      </c>
      <c r="J184" t="s">
        <v>88</v>
      </c>
      <c r="K184" s="22">
        <v>32</v>
      </c>
      <c r="L184" t="s">
        <v>39</v>
      </c>
      <c r="M184" t="s">
        <v>144</v>
      </c>
      <c r="N184" s="9"/>
    </row>
    <row r="185" spans="1:14" x14ac:dyDescent="0.25">
      <c r="A185" t="s">
        <v>139</v>
      </c>
      <c r="C185" t="s">
        <v>141</v>
      </c>
      <c r="F185" t="s">
        <v>143</v>
      </c>
      <c r="H185" t="s">
        <v>45</v>
      </c>
      <c r="J185" t="s">
        <v>89</v>
      </c>
      <c r="K185" s="22">
        <v>68</v>
      </c>
      <c r="L185" t="s">
        <v>39</v>
      </c>
      <c r="N185" s="9"/>
    </row>
    <row r="186" spans="1:14" x14ac:dyDescent="0.25">
      <c r="A186" s="5" t="s">
        <v>24</v>
      </c>
      <c r="B186" s="5"/>
      <c r="C186" s="5"/>
      <c r="D186" s="5"/>
      <c r="E186" s="5"/>
      <c r="F186" s="5"/>
      <c r="G186" s="5"/>
      <c r="H186" s="5"/>
      <c r="I186" s="5"/>
      <c r="J186" s="6"/>
      <c r="K186" s="6"/>
      <c r="L186" s="6"/>
      <c r="M186" s="6"/>
      <c r="N186" s="6"/>
    </row>
    <row r="187" spans="1:14" x14ac:dyDescent="0.25">
      <c r="A187" t="s">
        <v>235</v>
      </c>
      <c r="C187" t="s">
        <v>242</v>
      </c>
      <c r="J187" t="s">
        <v>88</v>
      </c>
      <c r="K187" s="22">
        <v>13</v>
      </c>
      <c r="L187" t="s">
        <v>39</v>
      </c>
    </row>
    <row r="188" spans="1:14" x14ac:dyDescent="0.25">
      <c r="A188" t="s">
        <v>235</v>
      </c>
      <c r="C188" t="s">
        <v>242</v>
      </c>
      <c r="F188" t="s">
        <v>244</v>
      </c>
      <c r="J188" t="s">
        <v>89</v>
      </c>
      <c r="K188" s="22">
        <v>7</v>
      </c>
      <c r="L188" t="s">
        <v>39</v>
      </c>
    </row>
    <row r="189" spans="1:14" x14ac:dyDescent="0.25">
      <c r="A189" t="s">
        <v>235</v>
      </c>
      <c r="C189" t="s">
        <v>242</v>
      </c>
      <c r="F189" t="s">
        <v>245</v>
      </c>
      <c r="J189" t="s">
        <v>89</v>
      </c>
      <c r="K189" s="22">
        <v>4</v>
      </c>
      <c r="L189" t="s">
        <v>39</v>
      </c>
    </row>
    <row r="190" spans="1:14" x14ac:dyDescent="0.25">
      <c r="A190" t="s">
        <v>237</v>
      </c>
      <c r="C190" t="s">
        <v>242</v>
      </c>
      <c r="J190" t="s">
        <v>88</v>
      </c>
      <c r="K190" s="24">
        <v>13</v>
      </c>
      <c r="L190" t="s">
        <v>39</v>
      </c>
      <c r="M190" t="s">
        <v>243</v>
      </c>
    </row>
    <row r="191" spans="1:14" x14ac:dyDescent="0.25">
      <c r="A191" t="s">
        <v>237</v>
      </c>
      <c r="C191" t="s">
        <v>242</v>
      </c>
      <c r="F191" t="s">
        <v>244</v>
      </c>
      <c r="J191" t="s">
        <v>89</v>
      </c>
      <c r="K191" s="22">
        <v>7</v>
      </c>
      <c r="L191" t="s">
        <v>39</v>
      </c>
    </row>
    <row r="192" spans="1:14" x14ac:dyDescent="0.25">
      <c r="A192" t="s">
        <v>237</v>
      </c>
      <c r="C192" t="s">
        <v>242</v>
      </c>
      <c r="F192" t="s">
        <v>245</v>
      </c>
      <c r="J192" t="s">
        <v>89</v>
      </c>
      <c r="K192" s="22">
        <v>4</v>
      </c>
      <c r="L192" t="s">
        <v>39</v>
      </c>
    </row>
    <row r="193" spans="1:14" x14ac:dyDescent="0.25">
      <c r="A193" s="7" t="s">
        <v>236</v>
      </c>
    </row>
    <row r="194" spans="1:14" x14ac:dyDescent="0.25">
      <c r="A194" s="5" t="s">
        <v>29</v>
      </c>
      <c r="B194" s="5"/>
      <c r="C194" s="5"/>
      <c r="D194" s="5"/>
      <c r="E194" s="5"/>
      <c r="F194" s="5"/>
      <c r="G194" s="5"/>
      <c r="H194" s="5"/>
      <c r="I194" s="5"/>
      <c r="J194" s="6"/>
      <c r="K194" s="6"/>
      <c r="L194" s="6"/>
      <c r="M194" s="6"/>
      <c r="N194" s="6"/>
    </row>
    <row r="195" spans="1:14" x14ac:dyDescent="0.25">
      <c r="A195" t="s">
        <v>118</v>
      </c>
      <c r="B195" s="11"/>
      <c r="C195" s="9" t="s">
        <v>51</v>
      </c>
      <c r="D195" s="11"/>
      <c r="E195" s="11"/>
      <c r="F195" s="11"/>
      <c r="G195" s="11"/>
      <c r="H195" s="11"/>
      <c r="I195" s="11"/>
      <c r="J195" t="s">
        <v>88</v>
      </c>
      <c r="K195" s="21">
        <f>655*0.7</f>
        <v>458.49999999999994</v>
      </c>
      <c r="L195" s="10" t="s">
        <v>39</v>
      </c>
      <c r="M195" s="9"/>
      <c r="N195" s="9" t="s">
        <v>98</v>
      </c>
    </row>
    <row r="196" spans="1:14" x14ac:dyDescent="0.25">
      <c r="A196" t="s">
        <v>118</v>
      </c>
      <c r="B196" s="11"/>
      <c r="C196" s="9" t="s">
        <v>51</v>
      </c>
      <c r="D196" s="11"/>
      <c r="E196" s="11"/>
      <c r="F196" s="20" t="s">
        <v>138</v>
      </c>
      <c r="G196" s="11"/>
      <c r="H196" s="11"/>
      <c r="I196" s="11"/>
      <c r="J196" t="s">
        <v>89</v>
      </c>
      <c r="K196" s="21">
        <f>1*(K195/100)*0.2*100</f>
        <v>91.699999999999989</v>
      </c>
      <c r="L196" s="10" t="s">
        <v>39</v>
      </c>
      <c r="M196" s="9" t="s">
        <v>122</v>
      </c>
      <c r="N196" s="9" t="s">
        <v>121</v>
      </c>
    </row>
    <row r="197" spans="1:14" x14ac:dyDescent="0.25">
      <c r="B197" s="11"/>
      <c r="C197" s="9"/>
      <c r="D197" s="11"/>
      <c r="E197" s="11"/>
      <c r="F197" s="11" t="s">
        <v>189</v>
      </c>
      <c r="G197" s="11"/>
      <c r="H197" s="11"/>
      <c r="I197" s="11"/>
      <c r="K197" s="21"/>
      <c r="L197" s="10"/>
      <c r="M197" s="11" t="s">
        <v>190</v>
      </c>
      <c r="N197" s="9"/>
    </row>
    <row r="198" spans="1:14" x14ac:dyDescent="0.25">
      <c r="A198" s="5" t="s">
        <v>217</v>
      </c>
      <c r="B198" s="5"/>
      <c r="C198" s="5"/>
      <c r="D198" s="5"/>
      <c r="E198" s="5"/>
      <c r="F198" s="5"/>
      <c r="G198" s="5"/>
      <c r="H198" s="5"/>
      <c r="I198" s="5"/>
      <c r="J198" s="6"/>
      <c r="K198" s="6"/>
      <c r="L198" s="6"/>
      <c r="M198" s="6"/>
      <c r="N198" s="6"/>
    </row>
    <row r="199" spans="1:14" x14ac:dyDescent="0.25">
      <c r="A199" t="s">
        <v>210</v>
      </c>
      <c r="B199" s="11"/>
      <c r="C199" t="s">
        <v>141</v>
      </c>
      <c r="J199" t="s">
        <v>88</v>
      </c>
      <c r="K199" s="22">
        <v>38</v>
      </c>
      <c r="L199" t="s">
        <v>39</v>
      </c>
      <c r="M199" s="12" t="s">
        <v>219</v>
      </c>
      <c r="N199" s="9" t="s">
        <v>98</v>
      </c>
    </row>
    <row r="200" spans="1:14" x14ac:dyDescent="0.25">
      <c r="A200" t="s">
        <v>210</v>
      </c>
      <c r="B200" s="11"/>
      <c r="C200" t="s">
        <v>141</v>
      </c>
      <c r="F200" t="s">
        <v>142</v>
      </c>
      <c r="J200" t="s">
        <v>89</v>
      </c>
      <c r="K200" s="22">
        <v>60</v>
      </c>
      <c r="L200" t="s">
        <v>39</v>
      </c>
      <c r="N200" s="9" t="s">
        <v>98</v>
      </c>
    </row>
    <row r="201" spans="1:14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9"/>
      <c r="M201" s="9"/>
      <c r="N201" s="9"/>
    </row>
    <row r="202" spans="1:14" x14ac:dyDescent="0.25">
      <c r="A202" s="3" t="s">
        <v>40</v>
      </c>
      <c r="B202" s="3"/>
      <c r="C202" s="3"/>
      <c r="D202" s="3"/>
      <c r="E202" s="3"/>
      <c r="F202" s="3"/>
      <c r="G202" s="3"/>
      <c r="H202" s="3"/>
      <c r="I202" s="3"/>
      <c r="J202" s="4"/>
      <c r="K202" s="4"/>
      <c r="L202" s="4"/>
      <c r="M202" s="4"/>
      <c r="N202" s="4"/>
    </row>
    <row r="203" spans="1:14" x14ac:dyDescent="0.25">
      <c r="J203" s="8" t="s">
        <v>41</v>
      </c>
      <c r="K203" s="8">
        <v>100</v>
      </c>
      <c r="L203" s="8" t="s">
        <v>39</v>
      </c>
      <c r="M203" s="8" t="s">
        <v>46</v>
      </c>
    </row>
    <row r="204" spans="1:14" x14ac:dyDescent="0.25">
      <c r="A204" s="5" t="s">
        <v>10</v>
      </c>
      <c r="B204" s="5"/>
      <c r="C204" s="5"/>
      <c r="D204" s="5"/>
      <c r="E204" s="5"/>
      <c r="F204" s="5"/>
      <c r="G204" s="5"/>
      <c r="H204" s="5"/>
      <c r="I204" s="5"/>
      <c r="J204" s="6"/>
      <c r="K204" s="6"/>
      <c r="L204" s="6"/>
      <c r="M204" s="6"/>
      <c r="N204" s="6"/>
    </row>
    <row r="205" spans="1:14" x14ac:dyDescent="0.25">
      <c r="A205" t="s">
        <v>193</v>
      </c>
      <c r="J205" t="s">
        <v>41</v>
      </c>
      <c r="K205">
        <v>22</v>
      </c>
      <c r="L205" t="s">
        <v>39</v>
      </c>
    </row>
    <row r="206" spans="1:14" x14ac:dyDescent="0.25">
      <c r="A206" t="s">
        <v>198</v>
      </c>
      <c r="J206" t="s">
        <v>41</v>
      </c>
      <c r="K206" s="28">
        <f>K205</f>
        <v>22</v>
      </c>
      <c r="L206" s="28" t="s">
        <v>39</v>
      </c>
      <c r="M206" s="28" t="s">
        <v>234</v>
      </c>
    </row>
    <row r="207" spans="1:14" x14ac:dyDescent="0.25">
      <c r="A207" t="s">
        <v>44</v>
      </c>
      <c r="J207" t="s">
        <v>41</v>
      </c>
      <c r="K207">
        <v>100</v>
      </c>
      <c r="L207" t="s">
        <v>39</v>
      </c>
    </row>
    <row r="208" spans="1:14" x14ac:dyDescent="0.25">
      <c r="A208" t="s">
        <v>194</v>
      </c>
      <c r="J208" t="s">
        <v>41</v>
      </c>
      <c r="K208">
        <v>4</v>
      </c>
      <c r="L208" t="s">
        <v>39</v>
      </c>
    </row>
    <row r="209" spans="1:14" x14ac:dyDescent="0.25">
      <c r="A209" t="s">
        <v>199</v>
      </c>
      <c r="J209" t="s">
        <v>41</v>
      </c>
      <c r="K209" s="28">
        <f>K208</f>
        <v>4</v>
      </c>
      <c r="L209" s="28" t="s">
        <v>39</v>
      </c>
      <c r="M209" s="28" t="s">
        <v>234</v>
      </c>
    </row>
    <row r="210" spans="1:14" x14ac:dyDescent="0.25">
      <c r="A210" t="s">
        <v>94</v>
      </c>
      <c r="J210" t="s">
        <v>41</v>
      </c>
      <c r="K210">
        <v>100</v>
      </c>
      <c r="L210" t="s">
        <v>39</v>
      </c>
    </row>
    <row r="211" spans="1:14" x14ac:dyDescent="0.25">
      <c r="A211" t="s">
        <v>195</v>
      </c>
      <c r="J211" t="s">
        <v>41</v>
      </c>
      <c r="K211">
        <v>8</v>
      </c>
      <c r="L211" t="s">
        <v>39</v>
      </c>
    </row>
    <row r="212" spans="1:14" x14ac:dyDescent="0.25">
      <c r="A212" t="s">
        <v>200</v>
      </c>
      <c r="J212" t="s">
        <v>41</v>
      </c>
      <c r="K212" s="28">
        <f>K211</f>
        <v>8</v>
      </c>
      <c r="L212" s="28" t="s">
        <v>39</v>
      </c>
      <c r="M212" s="28" t="s">
        <v>234</v>
      </c>
    </row>
    <row r="213" spans="1:14" x14ac:dyDescent="0.25">
      <c r="A213" t="s">
        <v>196</v>
      </c>
      <c r="J213" t="s">
        <v>41</v>
      </c>
      <c r="K213">
        <v>1</v>
      </c>
      <c r="L213" t="s">
        <v>39</v>
      </c>
    </row>
    <row r="214" spans="1:14" x14ac:dyDescent="0.25">
      <c r="A214" t="s">
        <v>201</v>
      </c>
      <c r="J214" t="s">
        <v>41</v>
      </c>
      <c r="K214" s="28">
        <f>K213</f>
        <v>1</v>
      </c>
      <c r="L214" s="28" t="s">
        <v>39</v>
      </c>
      <c r="M214" s="28" t="s">
        <v>234</v>
      </c>
    </row>
    <row r="215" spans="1:14" x14ac:dyDescent="0.25">
      <c r="A215" t="s">
        <v>197</v>
      </c>
      <c r="J215" t="s">
        <v>41</v>
      </c>
      <c r="K215" s="7">
        <v>22</v>
      </c>
      <c r="L215" s="18" t="s">
        <v>39</v>
      </c>
      <c r="M215" t="s">
        <v>162</v>
      </c>
    </row>
    <row r="216" spans="1:14" x14ac:dyDescent="0.25">
      <c r="A216" t="s">
        <v>203</v>
      </c>
      <c r="J216" t="s">
        <v>41</v>
      </c>
      <c r="K216" s="28">
        <f>K215</f>
        <v>22</v>
      </c>
      <c r="L216" s="28" t="s">
        <v>39</v>
      </c>
      <c r="M216" s="28" t="s">
        <v>234</v>
      </c>
    </row>
    <row r="217" spans="1:14" x14ac:dyDescent="0.25">
      <c r="A217" s="5" t="s">
        <v>11</v>
      </c>
      <c r="B217" s="5"/>
      <c r="C217" s="5"/>
      <c r="D217" s="5"/>
      <c r="E217" s="5"/>
      <c r="F217" s="5"/>
      <c r="G217" s="5"/>
      <c r="H217" s="5"/>
      <c r="I217" s="5"/>
      <c r="J217" s="6"/>
      <c r="K217" s="6"/>
      <c r="L217" s="6"/>
      <c r="M217" s="6"/>
      <c r="N217" s="6"/>
    </row>
    <row r="218" spans="1:14" x14ac:dyDescent="0.25">
      <c r="A218" s="18" t="s">
        <v>105</v>
      </c>
      <c r="J218" t="s">
        <v>41</v>
      </c>
      <c r="K218" s="18">
        <v>16</v>
      </c>
      <c r="L218" s="18" t="s">
        <v>39</v>
      </c>
    </row>
    <row r="219" spans="1:14" x14ac:dyDescent="0.25">
      <c r="A219" s="18" t="s">
        <v>106</v>
      </c>
      <c r="J219" t="s">
        <v>41</v>
      </c>
      <c r="K219" s="18">
        <v>16</v>
      </c>
      <c r="L219" s="18" t="s">
        <v>39</v>
      </c>
    </row>
    <row r="220" spans="1:14" x14ac:dyDescent="0.25">
      <c r="A220" s="18" t="s">
        <v>227</v>
      </c>
      <c r="J220" t="s">
        <v>41</v>
      </c>
      <c r="K220" s="18">
        <v>16</v>
      </c>
      <c r="L220" s="18" t="s">
        <v>39</v>
      </c>
    </row>
    <row r="221" spans="1:14" x14ac:dyDescent="0.25">
      <c r="A221" s="18" t="s">
        <v>107</v>
      </c>
      <c r="J221" t="s">
        <v>41</v>
      </c>
      <c r="K221" s="18">
        <v>16</v>
      </c>
      <c r="L221" s="18" t="s">
        <v>39</v>
      </c>
    </row>
    <row r="222" spans="1:14" x14ac:dyDescent="0.25">
      <c r="A222" s="5" t="s">
        <v>12</v>
      </c>
      <c r="B222" s="5"/>
      <c r="C222" s="5"/>
      <c r="D222" s="5"/>
      <c r="E222" s="5"/>
      <c r="F222" s="5"/>
      <c r="G222" s="5"/>
      <c r="H222" s="5"/>
      <c r="I222" s="5"/>
      <c r="J222" s="6"/>
      <c r="K222" s="6"/>
      <c r="L222" s="6"/>
      <c r="M222" s="6"/>
      <c r="N222" s="6"/>
    </row>
    <row r="223" spans="1:14" x14ac:dyDescent="0.25">
      <c r="A223" s="18" t="s">
        <v>148</v>
      </c>
      <c r="J223" t="s">
        <v>41</v>
      </c>
      <c r="K223">
        <v>7</v>
      </c>
      <c r="L223" s="18" t="s">
        <v>39</v>
      </c>
    </row>
    <row r="224" spans="1:14" x14ac:dyDescent="0.25">
      <c r="A224" s="18" t="s">
        <v>154</v>
      </c>
      <c r="J224" t="s">
        <v>41</v>
      </c>
      <c r="K224" s="18">
        <v>35</v>
      </c>
      <c r="L224" s="18" t="s">
        <v>39</v>
      </c>
    </row>
    <row r="225" spans="1:14" x14ac:dyDescent="0.25">
      <c r="A225" s="18" t="s">
        <v>150</v>
      </c>
      <c r="J225" t="s">
        <v>41</v>
      </c>
      <c r="K225" s="18">
        <v>63</v>
      </c>
      <c r="L225" s="18" t="s">
        <v>39</v>
      </c>
    </row>
    <row r="226" spans="1:14" x14ac:dyDescent="0.25">
      <c r="A226" s="18" t="s">
        <v>151</v>
      </c>
      <c r="J226" t="s">
        <v>41</v>
      </c>
      <c r="K226" s="18">
        <v>54</v>
      </c>
      <c r="L226" s="18" t="s">
        <v>39</v>
      </c>
      <c r="M226" s="7"/>
    </row>
    <row r="227" spans="1:14" x14ac:dyDescent="0.25">
      <c r="A227" s="18" t="s">
        <v>152</v>
      </c>
      <c r="J227" t="s">
        <v>41</v>
      </c>
      <c r="K227" s="7">
        <v>70</v>
      </c>
      <c r="L227" s="18" t="s">
        <v>39</v>
      </c>
      <c r="M227" s="7" t="s">
        <v>163</v>
      </c>
    </row>
    <row r="228" spans="1:14" x14ac:dyDescent="0.25">
      <c r="A228" s="18" t="s">
        <v>153</v>
      </c>
      <c r="J228" t="s">
        <v>41</v>
      </c>
      <c r="K228" s="18">
        <v>10</v>
      </c>
      <c r="L228" s="18" t="s">
        <v>39</v>
      </c>
    </row>
    <row r="229" spans="1:14" x14ac:dyDescent="0.25">
      <c r="A229" s="18" t="s">
        <v>113</v>
      </c>
      <c r="J229" t="s">
        <v>41</v>
      </c>
      <c r="K229" s="18">
        <v>90</v>
      </c>
      <c r="L229" s="18" t="s">
        <v>39</v>
      </c>
    </row>
    <row r="230" spans="1:14" x14ac:dyDescent="0.25">
      <c r="A230" s="18" t="s">
        <v>116</v>
      </c>
      <c r="J230" t="s">
        <v>41</v>
      </c>
      <c r="K230" s="18">
        <v>46</v>
      </c>
      <c r="L230" s="18" t="s">
        <v>39</v>
      </c>
    </row>
    <row r="231" spans="1:14" x14ac:dyDescent="0.25">
      <c r="A231" s="18" t="s">
        <v>161</v>
      </c>
      <c r="J231" t="s">
        <v>41</v>
      </c>
      <c r="K231" s="7">
        <v>0</v>
      </c>
      <c r="L231" s="18" t="s">
        <v>39</v>
      </c>
    </row>
    <row r="232" spans="1:14" x14ac:dyDescent="0.25">
      <c r="A232" s="5" t="s">
        <v>14</v>
      </c>
      <c r="B232" s="5"/>
      <c r="C232" s="5"/>
      <c r="D232" s="5"/>
      <c r="E232" s="5"/>
      <c r="F232" s="5"/>
      <c r="G232" s="5"/>
      <c r="H232" s="5"/>
      <c r="I232" s="5"/>
      <c r="J232" s="6"/>
      <c r="K232" s="6"/>
      <c r="L232" s="6"/>
      <c r="M232" s="6"/>
      <c r="N232" s="6"/>
    </row>
    <row r="233" spans="1:14" x14ac:dyDescent="0.25">
      <c r="A233" s="7" t="s">
        <v>65</v>
      </c>
      <c r="J233" t="s">
        <v>41</v>
      </c>
      <c r="K233" s="14">
        <f>8.5*20/(29.5+8.5)</f>
        <v>4.4736842105263159</v>
      </c>
      <c r="L233" t="s">
        <v>39</v>
      </c>
    </row>
    <row r="234" spans="1:14" x14ac:dyDescent="0.25">
      <c r="A234" s="7" t="s">
        <v>64</v>
      </c>
      <c r="J234" t="s">
        <v>41</v>
      </c>
      <c r="K234" s="14">
        <f>(80.7*0+14.4*20+0.3*5*0)/(80.7+14.4+0.3*5)</f>
        <v>2.981366459627329</v>
      </c>
      <c r="L234" t="s">
        <v>39</v>
      </c>
    </row>
    <row r="235" spans="1:14" x14ac:dyDescent="0.25">
      <c r="A235" s="7" t="s">
        <v>66</v>
      </c>
      <c r="J235" t="s">
        <v>41</v>
      </c>
      <c r="K235" s="14">
        <f>(45.6*0+44.1*20+1.3*5*0+1.8*10*0)/(45.6+44.1+1.3*5+1.8*10)</f>
        <v>7.723292469352014</v>
      </c>
      <c r="L235" t="s">
        <v>39</v>
      </c>
    </row>
    <row r="236" spans="1:14" x14ac:dyDescent="0.25">
      <c r="A236" s="7" t="s">
        <v>67</v>
      </c>
      <c r="J236" t="s">
        <v>41</v>
      </c>
      <c r="K236">
        <f>60</f>
        <v>60</v>
      </c>
      <c r="L236" t="s">
        <v>39</v>
      </c>
    </row>
    <row r="237" spans="1:14" x14ac:dyDescent="0.25">
      <c r="A237" s="7" t="s">
        <v>71</v>
      </c>
      <c r="J237" t="s">
        <v>41</v>
      </c>
      <c r="K237">
        <v>0</v>
      </c>
      <c r="L237" t="s">
        <v>39</v>
      </c>
    </row>
    <row r="238" spans="1:14" x14ac:dyDescent="0.25">
      <c r="A238" s="7" t="s">
        <v>72</v>
      </c>
      <c r="J238" t="s">
        <v>41</v>
      </c>
      <c r="K238">
        <v>20</v>
      </c>
      <c r="L238" t="s">
        <v>39</v>
      </c>
    </row>
    <row r="239" spans="1:14" x14ac:dyDescent="0.25">
      <c r="A239" s="7" t="s">
        <v>69</v>
      </c>
      <c r="J239" t="s">
        <v>41</v>
      </c>
      <c r="K239">
        <v>20</v>
      </c>
      <c r="L239" t="s">
        <v>39</v>
      </c>
    </row>
    <row r="240" spans="1:14" x14ac:dyDescent="0.25">
      <c r="A240" s="7" t="s">
        <v>70</v>
      </c>
      <c r="J240" t="s">
        <v>41</v>
      </c>
      <c r="K240">
        <v>20</v>
      </c>
      <c r="L240" t="s">
        <v>39</v>
      </c>
    </row>
    <row r="241" spans="1:14" x14ac:dyDescent="0.25">
      <c r="A241" s="7" t="s">
        <v>68</v>
      </c>
      <c r="J241" t="s">
        <v>41</v>
      </c>
      <c r="K241">
        <f>43</f>
        <v>43</v>
      </c>
      <c r="L241" t="s">
        <v>39</v>
      </c>
    </row>
    <row r="242" spans="1:14" x14ac:dyDescent="0.25">
      <c r="A242" s="5" t="s">
        <v>23</v>
      </c>
      <c r="B242" s="5"/>
      <c r="C242" s="5"/>
      <c r="D242" s="5"/>
      <c r="E242" s="5"/>
      <c r="F242" s="5"/>
      <c r="G242" s="5"/>
      <c r="H242" s="5"/>
      <c r="I242" s="5"/>
      <c r="J242" s="6"/>
      <c r="K242" s="6"/>
      <c r="L242" s="6"/>
      <c r="M242" s="6"/>
      <c r="N242" s="6"/>
    </row>
    <row r="243" spans="1:14" x14ac:dyDescent="0.25">
      <c r="A243" t="s">
        <v>57</v>
      </c>
      <c r="J243" t="s">
        <v>41</v>
      </c>
      <c r="K243">
        <v>36</v>
      </c>
      <c r="L243" t="s">
        <v>39</v>
      </c>
    </row>
    <row r="244" spans="1:14" x14ac:dyDescent="0.25">
      <c r="A244" t="s">
        <v>101</v>
      </c>
      <c r="J244" t="s">
        <v>41</v>
      </c>
      <c r="K244" s="18">
        <v>43</v>
      </c>
      <c r="L244" t="s">
        <v>39</v>
      </c>
    </row>
    <row r="245" spans="1:14" x14ac:dyDescent="0.25">
      <c r="A245" s="5" t="s">
        <v>20</v>
      </c>
      <c r="B245" s="5"/>
      <c r="C245" s="5"/>
      <c r="D245" s="5"/>
      <c r="E245" s="5"/>
      <c r="F245" s="5"/>
      <c r="G245" s="5"/>
      <c r="H245" s="5"/>
      <c r="I245" s="5"/>
      <c r="J245" s="6"/>
      <c r="K245" s="6"/>
      <c r="L245" s="6"/>
      <c r="M245" s="6"/>
      <c r="N245" s="6"/>
    </row>
    <row r="246" spans="1:14" x14ac:dyDescent="0.25">
      <c r="A246" t="s">
        <v>220</v>
      </c>
      <c r="J246" t="s">
        <v>41</v>
      </c>
      <c r="K246">
        <v>5</v>
      </c>
      <c r="L246" t="s">
        <v>39</v>
      </c>
    </row>
    <row r="247" spans="1:14" x14ac:dyDescent="0.25">
      <c r="A247" s="27" t="s">
        <v>221</v>
      </c>
      <c r="J247" t="s">
        <v>41</v>
      </c>
      <c r="K247">
        <v>0.4</v>
      </c>
      <c r="L247" t="s">
        <v>39</v>
      </c>
    </row>
    <row r="248" spans="1:14" x14ac:dyDescent="0.25">
      <c r="A248" s="27" t="s">
        <v>222</v>
      </c>
      <c r="J248" t="s">
        <v>41</v>
      </c>
      <c r="K248" s="7">
        <v>95</v>
      </c>
      <c r="L248" t="s">
        <v>39</v>
      </c>
    </row>
    <row r="249" spans="1:14" x14ac:dyDescent="0.25">
      <c r="A249" s="27" t="s">
        <v>223</v>
      </c>
      <c r="J249" t="s">
        <v>41</v>
      </c>
      <c r="K249">
        <v>100</v>
      </c>
      <c r="L249" t="s">
        <v>39</v>
      </c>
    </row>
    <row r="250" spans="1:14" x14ac:dyDescent="0.25">
      <c r="A250" s="27" t="s">
        <v>224</v>
      </c>
      <c r="B250" s="9"/>
      <c r="C250" s="9"/>
      <c r="D250" s="10"/>
      <c r="E250" s="10"/>
      <c r="F250" s="9"/>
      <c r="G250" s="9"/>
      <c r="H250" s="9"/>
      <c r="I250" s="9"/>
      <c r="J250" t="s">
        <v>41</v>
      </c>
      <c r="K250">
        <v>100</v>
      </c>
      <c r="L250" t="s">
        <v>39</v>
      </c>
      <c r="M250" s="9"/>
      <c r="N250" s="9"/>
    </row>
    <row r="251" spans="1:14" x14ac:dyDescent="0.25">
      <c r="A251" s="5" t="s">
        <v>22</v>
      </c>
      <c r="B251" s="5"/>
      <c r="C251" s="5"/>
      <c r="D251" s="5"/>
      <c r="E251" s="5"/>
      <c r="F251" s="5"/>
      <c r="G251" s="5"/>
      <c r="H251" s="5"/>
      <c r="I251" s="5"/>
      <c r="J251" s="6"/>
      <c r="K251" s="6"/>
      <c r="L251" s="6"/>
      <c r="M251" s="6"/>
      <c r="N251" s="6"/>
    </row>
    <row r="252" spans="1:14" x14ac:dyDescent="0.25">
      <c r="A252" t="s">
        <v>139</v>
      </c>
      <c r="J252" t="s">
        <v>41</v>
      </c>
      <c r="K252" s="16">
        <v>52</v>
      </c>
      <c r="L252" t="s">
        <v>39</v>
      </c>
      <c r="M252" s="25"/>
    </row>
    <row r="253" spans="1:14" x14ac:dyDescent="0.25">
      <c r="A253" s="5" t="s">
        <v>24</v>
      </c>
      <c r="B253" s="5"/>
      <c r="C253" s="5"/>
      <c r="D253" s="5"/>
      <c r="E253" s="5"/>
      <c r="F253" s="5"/>
      <c r="G253" s="5"/>
      <c r="H253" s="5"/>
      <c r="I253" s="5"/>
      <c r="J253" s="6"/>
      <c r="K253" s="6"/>
      <c r="L253" s="6"/>
      <c r="M253" s="6"/>
      <c r="N253" s="6"/>
    </row>
    <row r="254" spans="1:14" x14ac:dyDescent="0.25">
      <c r="A254" t="s">
        <v>235</v>
      </c>
      <c r="J254" t="s">
        <v>41</v>
      </c>
      <c r="K254" s="7">
        <v>24</v>
      </c>
      <c r="L254" t="s">
        <v>39</v>
      </c>
      <c r="M254" s="7" t="s">
        <v>240</v>
      </c>
    </row>
    <row r="255" spans="1:14" x14ac:dyDescent="0.25">
      <c r="A255" t="s">
        <v>237</v>
      </c>
      <c r="J255" t="s">
        <v>41</v>
      </c>
      <c r="K255" s="28">
        <f>K254</f>
        <v>24</v>
      </c>
      <c r="L255" s="28" t="s">
        <v>39</v>
      </c>
      <c r="M255" s="28" t="s">
        <v>239</v>
      </c>
    </row>
    <row r="256" spans="1:14" x14ac:dyDescent="0.25">
      <c r="A256" t="s">
        <v>236</v>
      </c>
      <c r="J256" t="s">
        <v>41</v>
      </c>
      <c r="K256">
        <v>61</v>
      </c>
      <c r="L256" t="s">
        <v>39</v>
      </c>
    </row>
    <row r="257" spans="1:14" x14ac:dyDescent="0.25">
      <c r="A257" s="5" t="s">
        <v>29</v>
      </c>
      <c r="B257" s="5"/>
      <c r="C257" s="5"/>
      <c r="D257" s="5"/>
      <c r="E257" s="5"/>
      <c r="F257" s="5"/>
      <c r="G257" s="5"/>
      <c r="H257" s="5"/>
      <c r="I257" s="5"/>
      <c r="J257" s="6"/>
      <c r="K257" s="6"/>
      <c r="L257" s="6"/>
      <c r="M257" s="6"/>
      <c r="N257" s="6"/>
    </row>
    <row r="258" spans="1:14" x14ac:dyDescent="0.25">
      <c r="A258" t="s">
        <v>118</v>
      </c>
      <c r="J258" t="s">
        <v>41</v>
      </c>
      <c r="K258">
        <v>4</v>
      </c>
      <c r="L258" t="s">
        <v>39</v>
      </c>
      <c r="M258" t="s">
        <v>120</v>
      </c>
    </row>
    <row r="260" spans="1:14" x14ac:dyDescent="0.25">
      <c r="A260" s="3" t="s">
        <v>164</v>
      </c>
      <c r="B260" s="3"/>
      <c r="C260" s="3"/>
      <c r="D260" s="3"/>
      <c r="E260" s="3"/>
      <c r="F260" s="3"/>
      <c r="G260" s="3"/>
      <c r="H260" s="3"/>
      <c r="I260" s="3"/>
      <c r="J260" s="4"/>
      <c r="K260" s="4"/>
      <c r="L260" s="4"/>
      <c r="M260" s="4"/>
      <c r="N260" s="4"/>
    </row>
    <row r="261" spans="1:14" x14ac:dyDescent="0.25">
      <c r="G261" s="8"/>
      <c r="H261" s="8" t="s">
        <v>47</v>
      </c>
      <c r="I261" s="8"/>
      <c r="J261" s="8" t="s">
        <v>42</v>
      </c>
      <c r="K261" s="8">
        <v>-100</v>
      </c>
      <c r="L261" s="8" t="s">
        <v>48</v>
      </c>
      <c r="M261" s="8" t="s">
        <v>191</v>
      </c>
    </row>
    <row r="262" spans="1:14" x14ac:dyDescent="0.25">
      <c r="G262" s="8"/>
      <c r="H262" s="8" t="s">
        <v>45</v>
      </c>
      <c r="I262" s="8"/>
      <c r="J262" s="8" t="s">
        <v>42</v>
      </c>
      <c r="K262" s="8">
        <v>0</v>
      </c>
      <c r="L262" s="8" t="s">
        <v>39</v>
      </c>
      <c r="M262" s="8" t="s">
        <v>46</v>
      </c>
    </row>
    <row r="263" spans="1:14" x14ac:dyDescent="0.25">
      <c r="A263" s="5" t="s">
        <v>10</v>
      </c>
      <c r="B263" s="5"/>
      <c r="C263" s="5"/>
      <c r="D263" s="5"/>
      <c r="E263" s="5"/>
      <c r="F263" s="5"/>
      <c r="G263" s="5"/>
      <c r="H263" s="5"/>
      <c r="I263" s="5"/>
      <c r="J263" s="6"/>
      <c r="K263" s="6"/>
      <c r="L263" s="6"/>
      <c r="M263" s="6"/>
      <c r="N263" s="6"/>
    </row>
    <row r="264" spans="1:14" x14ac:dyDescent="0.25">
      <c r="A264" t="s">
        <v>35</v>
      </c>
      <c r="G264" t="s">
        <v>90</v>
      </c>
      <c r="H264" t="s">
        <v>45</v>
      </c>
      <c r="J264" t="s">
        <v>42</v>
      </c>
      <c r="K264" s="18">
        <v>5.3</v>
      </c>
      <c r="L264" t="s">
        <v>39</v>
      </c>
      <c r="M264" t="s">
        <v>182</v>
      </c>
      <c r="N264" t="s">
        <v>104</v>
      </c>
    </row>
    <row r="265" spans="1:14" x14ac:dyDescent="0.25">
      <c r="A265" t="s">
        <v>50</v>
      </c>
      <c r="G265" t="s">
        <v>90</v>
      </c>
      <c r="H265" t="s">
        <v>45</v>
      </c>
      <c r="J265" t="s">
        <v>42</v>
      </c>
      <c r="K265" s="18">
        <v>4.9000000000000004</v>
      </c>
      <c r="L265" t="s">
        <v>39</v>
      </c>
      <c r="M265" t="s">
        <v>182</v>
      </c>
      <c r="N265" t="s">
        <v>104</v>
      </c>
    </row>
    <row r="266" spans="1:14" x14ac:dyDescent="0.25">
      <c r="A266" t="s">
        <v>93</v>
      </c>
      <c r="G266" t="s">
        <v>90</v>
      </c>
      <c r="H266" t="s">
        <v>45</v>
      </c>
      <c r="J266" t="s">
        <v>42</v>
      </c>
      <c r="K266" s="18">
        <v>12.7</v>
      </c>
      <c r="L266" t="s">
        <v>39</v>
      </c>
      <c r="M266" t="s">
        <v>182</v>
      </c>
      <c r="N266" t="s">
        <v>104</v>
      </c>
    </row>
    <row r="267" spans="1:14" x14ac:dyDescent="0.25">
      <c r="A267" t="s">
        <v>92</v>
      </c>
      <c r="G267" t="s">
        <v>90</v>
      </c>
      <c r="H267" t="s">
        <v>45</v>
      </c>
      <c r="J267" t="s">
        <v>42</v>
      </c>
      <c r="K267" s="18">
        <v>24</v>
      </c>
      <c r="L267" t="s">
        <v>39</v>
      </c>
      <c r="M267" t="s">
        <v>183</v>
      </c>
      <c r="N267" s="27" t="s">
        <v>180</v>
      </c>
    </row>
    <row r="268" spans="1:14" x14ac:dyDescent="0.25">
      <c r="A268" t="s">
        <v>91</v>
      </c>
      <c r="G268" t="s">
        <v>90</v>
      </c>
      <c r="H268" t="s">
        <v>45</v>
      </c>
      <c r="J268" t="s">
        <v>42</v>
      </c>
      <c r="K268" s="7">
        <v>10</v>
      </c>
      <c r="L268" t="s">
        <v>39</v>
      </c>
    </row>
    <row r="269" spans="1:14" x14ac:dyDescent="0.25">
      <c r="A269" s="5" t="s">
        <v>11</v>
      </c>
      <c r="B269" s="5"/>
      <c r="C269" s="5"/>
      <c r="D269" s="5"/>
      <c r="E269" s="5"/>
      <c r="F269" s="5"/>
      <c r="G269" s="5"/>
      <c r="H269" s="5"/>
      <c r="I269" s="5"/>
      <c r="J269" s="6"/>
      <c r="K269" s="6"/>
      <c r="L269" s="6"/>
      <c r="M269" s="6"/>
      <c r="N269" s="6"/>
    </row>
    <row r="270" spans="1:14" x14ac:dyDescent="0.25">
      <c r="A270" s="18" t="s">
        <v>105</v>
      </c>
      <c r="G270" t="s">
        <v>90</v>
      </c>
      <c r="H270" t="s">
        <v>45</v>
      </c>
      <c r="J270" t="s">
        <v>42</v>
      </c>
      <c r="K270" s="18">
        <v>12</v>
      </c>
      <c r="L270" t="s">
        <v>39</v>
      </c>
      <c r="N270" s="27" t="s">
        <v>180</v>
      </c>
    </row>
    <row r="271" spans="1:14" x14ac:dyDescent="0.25">
      <c r="A271" s="18" t="s">
        <v>106</v>
      </c>
      <c r="G271" t="s">
        <v>90</v>
      </c>
      <c r="H271" t="s">
        <v>45</v>
      </c>
      <c r="J271" t="s">
        <v>42</v>
      </c>
      <c r="K271" s="18">
        <v>12</v>
      </c>
      <c r="L271" t="s">
        <v>39</v>
      </c>
      <c r="N271" s="27" t="s">
        <v>180</v>
      </c>
    </row>
    <row r="272" spans="1:14" x14ac:dyDescent="0.25">
      <c r="A272" s="18" t="s">
        <v>227</v>
      </c>
      <c r="G272" t="s">
        <v>90</v>
      </c>
      <c r="H272" t="s">
        <v>45</v>
      </c>
      <c r="J272" t="s">
        <v>42</v>
      </c>
      <c r="K272" s="18">
        <v>0</v>
      </c>
      <c r="L272" t="s">
        <v>39</v>
      </c>
    </row>
    <row r="273" spans="1:14" x14ac:dyDescent="0.25">
      <c r="A273" s="18" t="s">
        <v>107</v>
      </c>
      <c r="G273" t="s">
        <v>90</v>
      </c>
      <c r="H273" t="s">
        <v>45</v>
      </c>
      <c r="J273" t="s">
        <v>42</v>
      </c>
      <c r="K273" s="18">
        <v>0</v>
      </c>
      <c r="L273" t="s">
        <v>39</v>
      </c>
    </row>
    <row r="274" spans="1:14" x14ac:dyDescent="0.25">
      <c r="A274" s="5" t="s">
        <v>12</v>
      </c>
      <c r="B274" s="5"/>
      <c r="C274" s="5"/>
      <c r="D274" s="5"/>
      <c r="E274" s="5"/>
      <c r="F274" s="5"/>
      <c r="G274" s="5"/>
      <c r="H274" s="5"/>
      <c r="I274" s="5"/>
      <c r="J274" s="6"/>
      <c r="K274" s="6"/>
      <c r="L274" s="6"/>
      <c r="M274" s="6"/>
      <c r="N274" s="6"/>
    </row>
    <row r="275" spans="1:14" x14ac:dyDescent="0.25">
      <c r="A275" s="18" t="s">
        <v>148</v>
      </c>
      <c r="G275" t="s">
        <v>90</v>
      </c>
      <c r="H275" t="s">
        <v>45</v>
      </c>
      <c r="J275" t="s">
        <v>42</v>
      </c>
      <c r="K275" s="18">
        <v>25</v>
      </c>
      <c r="L275" t="s">
        <v>39</v>
      </c>
      <c r="M275" t="s">
        <v>185</v>
      </c>
      <c r="N275" s="27" t="s">
        <v>180</v>
      </c>
    </row>
    <row r="276" spans="1:14" x14ac:dyDescent="0.25">
      <c r="A276" s="18" t="s">
        <v>154</v>
      </c>
      <c r="G276" t="s">
        <v>90</v>
      </c>
      <c r="H276" t="s">
        <v>45</v>
      </c>
      <c r="J276" t="s">
        <v>42</v>
      </c>
      <c r="K276" s="18">
        <v>13</v>
      </c>
      <c r="L276" t="s">
        <v>39</v>
      </c>
      <c r="M276" t="s">
        <v>186</v>
      </c>
      <c r="N276" s="27" t="s">
        <v>180</v>
      </c>
    </row>
    <row r="277" spans="1:14" x14ac:dyDescent="0.25">
      <c r="A277" s="18"/>
      <c r="K277" s="18"/>
      <c r="N277" s="27"/>
    </row>
    <row r="278" spans="1:14" x14ac:dyDescent="0.25">
      <c r="A278" s="18" t="s">
        <v>151</v>
      </c>
      <c r="G278" t="s">
        <v>90</v>
      </c>
      <c r="H278" t="s">
        <v>45</v>
      </c>
      <c r="J278" t="s">
        <v>42</v>
      </c>
      <c r="K278" s="18">
        <v>19</v>
      </c>
      <c r="L278" t="s">
        <v>39</v>
      </c>
      <c r="M278" t="s">
        <v>184</v>
      </c>
      <c r="N278" s="27" t="s">
        <v>180</v>
      </c>
    </row>
    <row r="279" spans="1:14" x14ac:dyDescent="0.25">
      <c r="A279" s="18" t="s">
        <v>113</v>
      </c>
      <c r="G279" t="s">
        <v>90</v>
      </c>
      <c r="H279" t="s">
        <v>45</v>
      </c>
      <c r="J279" t="s">
        <v>42</v>
      </c>
      <c r="K279" s="18">
        <v>9</v>
      </c>
      <c r="L279" t="s">
        <v>39</v>
      </c>
      <c r="M279" t="s">
        <v>188</v>
      </c>
      <c r="N279" s="27" t="s">
        <v>180</v>
      </c>
    </row>
    <row r="280" spans="1:14" x14ac:dyDescent="0.25">
      <c r="A280" s="18" t="s">
        <v>116</v>
      </c>
      <c r="G280" t="s">
        <v>90</v>
      </c>
      <c r="H280" t="s">
        <v>45</v>
      </c>
      <c r="J280" t="s">
        <v>42</v>
      </c>
      <c r="K280" s="18">
        <v>11</v>
      </c>
      <c r="L280" t="s">
        <v>39</v>
      </c>
      <c r="M280" s="27" t="s">
        <v>187</v>
      </c>
      <c r="N280" s="27" t="s">
        <v>180</v>
      </c>
    </row>
    <row r="281" spans="1:14" x14ac:dyDescent="0.25">
      <c r="A281" s="5" t="s">
        <v>14</v>
      </c>
      <c r="B281" s="5"/>
      <c r="C281" s="5"/>
      <c r="D281" s="5"/>
      <c r="E281" s="5"/>
      <c r="F281" s="5"/>
      <c r="G281" s="5"/>
      <c r="H281" s="5"/>
      <c r="I281" s="5"/>
      <c r="J281" s="6"/>
      <c r="K281" s="6"/>
      <c r="L281" s="6"/>
      <c r="M281" s="6"/>
      <c r="N281" s="6"/>
    </row>
    <row r="282" spans="1:14" x14ac:dyDescent="0.25">
      <c r="A282" s="7"/>
      <c r="B282" t="s">
        <v>84</v>
      </c>
      <c r="G282" t="s">
        <v>90</v>
      </c>
      <c r="H282" t="s">
        <v>45</v>
      </c>
      <c r="J282" t="s">
        <v>42</v>
      </c>
      <c r="K282" s="16">
        <v>17</v>
      </c>
      <c r="L282" t="s">
        <v>39</v>
      </c>
      <c r="M282" t="s">
        <v>181</v>
      </c>
      <c r="N282" t="s">
        <v>100</v>
      </c>
    </row>
    <row r="283" spans="1:14" x14ac:dyDescent="0.25">
      <c r="A283" s="5" t="s">
        <v>23</v>
      </c>
      <c r="B283" s="5"/>
      <c r="C283" s="5"/>
      <c r="D283" s="5"/>
      <c r="E283" s="5"/>
      <c r="F283" s="5"/>
      <c r="G283" s="5"/>
      <c r="H283" s="5"/>
      <c r="I283" s="5"/>
      <c r="J283" s="6"/>
      <c r="K283" s="6"/>
      <c r="L283" s="6"/>
      <c r="M283" s="6"/>
      <c r="N283" s="6"/>
    </row>
    <row r="284" spans="1:14" x14ac:dyDescent="0.25">
      <c r="A284" t="s">
        <v>57</v>
      </c>
      <c r="G284" t="s">
        <v>90</v>
      </c>
      <c r="H284" t="s">
        <v>45</v>
      </c>
      <c r="J284" t="s">
        <v>42</v>
      </c>
      <c r="K284" s="7">
        <v>2.4</v>
      </c>
      <c r="L284" t="s">
        <v>39</v>
      </c>
    </row>
    <row r="285" spans="1:14" x14ac:dyDescent="0.25">
      <c r="A285" t="s">
        <v>101</v>
      </c>
      <c r="G285" t="s">
        <v>90</v>
      </c>
      <c r="H285" t="s">
        <v>45</v>
      </c>
      <c r="J285" t="s">
        <v>42</v>
      </c>
      <c r="K285" s="7">
        <v>15.4</v>
      </c>
      <c r="L285" t="s">
        <v>39</v>
      </c>
    </row>
    <row r="286" spans="1:14" x14ac:dyDescent="0.25">
      <c r="A286" s="5" t="s">
        <v>20</v>
      </c>
      <c r="B286" s="5"/>
      <c r="C286" s="5"/>
      <c r="D286" s="5"/>
      <c r="E286" s="5"/>
      <c r="F286" s="5"/>
      <c r="G286" s="5"/>
      <c r="H286" s="5"/>
      <c r="I286" s="5"/>
      <c r="J286" s="6"/>
      <c r="K286" s="6"/>
      <c r="L286" s="6"/>
      <c r="M286" s="6"/>
      <c r="N286" s="6"/>
    </row>
    <row r="287" spans="1:14" x14ac:dyDescent="0.25">
      <c r="B287" t="s">
        <v>225</v>
      </c>
      <c r="H287" t="s">
        <v>45</v>
      </c>
      <c r="J287" t="s">
        <v>42</v>
      </c>
      <c r="K287">
        <v>34.200000000000003</v>
      </c>
      <c r="L287" t="s">
        <v>39</v>
      </c>
      <c r="M287" t="s">
        <v>232</v>
      </c>
      <c r="N287" s="27" t="s">
        <v>233</v>
      </c>
    </row>
    <row r="288" spans="1:14" x14ac:dyDescent="0.25">
      <c r="A288" s="5" t="s">
        <v>22</v>
      </c>
      <c r="B288" s="5"/>
      <c r="C288" s="5"/>
      <c r="D288" s="5"/>
      <c r="E288" s="5"/>
      <c r="F288" s="5"/>
      <c r="G288" s="5"/>
      <c r="H288" s="5"/>
      <c r="I288" s="5"/>
      <c r="J288" s="6"/>
      <c r="K288" s="6"/>
      <c r="L288" s="6"/>
      <c r="M288" s="6"/>
      <c r="N288" s="6"/>
    </row>
    <row r="289" spans="1:14" x14ac:dyDescent="0.25">
      <c r="A289" t="s">
        <v>139</v>
      </c>
      <c r="G289" t="s">
        <v>90</v>
      </c>
      <c r="H289" t="s">
        <v>45</v>
      </c>
      <c r="J289" t="s">
        <v>42</v>
      </c>
      <c r="K289" s="24">
        <v>1</v>
      </c>
      <c r="L289" t="s">
        <v>39</v>
      </c>
    </row>
    <row r="290" spans="1:14" x14ac:dyDescent="0.25">
      <c r="A290" s="5" t="s">
        <v>29</v>
      </c>
      <c r="B290" s="5"/>
      <c r="C290" s="5"/>
      <c r="D290" s="5"/>
      <c r="E290" s="5"/>
      <c r="F290" s="5"/>
      <c r="G290" s="5"/>
      <c r="H290" s="5"/>
      <c r="I290" s="5"/>
      <c r="J290" s="6"/>
      <c r="K290" s="6"/>
      <c r="L290" s="6"/>
      <c r="M290" s="6"/>
      <c r="N290" s="6"/>
    </row>
    <row r="291" spans="1:14" x14ac:dyDescent="0.25">
      <c r="A291" t="s">
        <v>118</v>
      </c>
      <c r="G291" t="s">
        <v>90</v>
      </c>
      <c r="H291" t="s">
        <v>45</v>
      </c>
      <c r="J291" t="s">
        <v>42</v>
      </c>
      <c r="K291" s="18">
        <v>8</v>
      </c>
      <c r="L291" t="s">
        <v>39</v>
      </c>
      <c r="M291" t="s">
        <v>179</v>
      </c>
      <c r="N291" s="27" t="s">
        <v>180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8:E24"/>
  <sheetViews>
    <sheetView workbookViewId="0">
      <selection activeCell="H27" sqref="H27"/>
    </sheetView>
  </sheetViews>
  <sheetFormatPr defaultRowHeight="15" x14ac:dyDescent="0.25"/>
  <sheetData>
    <row r="8" spans="5:5" x14ac:dyDescent="0.25">
      <c r="E8" s="26" t="s">
        <v>165</v>
      </c>
    </row>
    <row r="9" spans="5:5" x14ac:dyDescent="0.25">
      <c r="E9" t="s">
        <v>168</v>
      </c>
    </row>
    <row r="10" spans="5:5" x14ac:dyDescent="0.25">
      <c r="E10" t="s">
        <v>166</v>
      </c>
    </row>
    <row r="11" spans="5:5" x14ac:dyDescent="0.25">
      <c r="E11" t="s">
        <v>167</v>
      </c>
    </row>
    <row r="12" spans="5:5" x14ac:dyDescent="0.25">
      <c r="E12" t="s">
        <v>170</v>
      </c>
    </row>
    <row r="13" spans="5:5" x14ac:dyDescent="0.25">
      <c r="E13" t="s">
        <v>169</v>
      </c>
    </row>
    <row r="15" spans="5:5" x14ac:dyDescent="0.25">
      <c r="E15" s="26" t="s">
        <v>171</v>
      </c>
    </row>
    <row r="16" spans="5:5" x14ac:dyDescent="0.25">
      <c r="E16" t="s">
        <v>172</v>
      </c>
    </row>
    <row r="17" spans="5:5" x14ac:dyDescent="0.25">
      <c r="E17" t="s">
        <v>173</v>
      </c>
    </row>
    <row r="19" spans="5:5" x14ac:dyDescent="0.25">
      <c r="E19" s="26" t="s">
        <v>174</v>
      </c>
    </row>
    <row r="20" spans="5:5" x14ac:dyDescent="0.25">
      <c r="E20" t="s">
        <v>176</v>
      </c>
    </row>
    <row r="21" spans="5:5" x14ac:dyDescent="0.25">
      <c r="E21" t="s">
        <v>175</v>
      </c>
    </row>
    <row r="23" spans="5:5" x14ac:dyDescent="0.25">
      <c r="E23" s="26" t="s">
        <v>177</v>
      </c>
    </row>
    <row r="24" spans="5:5" x14ac:dyDescent="0.25">
      <c r="E24" t="s">
        <v>178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2023-05-16T10:22:51Z</dcterms:modified>
</cp:coreProperties>
</file>