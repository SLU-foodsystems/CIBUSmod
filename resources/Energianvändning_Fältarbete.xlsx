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C8AE8E80-01F6-4105-901C-FA5B280D6D05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Inputs-Redskap" sheetId="7" r:id="rId1"/>
    <sheet name="Input-Grödor" sheetId="5" r:id="rId2"/>
    <sheet name="Käll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7" l="1"/>
  <c r="L36" i="7"/>
  <c r="K36" i="7"/>
  <c r="M35" i="7"/>
  <c r="L35" i="7"/>
  <c r="K35" i="7"/>
  <c r="M34" i="7"/>
  <c r="L34" i="7"/>
  <c r="K34" i="7"/>
  <c r="E31" i="7"/>
  <c r="D31" i="7"/>
  <c r="E30" i="7"/>
  <c r="D30" i="7"/>
  <c r="D22" i="7" l="1"/>
  <c r="D6" i="5" l="1"/>
  <c r="AB33" i="5" l="1"/>
  <c r="AB34" i="5" s="1"/>
  <c r="AB35" i="5" s="1"/>
  <c r="AA33" i="5"/>
  <c r="AA34" i="5" s="1"/>
  <c r="AA35" i="5" s="1"/>
  <c r="AA27" i="5"/>
  <c r="C28" i="5"/>
  <c r="AH28" i="5"/>
  <c r="C24" i="5"/>
  <c r="AH24" i="5" s="1"/>
  <c r="C20" i="5"/>
  <c r="AH20" i="5" s="1"/>
  <c r="C19" i="5"/>
  <c r="AH19" i="5" s="1"/>
  <c r="C16" i="5"/>
  <c r="AH16" i="5" s="1"/>
  <c r="C14" i="5"/>
  <c r="AH14" i="5" s="1"/>
  <c r="C9" i="5"/>
  <c r="AH9" i="5" s="1"/>
  <c r="C8" i="5"/>
  <c r="AH8" i="5" s="1"/>
  <c r="C7" i="5"/>
  <c r="AH7" i="5" s="1"/>
  <c r="AI11" i="5"/>
  <c r="AI12" i="5"/>
  <c r="AI13" i="5"/>
  <c r="AI15" i="5"/>
  <c r="AI17" i="5"/>
  <c r="AI18" i="5"/>
  <c r="AI21" i="5"/>
  <c r="AI22" i="5"/>
  <c r="AI23" i="5"/>
  <c r="AI25" i="5"/>
  <c r="AI26" i="5"/>
  <c r="AI27" i="5"/>
  <c r="AI29" i="5"/>
  <c r="AG7" i="5"/>
  <c r="AG8" i="5"/>
  <c r="AG9" i="5"/>
  <c r="AG14" i="5"/>
  <c r="AG16" i="5"/>
  <c r="AG19" i="5"/>
  <c r="AG20" i="5"/>
  <c r="AG24" i="5"/>
  <c r="AG28" i="5"/>
  <c r="Z18" i="5"/>
  <c r="G63" i="7"/>
  <c r="Z33" i="5" s="1"/>
  <c r="Z34" i="5" s="1"/>
  <c r="Z35" i="5" s="1"/>
  <c r="V33" i="5"/>
  <c r="V34" i="5" s="1"/>
  <c r="V35" i="5" s="1"/>
  <c r="G18" i="7"/>
  <c r="W22" i="5"/>
  <c r="AA29" i="5"/>
  <c r="AA17" i="5"/>
  <c r="AA12" i="5"/>
  <c r="AA28" i="5"/>
  <c r="AA24" i="5"/>
  <c r="AA20" i="5"/>
  <c r="AA19" i="5"/>
  <c r="AA16" i="5"/>
  <c r="AA14" i="5"/>
  <c r="AA11" i="5"/>
  <c r="AA8" i="5"/>
  <c r="AA9" i="5"/>
  <c r="AA7" i="5"/>
  <c r="Y15" i="5"/>
  <c r="X25" i="5"/>
  <c r="W21" i="5"/>
  <c r="U34" i="5"/>
  <c r="U35" i="5" s="1"/>
  <c r="L34" i="5"/>
  <c r="L35" i="5" s="1"/>
  <c r="G17" i="7"/>
  <c r="G16" i="7"/>
  <c r="G15" i="7"/>
  <c r="G14" i="7"/>
  <c r="AI33" i="5"/>
  <c r="AI34" i="5" s="1"/>
  <c r="AI35" i="5" s="1"/>
  <c r="AH33" i="5"/>
  <c r="AH34" i="5" s="1"/>
  <c r="AH35" i="5" s="1"/>
  <c r="AG33" i="5"/>
  <c r="AG34" i="5" s="1"/>
  <c r="AG35" i="5" s="1"/>
  <c r="AF33" i="5"/>
  <c r="AF34" i="5" s="1"/>
  <c r="AF35" i="5" s="1"/>
  <c r="AE33" i="5"/>
  <c r="AE34" i="5" s="1"/>
  <c r="AE35" i="5" s="1"/>
  <c r="AD33" i="5"/>
  <c r="AD34" i="5" s="1"/>
  <c r="AD35" i="5" s="1"/>
  <c r="AC33" i="5"/>
  <c r="AC34" i="5" s="1"/>
  <c r="AC35" i="5" s="1"/>
  <c r="Y33" i="5"/>
  <c r="Y34" i="5" s="1"/>
  <c r="Y35" i="5" s="1"/>
  <c r="S33" i="5"/>
  <c r="S34" i="5" s="1"/>
  <c r="S35" i="5" s="1"/>
  <c r="T33" i="5"/>
  <c r="T34" i="5" s="1"/>
  <c r="T35" i="5" s="1"/>
  <c r="R33" i="5"/>
  <c r="R34" i="5" s="1"/>
  <c r="R35" i="5" s="1"/>
  <c r="Q33" i="5"/>
  <c r="Q34" i="5" s="1"/>
  <c r="Q35" i="5" s="1"/>
  <c r="P33" i="5"/>
  <c r="P34" i="5" s="1"/>
  <c r="P35" i="5" s="1"/>
  <c r="O33" i="5"/>
  <c r="O34" i="5" s="1"/>
  <c r="O35" i="5" s="1"/>
  <c r="I33" i="5"/>
  <c r="I34" i="5" s="1"/>
  <c r="I35" i="5" s="1"/>
  <c r="E25" i="7" l="1"/>
  <c r="E26" i="7" s="1"/>
  <c r="F50" i="7"/>
  <c r="M33" i="5" s="1"/>
  <c r="M34" i="5" s="1"/>
  <c r="M35" i="5" s="1"/>
  <c r="G65" i="7"/>
  <c r="X33" i="5" s="1"/>
  <c r="G64" i="7"/>
  <c r="W33" i="5" s="1"/>
  <c r="W34" i="5" l="1"/>
  <c r="W35" i="5" s="1"/>
  <c r="X34" i="5"/>
  <c r="X35" i="5" s="1"/>
  <c r="M30" i="7"/>
  <c r="K30" i="7"/>
  <c r="L30" i="7"/>
  <c r="M31" i="7"/>
  <c r="M29" i="7"/>
  <c r="K31" i="7"/>
  <c r="K29" i="7"/>
  <c r="L31" i="7"/>
  <c r="L29" i="7"/>
  <c r="F49" i="7"/>
  <c r="N33" i="5" s="1"/>
  <c r="N34" i="5" s="1"/>
  <c r="N35" i="5" s="1"/>
  <c r="K34" i="5" l="1"/>
  <c r="K33" i="5"/>
  <c r="K35" i="5"/>
  <c r="H34" i="5"/>
  <c r="H33" i="5"/>
  <c r="AL14" i="5" s="1"/>
  <c r="AM14" i="5" s="1"/>
  <c r="H35" i="5"/>
  <c r="J34" i="5"/>
  <c r="J33" i="5"/>
  <c r="AL13" i="5" s="1"/>
  <c r="AM13" i="5" s="1"/>
  <c r="J35" i="5"/>
  <c r="AL6" i="5"/>
  <c r="AM6" i="5" s="1"/>
  <c r="AL18" i="5"/>
  <c r="AM18" i="5" s="1"/>
  <c r="AL10" i="5" l="1"/>
  <c r="AM10" i="5" s="1"/>
  <c r="AL19" i="5"/>
  <c r="AM19" i="5" s="1"/>
  <c r="AL21" i="5"/>
  <c r="AM21" i="5" s="1"/>
  <c r="AN21" i="5" s="1"/>
  <c r="AL16" i="5"/>
  <c r="AM16" i="5" s="1"/>
  <c r="AO16" i="5" s="1"/>
  <c r="AL9" i="5"/>
  <c r="AM9" i="5" s="1"/>
  <c r="AO9" i="5" s="1"/>
  <c r="AL12" i="5"/>
  <c r="AM12" i="5" s="1"/>
  <c r="AN12" i="5" s="1"/>
  <c r="AL28" i="5"/>
  <c r="AM28" i="5" s="1"/>
  <c r="AN28" i="5" s="1"/>
  <c r="AL8" i="5"/>
  <c r="AM8" i="5" s="1"/>
  <c r="AO8" i="5" s="1"/>
  <c r="AL20" i="5"/>
  <c r="AM20" i="5" s="1"/>
  <c r="AN20" i="5" s="1"/>
  <c r="AL22" i="5"/>
  <c r="AM22" i="5" s="1"/>
  <c r="AN22" i="5" s="1"/>
  <c r="AL24" i="5"/>
  <c r="AM24" i="5" s="1"/>
  <c r="AO24" i="5" s="1"/>
  <c r="AL7" i="5"/>
  <c r="AM7" i="5" s="1"/>
  <c r="AO7" i="5" s="1"/>
  <c r="AL29" i="5"/>
  <c r="AM29" i="5" s="1"/>
  <c r="AO29" i="5" s="1"/>
  <c r="AL17" i="5"/>
  <c r="AM17" i="5" s="1"/>
  <c r="AN17" i="5" s="1"/>
  <c r="AL30" i="5"/>
  <c r="AM30" i="5" s="1"/>
  <c r="AN30" i="5" s="1"/>
  <c r="AL26" i="5"/>
  <c r="AM26" i="5" s="1"/>
  <c r="AN26" i="5" s="1"/>
  <c r="AL25" i="5"/>
  <c r="AM25" i="5" s="1"/>
  <c r="AO25" i="5" s="1"/>
  <c r="AL11" i="5"/>
  <c r="AM11" i="5" s="1"/>
  <c r="AO11" i="5" s="1"/>
  <c r="AL27" i="5"/>
  <c r="AM27" i="5" s="1"/>
  <c r="AN27" i="5" s="1"/>
  <c r="AL5" i="5"/>
  <c r="AM5" i="5" s="1"/>
  <c r="AO5" i="5" s="1"/>
  <c r="AL23" i="5"/>
  <c r="AM23" i="5" s="1"/>
  <c r="AN23" i="5" s="1"/>
  <c r="AL15" i="5"/>
  <c r="AM15" i="5" s="1"/>
  <c r="AO15" i="5" s="1"/>
  <c r="AO10" i="5"/>
  <c r="AO18" i="5"/>
  <c r="AO13" i="5"/>
  <c r="AO19" i="5"/>
  <c r="AO21" i="5"/>
  <c r="AO14" i="5"/>
  <c r="AO6" i="5"/>
  <c r="AO28" i="5"/>
  <c r="AN10" i="5"/>
  <c r="AN18" i="5"/>
  <c r="AN13" i="5"/>
  <c r="AN19" i="5"/>
  <c r="AN14" i="5"/>
  <c r="AN6" i="5"/>
  <c r="AN16" i="5" l="1"/>
  <c r="AN8" i="5"/>
  <c r="AO12" i="5"/>
  <c r="AO22" i="5"/>
  <c r="AO20" i="5"/>
  <c r="AO26" i="5"/>
  <c r="AN24" i="5"/>
  <c r="AO17" i="5"/>
  <c r="AN9" i="5"/>
  <c r="AN29" i="5"/>
  <c r="AO30" i="5"/>
  <c r="AN7" i="5"/>
  <c r="AN25" i="5"/>
  <c r="AN11" i="5"/>
  <c r="AO27" i="5"/>
  <c r="AO23" i="5"/>
  <c r="AQ5" i="5" s="1"/>
  <c r="AN5" i="5"/>
  <c r="AN15" i="5"/>
  <c r="AQ6" i="5" l="1"/>
  <c r="AQ7" i="5" s="1"/>
</calcChain>
</file>

<file path=xl/sharedStrings.xml><?xml version="1.0" encoding="utf-8"?>
<sst xmlns="http://schemas.openxmlformats.org/spreadsheetml/2006/main" count="320" uniqueCount="215">
  <si>
    <t>Höstvete</t>
  </si>
  <si>
    <t>Vårvete</t>
  </si>
  <si>
    <t>Råg</t>
  </si>
  <si>
    <t>Höstkorn</t>
  </si>
  <si>
    <t>Havre</t>
  </si>
  <si>
    <t>Rågvete</t>
  </si>
  <si>
    <t>Blandsäd</t>
  </si>
  <si>
    <t>Ärter &amp; åkerbönor</t>
  </si>
  <si>
    <t>Konservärtor</t>
  </si>
  <si>
    <t>Bruna Bönor</t>
  </si>
  <si>
    <t>Grönfoder</t>
  </si>
  <si>
    <t>Slåttervall</t>
  </si>
  <si>
    <t>Betesvall</t>
  </si>
  <si>
    <t>Frövall</t>
  </si>
  <si>
    <t>Matpotatis</t>
  </si>
  <si>
    <t>Stärkelsepotatis</t>
  </si>
  <si>
    <t>Sockerbetor</t>
  </si>
  <si>
    <t>Raps &amp; rybs</t>
  </si>
  <si>
    <t>Oljelin</t>
  </si>
  <si>
    <t>Vårkorn</t>
  </si>
  <si>
    <t>Trädgårdsväxter</t>
  </si>
  <si>
    <t>Andra växtslag</t>
  </si>
  <si>
    <t>Träda</t>
  </si>
  <si>
    <t>Ospec. Åkermark</t>
  </si>
  <si>
    <t>Majs</t>
  </si>
  <si>
    <t>Gröda</t>
  </si>
  <si>
    <t>Jordbruksverket (2022) Jordbruksstatistisk sammanställning 2022,  JO1901, https://jordbruksverket.se/om-jordbruksverket/jordbruksverkets-officiella-statistik/jordbruksverkets-statistikrapporter/statistik/2022-07-05-jordbruksstatistisk---sammanstallning-2022</t>
  </si>
  <si>
    <t>SAE. (2000). Agricultural Machinery Management Data. In. ASABE, St. Joseph, MI, USA: American Society of Agricultural Engineers</t>
  </si>
  <si>
    <t>Baky, A., Sundberg, M., &amp; Brown, N. (2010). Kartläggning av jordbrukets energianvändning [Survey of energy use in Swedish agriculture]. Retrieved from JTI, Uppsala: https://www.diva-portal.org/smash/get/diva2:959931/FULLTEXT01.pdf</t>
  </si>
  <si>
    <t>kg</t>
  </si>
  <si>
    <t>km/h</t>
  </si>
  <si>
    <t>Konstanter</t>
  </si>
  <si>
    <t>Frontarea</t>
  </si>
  <si>
    <t>Ytkoefficient fordon</t>
  </si>
  <si>
    <t>Densitet luft</t>
  </si>
  <si>
    <t>kg/m3</t>
  </si>
  <si>
    <t>m^2</t>
  </si>
  <si>
    <t>Slirning/Slippage</t>
  </si>
  <si>
    <t>m/s^2</t>
  </si>
  <si>
    <t>Variabler</t>
  </si>
  <si>
    <t>Maskinkalkylgruppen. (2020). Maskinkostnader 2020 [Machine costs 2020]. Retrieved from Maskinkalkylgruppen: http://maskinkostnader.se/</t>
  </si>
  <si>
    <t>Arbete</t>
  </si>
  <si>
    <t>Harvning</t>
  </si>
  <si>
    <t>Kombisådd</t>
  </si>
  <si>
    <t>Såmaskin</t>
  </si>
  <si>
    <t>Gödsling</t>
  </si>
  <si>
    <t>Ogräsbekämpning, kemisk</t>
  </si>
  <si>
    <t>Vältning</t>
  </si>
  <si>
    <t>Plöjning</t>
  </si>
  <si>
    <t>-</t>
  </si>
  <si>
    <t>Stubbearbetning</t>
  </si>
  <si>
    <t>Nilsson, B. (1976). Planering av jordbrukets maskinsystem. Problem, modeller och tillämpningar. [The planning of farm machinery systems - Problems, models and applications]. In (Vol. Report no. 38). Uppsala, Sweden: Swedish University of Agricultural Sciences</t>
  </si>
  <si>
    <t>Redskap</t>
  </si>
  <si>
    <t>Moldboard plough</t>
  </si>
  <si>
    <t>A</t>
  </si>
  <si>
    <t>B</t>
  </si>
  <si>
    <t>C</t>
  </si>
  <si>
    <t>Stubbearbetning /kultivering</t>
  </si>
  <si>
    <t>Kletgödselspridning</t>
  </si>
  <si>
    <t>Sprejspridning</t>
  </si>
  <si>
    <t>Lindgren, M., Pettersson, O., Hansson, P.-A., &amp; Norén, O. (2002). Jordbruks- och anläggningsmaskiners motorbelastning och avgasemissioner [Engine load pattern and engine exhaust gas emissions from off-road vehicles]. Retrieved from http://www.diva-portal.org/smash/record.jsf?pid=diva2%3A959556</t>
  </si>
  <si>
    <t>kW/m</t>
  </si>
  <si>
    <t>Slåtter</t>
  </si>
  <si>
    <t>Putsning</t>
  </si>
  <si>
    <t>kWh/ha</t>
  </si>
  <si>
    <t>Engström, J., &amp; Lagnelöv, O. (2017). Battery Electric Autonomous Agricultural Machine - Simulation of all operations on a Swedish farm. http://www.diva-portal.org/smash/record.jsf?pid=diva2%3A1144170&amp;dswid=-6740</t>
  </si>
  <si>
    <t>Källa</t>
  </si>
  <si>
    <t>Engström &amp; Lagnelöv, 2017</t>
  </si>
  <si>
    <t>Ridging</t>
  </si>
  <si>
    <t>Windrower</t>
  </si>
  <si>
    <t>Topping</t>
  </si>
  <si>
    <t>Beet topper</t>
  </si>
  <si>
    <t>P</t>
  </si>
  <si>
    <t>Kan ändras</t>
  </si>
  <si>
    <t>Ändras ej</t>
  </si>
  <si>
    <t>Baky, 2010</t>
  </si>
  <si>
    <t>Skörd</t>
  </si>
  <si>
    <t>+</t>
  </si>
  <si>
    <t>kWh/ton</t>
  </si>
  <si>
    <t>Toppning</t>
  </si>
  <si>
    <t>"Ridging"</t>
  </si>
  <si>
    <t>Transport</t>
  </si>
  <si>
    <t>Transport kärna</t>
  </si>
  <si>
    <t>Transport halm</t>
  </si>
  <si>
    <t>Sådd</t>
  </si>
  <si>
    <t>Gödsling &amp; Bekämpning</t>
  </si>
  <si>
    <t>Jordbearbetning</t>
  </si>
  <si>
    <t>Maskinkalkylgruppen, 2020</t>
  </si>
  <si>
    <t>Betupptagare (självg.)</t>
  </si>
  <si>
    <t xml:space="preserve">Skörd </t>
  </si>
  <si>
    <t>Matpotatis (självg.)</t>
  </si>
  <si>
    <t>Stärkelsepotatist (självg.)</t>
  </si>
  <si>
    <t>eller</t>
  </si>
  <si>
    <t>ASAE, 2000</t>
  </si>
  <si>
    <t>kWh/ton halm</t>
  </si>
  <si>
    <t>Skördetröska (+hack)</t>
  </si>
  <si>
    <t>kWh/tonkm</t>
  </si>
  <si>
    <t>Transport vagn allmän</t>
  </si>
  <si>
    <t>Transport (per tonkm)</t>
  </si>
  <si>
    <t>Flytgödsel</t>
  </si>
  <si>
    <t>Konstgödsel</t>
  </si>
  <si>
    <t>Fast/kletgödsel</t>
  </si>
  <si>
    <t xml:space="preserve">Kitani, A., Jungbluth, T., Peart, R. M., Ramdani, A., Badger, P. C., &amp; Clark, N. R. (1999). CIGR Handbook of Agricultural Engineering (A. Kitani Ed.  Vol. 5 - Energy and Biomass Engineering): American Society of Agricultural Engineers. </t>
  </si>
  <si>
    <t>Grisso, R., Perumpral, J. V., Vaughan, D., Roberson, G. T., &amp; Pitman, R. (2010). Predicting Tractor Diesel Fuel Consumption. In (Vol. Pub. 442-073). College of Agriculture and Life Sciences: Virginia Polytech Institute and State University.https://vtechworks.lib.vt.edu/bitstream/handle/10919/47472/442-073_pdf.pdf?sequence=1&amp;isAllowed=y</t>
  </si>
  <si>
    <t>Traktor</t>
  </si>
  <si>
    <t>Symbol</t>
  </si>
  <si>
    <t>m</t>
  </si>
  <si>
    <t>S</t>
  </si>
  <si>
    <t>a</t>
  </si>
  <si>
    <t>α</t>
  </si>
  <si>
    <r>
      <t>C</t>
    </r>
    <r>
      <rPr>
        <vertAlign val="subscript"/>
        <sz val="11"/>
        <color theme="1"/>
        <rFont val="Calibri"/>
        <family val="2"/>
        <scheme val="minor"/>
      </rPr>
      <t>D</t>
    </r>
  </si>
  <si>
    <r>
      <rPr>
        <sz val="11"/>
        <color theme="1"/>
        <rFont val="Calibri"/>
        <family val="2"/>
      </rPr>
      <t>ρ</t>
    </r>
    <r>
      <rPr>
        <vertAlign val="subscript"/>
        <sz val="11"/>
        <color theme="1"/>
        <rFont val="Calibri"/>
        <family val="2"/>
      </rPr>
      <t>air</t>
    </r>
  </si>
  <si>
    <t>s</t>
  </si>
  <si>
    <r>
      <t>C</t>
    </r>
    <r>
      <rPr>
        <vertAlign val="subscript"/>
        <sz val="11"/>
        <color theme="1"/>
        <rFont val="Calibri"/>
        <family val="2"/>
      </rPr>
      <t>rr</t>
    </r>
  </si>
  <si>
    <t>Enhet</t>
  </si>
  <si>
    <t>Värde</t>
  </si>
  <si>
    <t>Fälthastighet</t>
  </si>
  <si>
    <t>Vikt</t>
  </si>
  <si>
    <t>Lutning, medel</t>
  </si>
  <si>
    <t>Acceleration, medel</t>
  </si>
  <si>
    <t>Märkeffekt</t>
  </si>
  <si>
    <t>kW</t>
  </si>
  <si>
    <t>Redskap - jordartsberoende</t>
  </si>
  <si>
    <t>Redskap - oberoende</t>
  </si>
  <si>
    <t>Redskapsparamtrar</t>
  </si>
  <si>
    <t>Rullvält</t>
  </si>
  <si>
    <t>Redskap - självgående</t>
  </si>
  <si>
    <t>Diesel/HVO</t>
  </si>
  <si>
    <t>Eldrift</t>
  </si>
  <si>
    <r>
      <t>Bränslecell/H</t>
    </r>
    <r>
      <rPr>
        <vertAlign val="subscript"/>
        <sz val="11"/>
        <color theme="1"/>
        <rFont val="Calibri"/>
        <family val="2"/>
        <scheme val="minor"/>
      </rPr>
      <t>2</t>
    </r>
  </si>
  <si>
    <t>Lera/fin</t>
  </si>
  <si>
    <t>Sand/grov</t>
  </si>
  <si>
    <t>Loam/mellan</t>
  </si>
  <si>
    <t>Markmotstånd traktor</t>
  </si>
  <si>
    <r>
      <t>B</t>
    </r>
    <r>
      <rPr>
        <vertAlign val="subscript"/>
        <sz val="11"/>
        <color theme="1"/>
        <rFont val="Calibri"/>
        <family val="2"/>
        <scheme val="minor"/>
      </rPr>
      <t>n</t>
    </r>
  </si>
  <si>
    <t>Arbetsdjup</t>
  </si>
  <si>
    <t>T, cm</t>
  </si>
  <si>
    <t>Verkningsgrad, Total (pump-hjul)</t>
  </si>
  <si>
    <t>Lindgren, 2002</t>
  </si>
  <si>
    <t xml:space="preserve">Baky, 2010 </t>
  </si>
  <si>
    <t xml:space="preserve">Reif, K., &amp; Dietsche, K.-H. (2014). Bosch Automotive Handbook (K. Reif Ed. 9th ed.). Robert Bosch GmbH, Germany: John Wiley &amp; Sons Ltd. </t>
  </si>
  <si>
    <t>Fälteffektivitet</t>
  </si>
  <si>
    <r>
      <t>η</t>
    </r>
    <r>
      <rPr>
        <vertAlign val="subscript"/>
        <sz val="11"/>
        <color theme="1"/>
        <rFont val="Calibri"/>
        <family val="2"/>
      </rPr>
      <t>Fält</t>
    </r>
  </si>
  <si>
    <r>
      <t>η</t>
    </r>
    <r>
      <rPr>
        <vertAlign val="subscript"/>
        <sz val="11"/>
        <color theme="1"/>
        <rFont val="Calibri"/>
        <family val="2"/>
      </rPr>
      <t>Driv</t>
    </r>
  </si>
  <si>
    <t>Tornsilo</t>
  </si>
  <si>
    <t>Plansilo</t>
  </si>
  <si>
    <t>Rundbal</t>
  </si>
  <si>
    <t>Bärgning och inläggning (inkl transport)</t>
  </si>
  <si>
    <t>kWh/ha &amp; skörd</t>
  </si>
  <si>
    <t>Arbetstakt per redskapsbredd</t>
  </si>
  <si>
    <r>
      <t>C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/W</t>
    </r>
  </si>
  <si>
    <t>ha/h m</t>
  </si>
  <si>
    <t>Skörd (ton/ha)</t>
  </si>
  <si>
    <t>Bärgning &amp; ensilering</t>
  </si>
  <si>
    <t>Effektbehov</t>
  </si>
  <si>
    <t>Friktionskoefficient, väg</t>
  </si>
  <si>
    <t>Friktionskoefficient, fält</t>
  </si>
  <si>
    <r>
      <t>C</t>
    </r>
    <r>
      <rPr>
        <vertAlign val="subscript"/>
        <sz val="11"/>
        <color theme="1"/>
        <rFont val="Calibri"/>
        <family val="2"/>
      </rPr>
      <t>rv</t>
    </r>
  </si>
  <si>
    <t>Energibehov</t>
  </si>
  <si>
    <t>Energibehov (kWh/ha)</t>
  </si>
  <si>
    <r>
      <t>Jordartsparametrar, F</t>
    </r>
    <r>
      <rPr>
        <vertAlign val="subscript"/>
        <sz val="11"/>
        <color theme="1"/>
        <rFont val="Calibri"/>
        <family val="2"/>
        <scheme val="minor"/>
      </rPr>
      <t>i</t>
    </r>
  </si>
  <si>
    <t>Notis</t>
  </si>
  <si>
    <t>Lägg till traktors energibehov</t>
  </si>
  <si>
    <t>Direktsådd</t>
  </si>
  <si>
    <t>Kombisåmaskin</t>
  </si>
  <si>
    <t>Putsare</t>
  </si>
  <si>
    <t>Bränsleåtgång (kWh/ha, vid hjul)</t>
  </si>
  <si>
    <t>Traktorns energiförbrukning</t>
  </si>
  <si>
    <t>kWh/h</t>
  </si>
  <si>
    <t>*antaget en medelarbetstakt på 2,0 ha/h</t>
  </si>
  <si>
    <t>N</t>
  </si>
  <si>
    <r>
      <t>F</t>
    </r>
    <r>
      <rPr>
        <vertAlign val="subscript"/>
        <sz val="11"/>
        <color theme="1"/>
        <rFont val="Calibri"/>
        <family val="2"/>
        <scheme val="minor"/>
      </rPr>
      <t>drag</t>
    </r>
  </si>
  <si>
    <r>
      <t>F</t>
    </r>
    <r>
      <rPr>
        <vertAlign val="subscript"/>
        <sz val="11"/>
        <color theme="1"/>
        <rFont val="Calibri"/>
        <family val="2"/>
        <scheme val="minor"/>
      </rPr>
      <t>rr</t>
    </r>
  </si>
  <si>
    <r>
      <t>F</t>
    </r>
    <r>
      <rPr>
        <vertAlign val="subscript"/>
        <sz val="11"/>
        <color theme="1"/>
        <rFont val="Calibri"/>
        <family val="2"/>
        <scheme val="minor"/>
      </rPr>
      <t>acc</t>
    </r>
  </si>
  <si>
    <r>
      <t>F</t>
    </r>
    <r>
      <rPr>
        <vertAlign val="subscript"/>
        <sz val="11"/>
        <color theme="1"/>
        <rFont val="Calibri"/>
        <family val="2"/>
        <scheme val="minor"/>
      </rPr>
      <t>grad</t>
    </r>
  </si>
  <si>
    <r>
      <t>F</t>
    </r>
    <r>
      <rPr>
        <vertAlign val="subscript"/>
        <sz val="11"/>
        <color theme="1"/>
        <rFont val="Calibri"/>
        <family val="2"/>
        <scheme val="minor"/>
      </rPr>
      <t>MR</t>
    </r>
  </si>
  <si>
    <t>rad</t>
  </si>
  <si>
    <t>Lera/ / fin jord</t>
  </si>
  <si>
    <t>Loam / medium jord</t>
  </si>
  <si>
    <t>Sand / grov jord</t>
  </si>
  <si>
    <t>Skörd (per ton)</t>
  </si>
  <si>
    <t>Grisso, 2010</t>
  </si>
  <si>
    <t>Potatissättare</t>
  </si>
  <si>
    <t>Majs &amp; betor</t>
  </si>
  <si>
    <t>Majströska</t>
  </si>
  <si>
    <t>Majs &amp; Betor</t>
  </si>
  <si>
    <t>Medelavstånd fält-gård</t>
  </si>
  <si>
    <t>D</t>
  </si>
  <si>
    <t>km</t>
  </si>
  <si>
    <t>Verkningsgrader</t>
  </si>
  <si>
    <t>Transport skörd (per ton)</t>
  </si>
  <si>
    <t>Halmskörd (ton/ha)</t>
  </si>
  <si>
    <t>Skörd (per skörd)</t>
  </si>
  <si>
    <t>Skördetröska + hack, fast förbrukning</t>
  </si>
  <si>
    <t xml:space="preserve">Stärkelsepotatist </t>
  </si>
  <si>
    <t xml:space="preserve">Slåtter </t>
  </si>
  <si>
    <t xml:space="preserve">Total bränsleförbrukning, brutto </t>
  </si>
  <si>
    <t>Uträkning</t>
  </si>
  <si>
    <t>L/ha eq.</t>
  </si>
  <si>
    <t>Area (ha)</t>
  </si>
  <si>
    <t>Jordartsfördelning</t>
  </si>
  <si>
    <t>Konservärtor (eko)</t>
  </si>
  <si>
    <t>Energiförbrukning, netto</t>
  </si>
  <si>
    <t xml:space="preserve"> kWh/ha</t>
  </si>
  <si>
    <t>Energiförbrukning, all areal</t>
  </si>
  <si>
    <t>kWh</t>
  </si>
  <si>
    <t xml:space="preserve">Total nationell energiföbrukning </t>
  </si>
  <si>
    <t>kWh/år</t>
  </si>
  <si>
    <t>L diesel eq.</t>
  </si>
  <si>
    <t>m3 diesel eq.</t>
  </si>
  <si>
    <t>Uträkning / resultat</t>
  </si>
  <si>
    <t>pinnar/m</t>
  </si>
  <si>
    <t>Liter per hektar</t>
  </si>
  <si>
    <t>Field cultivator, primary tillage</t>
  </si>
  <si>
    <t>Chisel Plow, 7.5 cm shovel/35 cm sweep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</si>
</sst>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2" fillId="0" borderId="0" applyBorder="0"/>
    <xf numFmtId="9" fontId="5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3" borderId="0" xfId="0" applyFill="1"/>
    <xf numFmtId="9" fontId="0" fillId="0" borderId="0" xfId="2" applyFont="1"/>
    <xf numFmtId="0" fontId="0" fillId="0" borderId="11" xfId="0" applyBorder="1"/>
    <xf numFmtId="0" fontId="0" fillId="0" borderId="4" xfId="0" applyBorder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1" xfId="0" applyFont="1" applyBorder="1"/>
    <xf numFmtId="0" fontId="1" fillId="0" borderId="3" xfId="0" applyFont="1" applyBorder="1"/>
    <xf numFmtId="0" fontId="0" fillId="4" borderId="0" xfId="0" applyFill="1"/>
    <xf numFmtId="0" fontId="0" fillId="5" borderId="0" xfId="0" applyFill="1"/>
    <xf numFmtId="0" fontId="0" fillId="6" borderId="6" xfId="0" applyFill="1" applyBorder="1"/>
    <xf numFmtId="0" fontId="0" fillId="6" borderId="8" xfId="0" applyFill="1" applyBorder="1"/>
    <xf numFmtId="0" fontId="0" fillId="6" borderId="0" xfId="0" applyFill="1"/>
    <xf numFmtId="0" fontId="0" fillId="6" borderId="7" xfId="0" applyFill="1" applyBorder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4" fillId="0" borderId="0" xfId="0" applyFont="1"/>
    <xf numFmtId="0" fontId="0" fillId="2" borderId="3" xfId="0" applyFill="1" applyBorder="1"/>
    <xf numFmtId="0" fontId="0" fillId="2" borderId="5" xfId="0" applyFill="1" applyBorder="1"/>
    <xf numFmtId="0" fontId="0" fillId="2" borderId="8" xfId="0" applyFill="1" applyBorder="1"/>
    <xf numFmtId="0" fontId="0" fillId="0" borderId="0" xfId="0" applyAlignment="1">
      <alignment horizontal="left"/>
    </xf>
    <xf numFmtId="0" fontId="8" fillId="0" borderId="0" xfId="0" applyFont="1"/>
    <xf numFmtId="164" fontId="0" fillId="5" borderId="0" xfId="0" applyNumberFormat="1" applyFill="1"/>
    <xf numFmtId="2" fontId="0" fillId="5" borderId="0" xfId="0" applyNumberFormat="1" applyFill="1"/>
    <xf numFmtId="1" fontId="0" fillId="5" borderId="0" xfId="0" applyNumberFormat="1" applyFill="1"/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6" borderId="0" xfId="0" applyNumberFormat="1" applyFill="1"/>
    <xf numFmtId="164" fontId="0" fillId="0" borderId="0" xfId="2" applyNumberFormat="1" applyFont="1"/>
    <xf numFmtId="0" fontId="0" fillId="3" borderId="2" xfId="0" applyFill="1" applyBorder="1"/>
    <xf numFmtId="0" fontId="0" fillId="3" borderId="7" xfId="0" applyFill="1" applyBorder="1"/>
    <xf numFmtId="0" fontId="0" fillId="6" borderId="7" xfId="0" applyFill="1" applyBorder="1" applyAlignment="1">
      <alignment wrapText="1"/>
    </xf>
    <xf numFmtId="1" fontId="2" fillId="2" borderId="0" xfId="1" applyNumberFormat="1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1" fontId="0" fillId="0" borderId="5" xfId="0" applyNumberFormat="1" applyBorder="1"/>
    <xf numFmtId="1" fontId="0" fillId="0" borderId="8" xfId="0" applyNumberFormat="1" applyBorder="1"/>
    <xf numFmtId="1" fontId="0" fillId="0" borderId="10" xfId="0" applyNumberFormat="1" applyBorder="1"/>
    <xf numFmtId="1" fontId="0" fillId="0" borderId="9" xfId="0" applyNumberFormat="1" applyBorder="1"/>
    <xf numFmtId="1" fontId="0" fillId="5" borderId="7" xfId="0" applyNumberFormat="1" applyFill="1" applyBorder="1"/>
    <xf numFmtId="0" fontId="0" fillId="0" borderId="10" xfId="0" applyBorder="1" applyAlignment="1">
      <alignment horizontal="right"/>
    </xf>
    <xf numFmtId="165" fontId="0" fillId="5" borderId="4" xfId="0" applyNumberFormat="1" applyFill="1" applyBorder="1"/>
    <xf numFmtId="9" fontId="0" fillId="0" borderId="5" xfId="2" applyFont="1" applyBorder="1"/>
    <xf numFmtId="165" fontId="0" fillId="5" borderId="6" xfId="0" applyNumberFormat="1" applyFill="1" applyBorder="1"/>
    <xf numFmtId="9" fontId="0" fillId="0" borderId="8" xfId="2" applyFont="1" applyBorder="1"/>
    <xf numFmtId="0" fontId="0" fillId="0" borderId="10" xfId="0" applyBorder="1"/>
    <xf numFmtId="11" fontId="0" fillId="0" borderId="10" xfId="0" applyNumberFormat="1" applyBorder="1"/>
    <xf numFmtId="11" fontId="0" fillId="0" borderId="9" xfId="0" applyNumberFormat="1" applyBorder="1"/>
    <xf numFmtId="0" fontId="1" fillId="0" borderId="2" xfId="0" applyFont="1" applyBorder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0" fillId="4" borderId="11" xfId="0" applyFill="1" applyBorder="1"/>
    <xf numFmtId="0" fontId="0" fillId="3" borderId="10" xfId="0" applyFill="1" applyBorder="1"/>
    <xf numFmtId="0" fontId="0" fillId="5" borderId="9" xfId="0" applyFill="1" applyBorder="1"/>
    <xf numFmtId="164" fontId="0" fillId="0" borderId="7" xfId="0" applyNumberFormat="1" applyBorder="1"/>
    <xf numFmtId="0" fontId="0" fillId="0" borderId="9" xfId="0" applyBorder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showGridLines="0" tabSelected="1" zoomScaleNormal="100" workbookViewId="0">
      <selection activeCell="U17" sqref="U17"/>
    </sheetView>
  </sheetViews>
  <sheetFormatPr defaultRowHeight="15" x14ac:dyDescent="0.25"/>
  <cols>
    <col min="1" max="1" width="10.5703125" bestFit="1" customWidth="1"/>
    <col min="2" max="2" width="19.140625" customWidth="1"/>
    <col min="6" max="6" width="13.7109375" bestFit="1" customWidth="1"/>
    <col min="7" max="7" width="6.42578125" customWidth="1"/>
  </cols>
  <sheetData>
    <row r="1" spans="1:8" x14ac:dyDescent="0.25">
      <c r="A1" s="20" t="s">
        <v>73</v>
      </c>
    </row>
    <row r="2" spans="1:8" x14ac:dyDescent="0.25">
      <c r="A2" s="11" t="s">
        <v>74</v>
      </c>
    </row>
    <row r="3" spans="1:8" x14ac:dyDescent="0.25">
      <c r="A3" s="21" t="s">
        <v>197</v>
      </c>
      <c r="B3" s="33" t="s">
        <v>104</v>
      </c>
    </row>
    <row r="4" spans="1:8" x14ac:dyDescent="0.25">
      <c r="B4" s="1" t="s">
        <v>39</v>
      </c>
      <c r="C4" t="s">
        <v>105</v>
      </c>
      <c r="D4" t="s">
        <v>115</v>
      </c>
      <c r="E4" t="s">
        <v>114</v>
      </c>
    </row>
    <row r="5" spans="1:8" x14ac:dyDescent="0.25">
      <c r="B5" t="s">
        <v>117</v>
      </c>
      <c r="C5" t="s">
        <v>106</v>
      </c>
      <c r="D5" s="10">
        <v>10800</v>
      </c>
      <c r="E5" t="s">
        <v>29</v>
      </c>
    </row>
    <row r="6" spans="1:8" x14ac:dyDescent="0.25">
      <c r="B6" t="s">
        <v>116</v>
      </c>
      <c r="C6" t="s">
        <v>107</v>
      </c>
      <c r="D6" s="10">
        <v>5</v>
      </c>
      <c r="E6" t="s">
        <v>30</v>
      </c>
    </row>
    <row r="7" spans="1:8" x14ac:dyDescent="0.25">
      <c r="B7" t="s">
        <v>119</v>
      </c>
      <c r="C7" t="s">
        <v>108</v>
      </c>
      <c r="D7" s="10">
        <v>0.2</v>
      </c>
      <c r="E7" t="s">
        <v>38</v>
      </c>
    </row>
    <row r="8" spans="1:8" x14ac:dyDescent="0.25">
      <c r="B8" t="s">
        <v>118</v>
      </c>
      <c r="C8" s="28" t="s">
        <v>109</v>
      </c>
      <c r="D8" s="10">
        <v>3.5000000000000003E-2</v>
      </c>
      <c r="E8" t="s">
        <v>176</v>
      </c>
      <c r="F8" t="s">
        <v>189</v>
      </c>
    </row>
    <row r="9" spans="1:8" x14ac:dyDescent="0.25">
      <c r="B9" t="s">
        <v>120</v>
      </c>
      <c r="C9" s="28" t="s">
        <v>72</v>
      </c>
      <c r="D9" s="10">
        <v>250</v>
      </c>
      <c r="E9" t="s">
        <v>121</v>
      </c>
      <c r="F9" s="3" t="s">
        <v>127</v>
      </c>
      <c r="G9" s="29">
        <v>0.26</v>
      </c>
    </row>
    <row r="10" spans="1:8" ht="18" x14ac:dyDescent="0.35">
      <c r="B10" t="s">
        <v>137</v>
      </c>
      <c r="C10" s="28" t="s">
        <v>143</v>
      </c>
      <c r="D10" s="10">
        <v>0.26</v>
      </c>
      <c r="E10" s="9"/>
      <c r="F10" t="s">
        <v>129</v>
      </c>
      <c r="G10" s="30">
        <v>0.45</v>
      </c>
    </row>
    <row r="11" spans="1:8" x14ac:dyDescent="0.25">
      <c r="B11" t="s">
        <v>186</v>
      </c>
      <c r="C11" s="28" t="s">
        <v>187</v>
      </c>
      <c r="D11" s="10">
        <v>4</v>
      </c>
      <c r="E11" t="s">
        <v>188</v>
      </c>
      <c r="F11" s="7" t="s">
        <v>128</v>
      </c>
      <c r="G11" s="31">
        <v>0.76</v>
      </c>
    </row>
    <row r="13" spans="1:8" x14ac:dyDescent="0.25">
      <c r="B13" s="1" t="s">
        <v>31</v>
      </c>
      <c r="C13" t="s">
        <v>105</v>
      </c>
      <c r="D13" t="s">
        <v>115</v>
      </c>
      <c r="E13" t="s">
        <v>114</v>
      </c>
    </row>
    <row r="14" spans="1:8" ht="18" x14ac:dyDescent="0.35">
      <c r="B14" t="s">
        <v>32</v>
      </c>
      <c r="C14" t="s">
        <v>54</v>
      </c>
      <c r="D14" s="11">
        <v>4</v>
      </c>
      <c r="E14" t="s">
        <v>36</v>
      </c>
      <c r="F14" s="3" t="s">
        <v>171</v>
      </c>
      <c r="G14" s="41">
        <f>D16*(D6/3.6)^2*D15*D14</f>
        <v>8.5069444444444464</v>
      </c>
      <c r="H14" s="5" t="s">
        <v>170</v>
      </c>
    </row>
    <row r="15" spans="1:8" ht="18" x14ac:dyDescent="0.35">
      <c r="B15" t="s">
        <v>33</v>
      </c>
      <c r="C15" t="s">
        <v>110</v>
      </c>
      <c r="D15" s="11">
        <v>0.9</v>
      </c>
      <c r="F15" s="14" t="s">
        <v>172</v>
      </c>
      <c r="G15" s="11">
        <f>D5*9.81*D17</f>
        <v>10594.800000000001</v>
      </c>
      <c r="H15" s="6" t="s">
        <v>170</v>
      </c>
    </row>
    <row r="16" spans="1:8" ht="18" x14ac:dyDescent="0.35">
      <c r="B16" t="s">
        <v>34</v>
      </c>
      <c r="C16" s="28" t="s">
        <v>111</v>
      </c>
      <c r="D16" s="11">
        <v>1.2250000000000001</v>
      </c>
      <c r="E16" t="s">
        <v>35</v>
      </c>
      <c r="F16" s="14" t="s">
        <v>173</v>
      </c>
      <c r="G16" s="11">
        <f>D5*D7</f>
        <v>2160</v>
      </c>
      <c r="H16" s="6" t="s">
        <v>170</v>
      </c>
    </row>
    <row r="17" spans="2:17" ht="18" x14ac:dyDescent="0.35">
      <c r="B17" t="s">
        <v>156</v>
      </c>
      <c r="C17" s="28" t="s">
        <v>113</v>
      </c>
      <c r="D17" s="11">
        <v>0.1</v>
      </c>
      <c r="F17" s="14" t="s">
        <v>174</v>
      </c>
      <c r="G17" s="11">
        <f>D5*9.81*SIN(D8)</f>
        <v>3707.4229596202113</v>
      </c>
      <c r="H17" s="6" t="s">
        <v>170</v>
      </c>
    </row>
    <row r="18" spans="2:17" ht="18" x14ac:dyDescent="0.35">
      <c r="B18" t="s">
        <v>155</v>
      </c>
      <c r="C18" s="28" t="s">
        <v>157</v>
      </c>
      <c r="D18" s="11">
        <v>0.01</v>
      </c>
      <c r="F18" s="7" t="s">
        <v>175</v>
      </c>
      <c r="G18" s="42">
        <f>9.81*D5*(1/D21+0.04+0.05*(D19/SQRT(D21)))/1000</f>
        <v>6.3071075267837839</v>
      </c>
      <c r="H18" s="9" t="s">
        <v>170</v>
      </c>
    </row>
    <row r="19" spans="2:17" x14ac:dyDescent="0.25">
      <c r="B19" t="s">
        <v>37</v>
      </c>
      <c r="C19" t="s">
        <v>112</v>
      </c>
      <c r="D19" s="11">
        <v>0.2</v>
      </c>
    </row>
    <row r="20" spans="2:17" ht="18" x14ac:dyDescent="0.35">
      <c r="B20" t="s">
        <v>141</v>
      </c>
      <c r="C20" s="28" t="s">
        <v>142</v>
      </c>
      <c r="D20" s="11">
        <v>0.8</v>
      </c>
    </row>
    <row r="21" spans="2:17" ht="18" x14ac:dyDescent="0.35">
      <c r="B21" t="s">
        <v>133</v>
      </c>
      <c r="C21" t="s">
        <v>134</v>
      </c>
      <c r="D21" s="11">
        <v>55</v>
      </c>
    </row>
    <row r="22" spans="2:17" ht="18" x14ac:dyDescent="0.35">
      <c r="B22" t="s">
        <v>149</v>
      </c>
      <c r="C22" t="s">
        <v>150</v>
      </c>
      <c r="D22" s="21">
        <f>D20*D6/10</f>
        <v>0.4</v>
      </c>
      <c r="E22" t="s">
        <v>151</v>
      </c>
    </row>
    <row r="25" spans="2:17" x14ac:dyDescent="0.25">
      <c r="B25" t="s">
        <v>167</v>
      </c>
      <c r="D25" t="s">
        <v>168</v>
      </c>
      <c r="E25" s="35">
        <f>SUM(G14:G18)*(D6/3.6)/1000</f>
        <v>22.884773627210336</v>
      </c>
    </row>
    <row r="26" spans="2:17" x14ac:dyDescent="0.25">
      <c r="B26" t="s">
        <v>169</v>
      </c>
      <c r="D26" t="s">
        <v>64</v>
      </c>
      <c r="E26" s="35">
        <f>E25/2</f>
        <v>11.442386813605168</v>
      </c>
      <c r="F26" s="15"/>
      <c r="G26" s="15"/>
    </row>
    <row r="27" spans="2:17" ht="18" x14ac:dyDescent="0.35">
      <c r="B27" s="1" t="s">
        <v>122</v>
      </c>
      <c r="D27" t="s">
        <v>124</v>
      </c>
      <c r="G27" t="s">
        <v>135</v>
      </c>
      <c r="H27" t="s">
        <v>160</v>
      </c>
      <c r="K27" t="s">
        <v>159</v>
      </c>
    </row>
    <row r="28" spans="2:17" x14ac:dyDescent="0.25">
      <c r="B28" t="s">
        <v>41</v>
      </c>
      <c r="C28" t="s">
        <v>52</v>
      </c>
      <c r="D28" s="26" t="s">
        <v>54</v>
      </c>
      <c r="E28" s="26" t="s">
        <v>55</v>
      </c>
      <c r="F28" s="26" t="s">
        <v>56</v>
      </c>
      <c r="G28" s="32" t="s">
        <v>136</v>
      </c>
      <c r="H28" t="s">
        <v>130</v>
      </c>
      <c r="I28" t="s">
        <v>132</v>
      </c>
      <c r="J28" t="s">
        <v>131</v>
      </c>
      <c r="K28" t="s">
        <v>130</v>
      </c>
      <c r="L28" t="s">
        <v>132</v>
      </c>
      <c r="M28" t="s">
        <v>131</v>
      </c>
    </row>
    <row r="29" spans="2:17" x14ac:dyDescent="0.25">
      <c r="B29" t="s">
        <v>48</v>
      </c>
      <c r="C29" t="s">
        <v>53</v>
      </c>
      <c r="D29" s="11">
        <v>652</v>
      </c>
      <c r="E29" s="11">
        <v>0</v>
      </c>
      <c r="F29" s="11">
        <v>5.0999999999999996</v>
      </c>
      <c r="G29" s="10">
        <v>20</v>
      </c>
      <c r="H29" s="11">
        <v>1</v>
      </c>
      <c r="I29" s="11">
        <v>0.7</v>
      </c>
      <c r="J29" s="11">
        <v>0.45</v>
      </c>
      <c r="K29" s="35">
        <f t="shared" ref="K29:M31" si="0">H29*($D29+$E29*$D$6+$F29*$D$6^2)*$G29*($D$6/3.6)/1000/$D$22</f>
        <v>54.131944444444443</v>
      </c>
      <c r="L29" s="35">
        <f t="shared" si="0"/>
        <v>37.892361111111107</v>
      </c>
      <c r="M29" s="35">
        <f t="shared" si="0"/>
        <v>24.359375000000004</v>
      </c>
      <c r="N29" t="s">
        <v>162</v>
      </c>
      <c r="Q29" t="s">
        <v>211</v>
      </c>
    </row>
    <row r="30" spans="2:17" x14ac:dyDescent="0.25">
      <c r="B30" t="s">
        <v>42</v>
      </c>
      <c r="C30" t="s">
        <v>213</v>
      </c>
      <c r="D30" s="11">
        <f>46*Q30</f>
        <v>460</v>
      </c>
      <c r="E30" s="11">
        <f>2.8*Q30</f>
        <v>28</v>
      </c>
      <c r="F30" s="11">
        <v>0</v>
      </c>
      <c r="G30" s="10">
        <v>5</v>
      </c>
      <c r="H30" s="11">
        <v>1</v>
      </c>
      <c r="I30" s="11">
        <v>0.88</v>
      </c>
      <c r="J30" s="11">
        <v>0.78</v>
      </c>
      <c r="K30" s="35">
        <f t="shared" si="0"/>
        <v>10.416666666666666</v>
      </c>
      <c r="L30" s="35">
        <f t="shared" si="0"/>
        <v>9.1666666666666661</v>
      </c>
      <c r="M30" s="35">
        <f t="shared" si="0"/>
        <v>8.125</v>
      </c>
      <c r="N30" t="s">
        <v>162</v>
      </c>
      <c r="Q30">
        <v>10</v>
      </c>
    </row>
    <row r="31" spans="2:17" x14ac:dyDescent="0.25">
      <c r="B31" t="s">
        <v>57</v>
      </c>
      <c r="C31" t="s">
        <v>214</v>
      </c>
      <c r="D31" s="11">
        <f>107*Q31</f>
        <v>428</v>
      </c>
      <c r="E31" s="11">
        <f>6.3*Q31</f>
        <v>25.2</v>
      </c>
      <c r="F31" s="11">
        <v>0</v>
      </c>
      <c r="G31" s="10">
        <v>10</v>
      </c>
      <c r="H31" s="11">
        <v>1</v>
      </c>
      <c r="I31" s="11">
        <v>0.85</v>
      </c>
      <c r="J31" s="11">
        <v>0.65</v>
      </c>
      <c r="K31" s="35">
        <f t="shared" si="0"/>
        <v>19.236111111111111</v>
      </c>
      <c r="L31" s="35">
        <f t="shared" si="0"/>
        <v>16.350694444444443</v>
      </c>
      <c r="M31" s="35">
        <f t="shared" si="0"/>
        <v>12.503472222222221</v>
      </c>
      <c r="N31" t="s">
        <v>162</v>
      </c>
      <c r="Q31">
        <v>4</v>
      </c>
    </row>
    <row r="32" spans="2:17" x14ac:dyDescent="0.25">
      <c r="K32" s="15"/>
      <c r="L32" s="15"/>
      <c r="M32" s="15"/>
    </row>
    <row r="33" spans="2:14" x14ac:dyDescent="0.25">
      <c r="J33" s="18" t="s">
        <v>212</v>
      </c>
      <c r="K33" s="4"/>
      <c r="L33" s="4"/>
      <c r="M33" s="4"/>
      <c r="N33" s="13" t="s">
        <v>75</v>
      </c>
    </row>
    <row r="34" spans="2:14" x14ac:dyDescent="0.25">
      <c r="J34" s="14" t="s">
        <v>48</v>
      </c>
      <c r="K34" s="16">
        <f>(K29+$E$26)/$D$10/10.1165</f>
        <v>24.930456815807233</v>
      </c>
      <c r="L34" s="16">
        <f t="shared" ref="L34:M34" si="1">(L29+$E$26)/$D$10/10.1165</f>
        <v>18.75639109174892</v>
      </c>
      <c r="M34" s="16">
        <f t="shared" si="1"/>
        <v>13.611336321700332</v>
      </c>
      <c r="N34" s="58">
        <v>20.6</v>
      </c>
    </row>
    <row r="35" spans="2:14" x14ac:dyDescent="0.25">
      <c r="J35" s="14" t="s">
        <v>42</v>
      </c>
      <c r="K35" s="16">
        <f t="shared" ref="K35:M35" si="2">(K30+$E$26)/$D$10/10.1165</f>
        <v>8.3105108106983749</v>
      </c>
      <c r="L35" s="16">
        <f t="shared" si="2"/>
        <v>7.8352780416881149</v>
      </c>
      <c r="M35" s="16">
        <f t="shared" si="2"/>
        <v>7.4392507341795646</v>
      </c>
      <c r="N35" s="58">
        <v>5</v>
      </c>
    </row>
    <row r="36" spans="2:14" x14ac:dyDescent="0.25">
      <c r="J36" s="7" t="s">
        <v>57</v>
      </c>
      <c r="K36" s="68">
        <f t="shared" ref="K36:M36" si="3">(K31+$E$26)/$D$10/10.1165</f>
        <v>11.663542014270776</v>
      </c>
      <c r="L36" s="68">
        <f t="shared" si="3"/>
        <v>10.566546372472088</v>
      </c>
      <c r="M36" s="68">
        <f t="shared" si="3"/>
        <v>9.1038855167405064</v>
      </c>
      <c r="N36" s="69">
        <v>8</v>
      </c>
    </row>
    <row r="37" spans="2:14" x14ac:dyDescent="0.25">
      <c r="B37" s="1" t="s">
        <v>123</v>
      </c>
    </row>
    <row r="38" spans="2:14" x14ac:dyDescent="0.25">
      <c r="B38" t="s">
        <v>41</v>
      </c>
      <c r="C38" t="s">
        <v>52</v>
      </c>
      <c r="D38" t="s">
        <v>154</v>
      </c>
      <c r="E38" t="s">
        <v>114</v>
      </c>
      <c r="F38" t="s">
        <v>158</v>
      </c>
      <c r="G38" t="s">
        <v>114</v>
      </c>
      <c r="I38" t="s">
        <v>66</v>
      </c>
      <c r="K38" t="s">
        <v>161</v>
      </c>
    </row>
    <row r="39" spans="2:14" x14ac:dyDescent="0.25">
      <c r="B39" t="s">
        <v>47</v>
      </c>
      <c r="C39" t="s">
        <v>125</v>
      </c>
      <c r="D39" s="15"/>
      <c r="F39" s="35">
        <v>3.7353333333333332</v>
      </c>
      <c r="G39" t="s">
        <v>64</v>
      </c>
      <c r="I39" t="s">
        <v>138</v>
      </c>
    </row>
    <row r="40" spans="2:14" x14ac:dyDescent="0.25">
      <c r="B40" t="s">
        <v>84</v>
      </c>
      <c r="C40" t="s">
        <v>163</v>
      </c>
      <c r="D40" s="15"/>
      <c r="F40" s="35">
        <v>11.828555555555555</v>
      </c>
      <c r="G40" t="s">
        <v>64</v>
      </c>
      <c r="I40" t="s">
        <v>138</v>
      </c>
    </row>
    <row r="41" spans="2:14" x14ac:dyDescent="0.25">
      <c r="C41" t="s">
        <v>164</v>
      </c>
      <c r="F41" s="35">
        <v>26.302972222222223</v>
      </c>
      <c r="G41" t="s">
        <v>64</v>
      </c>
      <c r="I41" t="s">
        <v>75</v>
      </c>
    </row>
    <row r="42" spans="2:14" x14ac:dyDescent="0.25">
      <c r="C42" t="s">
        <v>182</v>
      </c>
      <c r="F42" s="35">
        <v>23.278130416666666</v>
      </c>
      <c r="G42" t="s">
        <v>64</v>
      </c>
      <c r="I42" t="s">
        <v>181</v>
      </c>
    </row>
    <row r="43" spans="2:14" x14ac:dyDescent="0.25">
      <c r="C43" t="s">
        <v>183</v>
      </c>
      <c r="F43" s="35">
        <v>11.3</v>
      </c>
      <c r="G43" t="s">
        <v>64</v>
      </c>
      <c r="I43" t="s">
        <v>181</v>
      </c>
    </row>
    <row r="44" spans="2:14" x14ac:dyDescent="0.25">
      <c r="B44" t="s">
        <v>45</v>
      </c>
      <c r="C44" t="s">
        <v>58</v>
      </c>
      <c r="D44" s="15"/>
      <c r="F44" s="35">
        <v>4.6691666666666665</v>
      </c>
      <c r="G44" t="s">
        <v>64</v>
      </c>
      <c r="I44" t="s">
        <v>138</v>
      </c>
    </row>
    <row r="45" spans="2:14" x14ac:dyDescent="0.25">
      <c r="C45" t="s">
        <v>99</v>
      </c>
      <c r="D45" s="15"/>
      <c r="F45" s="35">
        <v>3.1127777777777781</v>
      </c>
      <c r="G45" t="s">
        <v>64</v>
      </c>
      <c r="I45" t="s">
        <v>138</v>
      </c>
    </row>
    <row r="46" spans="2:14" x14ac:dyDescent="0.25">
      <c r="C46" t="s">
        <v>100</v>
      </c>
      <c r="D46" s="15"/>
      <c r="E46" s="15"/>
      <c r="F46" s="35">
        <v>1.2451111111111113</v>
      </c>
      <c r="G46" t="s">
        <v>64</v>
      </c>
      <c r="I46" t="s">
        <v>138</v>
      </c>
    </row>
    <row r="47" spans="2:14" x14ac:dyDescent="0.25">
      <c r="B47" t="s">
        <v>46</v>
      </c>
      <c r="C47" t="s">
        <v>59</v>
      </c>
      <c r="D47" s="15"/>
      <c r="F47" s="35">
        <v>3.1127777777777781</v>
      </c>
      <c r="G47" t="s">
        <v>64</v>
      </c>
      <c r="I47" t="s">
        <v>138</v>
      </c>
    </row>
    <row r="48" spans="2:14" x14ac:dyDescent="0.25">
      <c r="B48" t="s">
        <v>62</v>
      </c>
      <c r="C48" t="s">
        <v>62</v>
      </c>
      <c r="D48" t="s">
        <v>49</v>
      </c>
      <c r="F48" s="21">
        <v>14.6</v>
      </c>
      <c r="G48" t="s">
        <v>64</v>
      </c>
      <c r="I48" t="s">
        <v>67</v>
      </c>
    </row>
    <row r="49" spans="2:11" x14ac:dyDescent="0.25">
      <c r="B49" t="s">
        <v>70</v>
      </c>
      <c r="C49" t="s">
        <v>71</v>
      </c>
      <c r="D49" s="11">
        <v>7.1</v>
      </c>
      <c r="E49" t="s">
        <v>61</v>
      </c>
      <c r="F49" s="35">
        <f>D49/D22</f>
        <v>17.749999999999996</v>
      </c>
      <c r="G49" t="s">
        <v>64</v>
      </c>
      <c r="I49" t="s">
        <v>93</v>
      </c>
      <c r="K49" t="s">
        <v>162</v>
      </c>
    </row>
    <row r="50" spans="2:11" x14ac:dyDescent="0.25">
      <c r="B50" t="s">
        <v>68</v>
      </c>
      <c r="C50" t="s">
        <v>69</v>
      </c>
      <c r="D50" s="11">
        <v>5.0999999999999996</v>
      </c>
      <c r="E50" t="s">
        <v>61</v>
      </c>
      <c r="F50" s="35">
        <f>D50/D22</f>
        <v>12.749999999999998</v>
      </c>
      <c r="G50" t="s">
        <v>64</v>
      </c>
      <c r="I50" t="s">
        <v>93</v>
      </c>
      <c r="K50" t="s">
        <v>162</v>
      </c>
    </row>
    <row r="51" spans="2:11" x14ac:dyDescent="0.25">
      <c r="B51" t="s">
        <v>63</v>
      </c>
      <c r="C51" t="s">
        <v>165</v>
      </c>
      <c r="F51" s="35">
        <v>17.096931944444446</v>
      </c>
      <c r="G51" t="s">
        <v>64</v>
      </c>
      <c r="I51" t="s">
        <v>75</v>
      </c>
    </row>
    <row r="52" spans="2:11" x14ac:dyDescent="0.25">
      <c r="B52" t="s">
        <v>81</v>
      </c>
      <c r="C52" t="s">
        <v>82</v>
      </c>
      <c r="F52" s="35">
        <v>1.6176327916666666</v>
      </c>
      <c r="G52" t="s">
        <v>78</v>
      </c>
      <c r="I52" t="s">
        <v>75</v>
      </c>
    </row>
    <row r="53" spans="2:11" x14ac:dyDescent="0.25">
      <c r="C53" t="s">
        <v>83</v>
      </c>
      <c r="F53" s="35">
        <v>3.0774477499999997</v>
      </c>
      <c r="G53" t="s">
        <v>94</v>
      </c>
      <c r="I53" t="s">
        <v>75</v>
      </c>
    </row>
    <row r="54" spans="2:11" x14ac:dyDescent="0.25">
      <c r="C54" t="s">
        <v>97</v>
      </c>
      <c r="F54" s="21">
        <v>0.25</v>
      </c>
      <c r="G54" t="s">
        <v>96</v>
      </c>
      <c r="I54" t="s">
        <v>87</v>
      </c>
    </row>
    <row r="55" spans="2:11" x14ac:dyDescent="0.25">
      <c r="B55" t="s">
        <v>147</v>
      </c>
      <c r="C55" t="s">
        <v>144</v>
      </c>
      <c r="F55" s="34">
        <v>36.955675972222224</v>
      </c>
      <c r="G55" t="s">
        <v>148</v>
      </c>
      <c r="I55" t="s">
        <v>75</v>
      </c>
    </row>
    <row r="56" spans="2:11" x14ac:dyDescent="0.25">
      <c r="C56" t="s">
        <v>145</v>
      </c>
      <c r="F56" s="34">
        <v>50.107162083333336</v>
      </c>
      <c r="G56" t="s">
        <v>148</v>
      </c>
      <c r="I56" t="s">
        <v>75</v>
      </c>
    </row>
    <row r="57" spans="2:11" x14ac:dyDescent="0.25">
      <c r="C57" t="s">
        <v>146</v>
      </c>
      <c r="F57" s="34">
        <v>37.744765138888887</v>
      </c>
      <c r="G57" t="s">
        <v>148</v>
      </c>
      <c r="I57" t="s">
        <v>75</v>
      </c>
    </row>
    <row r="59" spans="2:11" x14ac:dyDescent="0.25">
      <c r="B59" s="1" t="s">
        <v>126</v>
      </c>
    </row>
    <row r="60" spans="2:11" x14ac:dyDescent="0.25">
      <c r="B60" t="s">
        <v>41</v>
      </c>
      <c r="C60" t="s">
        <v>52</v>
      </c>
      <c r="D60" t="s">
        <v>158</v>
      </c>
      <c r="E60" t="s">
        <v>114</v>
      </c>
      <c r="G60" t="s">
        <v>158</v>
      </c>
      <c r="H60" t="s">
        <v>114</v>
      </c>
      <c r="I60" t="s">
        <v>66</v>
      </c>
    </row>
    <row r="61" spans="2:11" x14ac:dyDescent="0.25">
      <c r="B61" t="s">
        <v>76</v>
      </c>
      <c r="C61" t="s">
        <v>95</v>
      </c>
      <c r="D61" s="21">
        <v>13.15</v>
      </c>
      <c r="E61" t="s">
        <v>64</v>
      </c>
      <c r="F61" t="s">
        <v>77</v>
      </c>
      <c r="G61" s="21">
        <v>5.26</v>
      </c>
      <c r="H61" t="s">
        <v>78</v>
      </c>
      <c r="I61" t="s">
        <v>139</v>
      </c>
    </row>
    <row r="62" spans="2:11" x14ac:dyDescent="0.25">
      <c r="B62" t="s">
        <v>76</v>
      </c>
      <c r="C62" t="s">
        <v>88</v>
      </c>
      <c r="D62" s="34">
        <v>129.491555555556</v>
      </c>
      <c r="E62" t="s">
        <v>64</v>
      </c>
      <c r="F62" t="s">
        <v>92</v>
      </c>
      <c r="G62" s="35">
        <v>1.7546281240590185</v>
      </c>
      <c r="H62" t="s">
        <v>78</v>
      </c>
      <c r="I62" t="s">
        <v>87</v>
      </c>
    </row>
    <row r="63" spans="2:11" x14ac:dyDescent="0.25">
      <c r="B63" t="s">
        <v>76</v>
      </c>
      <c r="C63" t="s">
        <v>184</v>
      </c>
      <c r="D63" s="35">
        <v>37.139796777777775</v>
      </c>
      <c r="E63" t="s">
        <v>64</v>
      </c>
      <c r="F63" t="s">
        <v>92</v>
      </c>
      <c r="G63" s="35">
        <f>D63/'Input-Grödor'!B18</f>
        <v>4.3591310772039646</v>
      </c>
      <c r="H63" t="s">
        <v>78</v>
      </c>
      <c r="I63" t="s">
        <v>181</v>
      </c>
    </row>
    <row r="64" spans="2:11" x14ac:dyDescent="0.25">
      <c r="B64" t="s">
        <v>89</v>
      </c>
      <c r="C64" t="s">
        <v>90</v>
      </c>
      <c r="D64" s="34">
        <v>180.3632380952381</v>
      </c>
      <c r="E64" t="s">
        <v>64</v>
      </c>
      <c r="F64" t="s">
        <v>92</v>
      </c>
      <c r="G64" s="35">
        <f>D64/34.8</f>
        <v>5.1828516694033944</v>
      </c>
      <c r="H64" t="s">
        <v>78</v>
      </c>
      <c r="I64" t="s">
        <v>87</v>
      </c>
    </row>
    <row r="65" spans="2:9" x14ac:dyDescent="0.25">
      <c r="B65" t="s">
        <v>89</v>
      </c>
      <c r="C65" t="s">
        <v>91</v>
      </c>
      <c r="D65" s="34">
        <v>180.3632380952381</v>
      </c>
      <c r="E65" t="s">
        <v>64</v>
      </c>
      <c r="F65" t="s">
        <v>92</v>
      </c>
      <c r="G65" s="35">
        <f>D65/44.5</f>
        <v>4.0531064740502947</v>
      </c>
      <c r="H65" t="s">
        <v>78</v>
      </c>
      <c r="I65" t="s">
        <v>87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56"/>
  <sheetViews>
    <sheetView showGridLines="0" zoomScale="70" zoomScaleNormal="70" workbookViewId="0">
      <selection activeCell="H33" sqref="H33"/>
    </sheetView>
  </sheetViews>
  <sheetFormatPr defaultRowHeight="15" x14ac:dyDescent="0.25"/>
  <cols>
    <col min="1" max="1" width="20.140625" customWidth="1"/>
    <col min="2" max="2" width="18.42578125" customWidth="1"/>
    <col min="3" max="3" width="14.140625" customWidth="1"/>
    <col min="4" max="4" width="10.5703125" customWidth="1"/>
    <col min="5" max="5" width="7.42578125" customWidth="1"/>
    <col min="6" max="6" width="9.140625" bestFit="1" customWidth="1"/>
    <col min="7" max="7" width="11.5703125" customWidth="1"/>
    <col min="8" max="8" width="10.140625" customWidth="1"/>
    <col min="9" max="9" width="9.7109375" customWidth="1"/>
    <col min="10" max="10" width="10.140625" bestFit="1" customWidth="1"/>
    <col min="11" max="11" width="10.28515625" bestFit="1" customWidth="1"/>
    <col min="12" max="12" width="14.42578125" customWidth="1"/>
    <col min="13" max="13" width="11" bestFit="1" customWidth="1"/>
    <col min="14" max="14" width="15.7109375" bestFit="1" customWidth="1"/>
    <col min="15" max="15" width="16.5703125" customWidth="1"/>
    <col min="16" max="16" width="12" bestFit="1" customWidth="1"/>
    <col min="17" max="17" width="10.5703125" bestFit="1" customWidth="1"/>
    <col min="18" max="18" width="14.42578125" bestFit="1" customWidth="1"/>
    <col min="19" max="19" width="13" bestFit="1" customWidth="1"/>
    <col min="20" max="20" width="15" bestFit="1" customWidth="1"/>
    <col min="21" max="21" width="17.7109375" bestFit="1" customWidth="1"/>
    <col min="22" max="22" width="22.42578125" bestFit="1" customWidth="1"/>
    <col min="23" max="23" width="11.42578125" bestFit="1" customWidth="1"/>
    <col min="24" max="24" width="21.7109375" customWidth="1"/>
    <col min="25" max="25" width="18.5703125" customWidth="1"/>
    <col min="26" max="26" width="17.85546875" bestFit="1" customWidth="1"/>
    <col min="28" max="28" width="15.28515625" bestFit="1" customWidth="1"/>
    <col min="37" max="37" width="4.42578125" customWidth="1"/>
    <col min="38" max="38" width="18.28515625" customWidth="1"/>
    <col min="39" max="39" width="13" customWidth="1"/>
    <col min="41" max="41" width="14.85546875" bestFit="1" customWidth="1"/>
    <col min="42" max="42" width="11.7109375" customWidth="1"/>
    <col min="43" max="43" width="12.42578125" customWidth="1"/>
  </cols>
  <sheetData>
    <row r="1" spans="1:46" x14ac:dyDescent="0.25">
      <c r="A1" s="65" t="s">
        <v>73</v>
      </c>
    </row>
    <row r="2" spans="1:46" x14ac:dyDescent="0.25">
      <c r="A2" s="66" t="s">
        <v>74</v>
      </c>
    </row>
    <row r="3" spans="1:46" x14ac:dyDescent="0.25">
      <c r="A3" s="67" t="s">
        <v>210</v>
      </c>
      <c r="E3" s="1" t="s">
        <v>200</v>
      </c>
      <c r="H3" s="18" t="s">
        <v>86</v>
      </c>
      <c r="I3" s="61"/>
      <c r="J3" s="61"/>
      <c r="K3" s="61"/>
      <c r="L3" s="61"/>
      <c r="M3" s="61"/>
      <c r="N3" s="19"/>
      <c r="O3" s="62" t="s">
        <v>85</v>
      </c>
      <c r="P3" s="63"/>
      <c r="Q3" s="63"/>
      <c r="R3" s="63"/>
      <c r="S3" s="18" t="s">
        <v>84</v>
      </c>
      <c r="T3" s="61"/>
      <c r="U3" s="61"/>
      <c r="V3" s="61"/>
      <c r="W3" s="62" t="s">
        <v>180</v>
      </c>
      <c r="X3" s="63"/>
      <c r="Y3" s="63"/>
      <c r="Z3" s="63"/>
      <c r="AA3" s="63"/>
      <c r="AB3" s="63" t="s">
        <v>192</v>
      </c>
      <c r="AC3" s="64"/>
      <c r="AD3" s="61" t="s">
        <v>153</v>
      </c>
      <c r="AE3" s="61"/>
      <c r="AF3" s="1"/>
      <c r="AG3" s="62" t="s">
        <v>190</v>
      </c>
      <c r="AH3" s="63"/>
      <c r="AI3" s="64" t="s">
        <v>98</v>
      </c>
      <c r="AL3" s="13" t="s">
        <v>202</v>
      </c>
      <c r="AM3" s="4" t="s">
        <v>196</v>
      </c>
      <c r="AN3" s="5"/>
      <c r="AO3" s="13" t="s">
        <v>204</v>
      </c>
    </row>
    <row r="4" spans="1:46" ht="17.25" customHeight="1" x14ac:dyDescent="0.25">
      <c r="A4" s="1" t="s">
        <v>25</v>
      </c>
      <c r="B4" s="1" t="s">
        <v>152</v>
      </c>
      <c r="C4" s="1" t="s">
        <v>191</v>
      </c>
      <c r="D4" s="1" t="s">
        <v>199</v>
      </c>
      <c r="E4" t="s">
        <v>177</v>
      </c>
      <c r="F4" t="s">
        <v>178</v>
      </c>
      <c r="G4" t="s">
        <v>179</v>
      </c>
      <c r="H4" s="7" t="s">
        <v>42</v>
      </c>
      <c r="I4" s="8" t="s">
        <v>47</v>
      </c>
      <c r="J4" s="8" t="s">
        <v>50</v>
      </c>
      <c r="K4" s="8" t="s">
        <v>48</v>
      </c>
      <c r="L4" s="8" t="s">
        <v>63</v>
      </c>
      <c r="M4" s="8" t="s">
        <v>80</v>
      </c>
      <c r="N4" s="9" t="s">
        <v>79</v>
      </c>
      <c r="O4" s="22" t="s">
        <v>100</v>
      </c>
      <c r="P4" s="25" t="s">
        <v>99</v>
      </c>
      <c r="Q4" s="25" t="s">
        <v>101</v>
      </c>
      <c r="R4" s="43" t="s">
        <v>46</v>
      </c>
      <c r="S4" s="7" t="s">
        <v>43</v>
      </c>
      <c r="T4" s="8" t="s">
        <v>44</v>
      </c>
      <c r="U4" s="8" t="s">
        <v>182</v>
      </c>
      <c r="V4" s="8" t="s">
        <v>185</v>
      </c>
      <c r="W4" s="22" t="s">
        <v>14</v>
      </c>
      <c r="X4" s="25" t="s">
        <v>194</v>
      </c>
      <c r="Y4" s="25" t="s">
        <v>88</v>
      </c>
      <c r="Z4" s="25" t="s">
        <v>184</v>
      </c>
      <c r="AA4" s="25" t="s">
        <v>95</v>
      </c>
      <c r="AB4" s="25" t="s">
        <v>193</v>
      </c>
      <c r="AC4" s="23" t="s">
        <v>195</v>
      </c>
      <c r="AD4" s="8" t="s">
        <v>144</v>
      </c>
      <c r="AE4" s="8" t="s">
        <v>145</v>
      </c>
      <c r="AF4" s="8" t="s">
        <v>146</v>
      </c>
      <c r="AG4" s="22" t="s">
        <v>82</v>
      </c>
      <c r="AH4" s="25" t="s">
        <v>83</v>
      </c>
      <c r="AI4" s="25" t="s">
        <v>97</v>
      </c>
      <c r="AJ4" s="9"/>
      <c r="AL4" s="53" t="s">
        <v>203</v>
      </c>
      <c r="AM4" t="s">
        <v>64</v>
      </c>
      <c r="AN4" s="6" t="s">
        <v>198</v>
      </c>
      <c r="AO4" s="58" t="s">
        <v>205</v>
      </c>
      <c r="AQ4" s="3" t="s">
        <v>206</v>
      </c>
      <c r="AR4" s="5"/>
    </row>
    <row r="5" spans="1:46" x14ac:dyDescent="0.25">
      <c r="A5" s="2" t="s">
        <v>11</v>
      </c>
      <c r="B5" s="10">
        <v>5.24</v>
      </c>
      <c r="C5" s="21"/>
      <c r="D5" s="44">
        <v>761400</v>
      </c>
      <c r="E5" s="10">
        <v>0.33</v>
      </c>
      <c r="F5" s="10">
        <v>0.33</v>
      </c>
      <c r="G5" s="10">
        <v>0.34</v>
      </c>
      <c r="H5" s="26"/>
      <c r="I5" s="26"/>
      <c r="J5" s="26"/>
      <c r="K5" s="26"/>
      <c r="L5" s="26"/>
      <c r="M5" s="26"/>
      <c r="N5" s="26"/>
      <c r="O5" s="27">
        <v>2</v>
      </c>
      <c r="P5" s="27"/>
      <c r="Q5" s="27"/>
      <c r="R5" s="27">
        <v>1</v>
      </c>
      <c r="S5" s="26"/>
      <c r="T5" s="26">
        <v>0.3</v>
      </c>
      <c r="U5" s="26"/>
      <c r="W5" s="27"/>
      <c r="X5" s="27"/>
      <c r="Y5" s="27"/>
      <c r="Z5" s="24"/>
      <c r="AA5" s="27"/>
      <c r="AB5" s="24"/>
      <c r="AC5" s="27">
        <v>2</v>
      </c>
      <c r="AD5" s="26"/>
      <c r="AF5" s="26">
        <v>2</v>
      </c>
      <c r="AG5" s="24"/>
      <c r="AH5" s="24"/>
      <c r="AI5" s="24"/>
      <c r="AL5" s="50">
        <f>E5*SUMPRODUCT(H5:AI5,$H$33:$AI$33)+F5*SUMPRODUCT(H5:AI5,$H$34:$AI$34)+G5*SUMPRODUCT(H5:AI5,$H$35:$AI$35)</f>
        <v>113.84109694444446</v>
      </c>
      <c r="AM5" s="36">
        <f>AL5/'Inputs-Redskap'!$D$10</f>
        <v>437.85037286324791</v>
      </c>
      <c r="AN5" s="48">
        <f>AM5/10.1165</f>
        <v>43.280815782459143</v>
      </c>
      <c r="AO5" s="59">
        <f t="shared" ref="AO5:AO30" si="0">AM5*D5</f>
        <v>333379273.89807695</v>
      </c>
      <c r="AQ5" s="54">
        <f>SUM(AO5:AO29)</f>
        <v>1359371840.3904328</v>
      </c>
      <c r="AR5" s="55" t="s">
        <v>207</v>
      </c>
      <c r="AT5" s="40"/>
    </row>
    <row r="6" spans="1:46" x14ac:dyDescent="0.25">
      <c r="A6" s="2" t="s">
        <v>12</v>
      </c>
      <c r="B6" s="10"/>
      <c r="C6" s="21"/>
      <c r="D6" s="10">
        <f>243900+51200</f>
        <v>295100</v>
      </c>
      <c r="E6" s="10">
        <v>0.33</v>
      </c>
      <c r="F6" s="10">
        <v>0.33</v>
      </c>
      <c r="G6" s="10">
        <v>0.34</v>
      </c>
      <c r="H6" s="26"/>
      <c r="I6" s="26"/>
      <c r="J6" s="26"/>
      <c r="K6" s="26"/>
      <c r="L6" s="26">
        <v>2</v>
      </c>
      <c r="M6" s="26"/>
      <c r="N6" s="26"/>
      <c r="O6" s="27">
        <v>2</v>
      </c>
      <c r="P6" s="27"/>
      <c r="Q6" s="27"/>
      <c r="R6" s="27"/>
      <c r="S6" s="26"/>
      <c r="T6" s="26">
        <v>0.1</v>
      </c>
      <c r="U6" s="26"/>
      <c r="W6" s="27"/>
      <c r="X6" s="27"/>
      <c r="Y6" s="27"/>
      <c r="Z6" s="24"/>
      <c r="AA6" s="27"/>
      <c r="AB6" s="24"/>
      <c r="AC6" s="27"/>
      <c r="AD6" s="26"/>
      <c r="AF6" s="26"/>
      <c r="AG6" s="24"/>
      <c r="AH6" s="24"/>
      <c r="AI6" s="24"/>
      <c r="AL6" s="50">
        <f t="shared" ref="AL6:AL30" si="1">E6*SUMPRODUCT(H6:AI6,$H$33:$AI$33)+F6*SUMPRODUCT(H6:AI6,$H$34:$AI$34)+G6*SUMPRODUCT(H6:AI6,$H$35:$AI$35)</f>
        <v>37.866941666666676</v>
      </c>
      <c r="AM6" s="36">
        <f>AL6/'Inputs-Redskap'!$D$10</f>
        <v>145.64208333333337</v>
      </c>
      <c r="AN6" s="48">
        <f t="shared" ref="AN6:AN30" si="2">AM6/10.1165</f>
        <v>14.396489233760033</v>
      </c>
      <c r="AO6" s="59">
        <f t="shared" si="0"/>
        <v>42978978.791666679</v>
      </c>
      <c r="AQ6" s="54">
        <f>AQ5/10.1165</f>
        <v>134371753.11525062</v>
      </c>
      <c r="AR6" s="55" t="s">
        <v>208</v>
      </c>
      <c r="AT6" s="40"/>
    </row>
    <row r="7" spans="1:46" x14ac:dyDescent="0.25">
      <c r="A7" s="2" t="s">
        <v>0</v>
      </c>
      <c r="B7" s="10">
        <v>6.6</v>
      </c>
      <c r="C7" s="21">
        <f>B7*0.3*0.75</f>
        <v>1.4849999999999999</v>
      </c>
      <c r="D7" s="44">
        <v>421150</v>
      </c>
      <c r="E7" s="10">
        <v>0.33</v>
      </c>
      <c r="F7" s="10">
        <v>0.33</v>
      </c>
      <c r="G7" s="10">
        <v>0.34</v>
      </c>
      <c r="H7" s="26">
        <v>2</v>
      </c>
      <c r="I7" s="26">
        <v>0.5</v>
      </c>
      <c r="J7" s="26">
        <v>0.5</v>
      </c>
      <c r="K7" s="26">
        <v>1</v>
      </c>
      <c r="L7" s="26"/>
      <c r="M7" s="26"/>
      <c r="N7" s="26"/>
      <c r="O7" s="27">
        <v>1.5</v>
      </c>
      <c r="P7" s="27"/>
      <c r="Q7" s="27"/>
      <c r="R7" s="27">
        <v>1.75</v>
      </c>
      <c r="S7" s="26"/>
      <c r="T7" s="26">
        <v>1</v>
      </c>
      <c r="U7" s="26"/>
      <c r="W7" s="27"/>
      <c r="X7" s="27"/>
      <c r="Y7" s="27"/>
      <c r="Z7" s="24"/>
      <c r="AA7" s="27">
        <f>B7</f>
        <v>6.6</v>
      </c>
      <c r="AB7" s="24">
        <v>1</v>
      </c>
      <c r="AC7" s="27"/>
      <c r="AD7" s="26"/>
      <c r="AF7" s="26"/>
      <c r="AG7" s="24">
        <f t="shared" ref="AG7:AH9" si="3">B7</f>
        <v>6.6</v>
      </c>
      <c r="AH7" s="24">
        <f t="shared" si="3"/>
        <v>1.4849999999999999</v>
      </c>
      <c r="AI7" s="24"/>
      <c r="AL7" s="50">
        <f t="shared" si="1"/>
        <v>189.26961170914586</v>
      </c>
      <c r="AM7" s="36">
        <f>AL7/'Inputs-Redskap'!$D$10</f>
        <v>727.96004503517634</v>
      </c>
      <c r="AN7" s="48">
        <f t="shared" si="2"/>
        <v>71.957697329627479</v>
      </c>
      <c r="AO7" s="59">
        <f t="shared" si="0"/>
        <v>306580372.96656454</v>
      </c>
      <c r="AQ7" s="56">
        <f>AQ6/1000</f>
        <v>134371.75311525061</v>
      </c>
      <c r="AR7" s="57" t="s">
        <v>209</v>
      </c>
      <c r="AT7" s="40"/>
    </row>
    <row r="8" spans="1:46" x14ac:dyDescent="0.25">
      <c r="A8" s="2" t="s">
        <v>19</v>
      </c>
      <c r="B8" s="10">
        <v>3.77</v>
      </c>
      <c r="C8" s="21">
        <f>B8*0.65*0.3</f>
        <v>0.73514999999999997</v>
      </c>
      <c r="D8" s="44">
        <v>255612</v>
      </c>
      <c r="E8" s="10">
        <v>0.33</v>
      </c>
      <c r="F8" s="10">
        <v>0.33</v>
      </c>
      <c r="G8" s="10">
        <v>0.34</v>
      </c>
      <c r="H8" s="26">
        <v>2</v>
      </c>
      <c r="I8" s="26">
        <v>0.5</v>
      </c>
      <c r="J8" s="26">
        <v>0.5</v>
      </c>
      <c r="K8" s="26">
        <v>1</v>
      </c>
      <c r="L8" s="26"/>
      <c r="M8" s="26"/>
      <c r="N8" s="26"/>
      <c r="O8" s="27">
        <v>1</v>
      </c>
      <c r="P8" s="27"/>
      <c r="Q8" s="27"/>
      <c r="R8" s="27">
        <v>1.75</v>
      </c>
      <c r="S8" s="26">
        <v>1</v>
      </c>
      <c r="T8" s="26"/>
      <c r="U8" s="26"/>
      <c r="W8" s="27"/>
      <c r="X8" s="27"/>
      <c r="Y8" s="27"/>
      <c r="Z8" s="24"/>
      <c r="AA8" s="27">
        <f>B8</f>
        <v>3.77</v>
      </c>
      <c r="AB8" s="24">
        <v>1</v>
      </c>
      <c r="AC8" s="27"/>
      <c r="AD8" s="26"/>
      <c r="AF8" s="26"/>
      <c r="AG8" s="24">
        <f t="shared" si="3"/>
        <v>3.77</v>
      </c>
      <c r="AH8" s="24">
        <f t="shared" si="3"/>
        <v>0.73514999999999997</v>
      </c>
      <c r="AI8" s="24"/>
      <c r="AL8" s="50">
        <f t="shared" si="1"/>
        <v>181.35014782450281</v>
      </c>
      <c r="AM8" s="36">
        <f>AL8/'Inputs-Redskap'!$D$10</f>
        <v>697.50056855577998</v>
      </c>
      <c r="AN8" s="48">
        <f t="shared" si="2"/>
        <v>68.946826328846925</v>
      </c>
      <c r="AO8" s="59">
        <f t="shared" si="0"/>
        <v>178289515.32968003</v>
      </c>
      <c r="AR8" s="12"/>
      <c r="AT8" s="40"/>
    </row>
    <row r="9" spans="1:46" x14ac:dyDescent="0.25">
      <c r="A9" s="2" t="s">
        <v>4</v>
      </c>
      <c r="B9" s="10">
        <v>3.31</v>
      </c>
      <c r="C9" s="21">
        <f>B9*0.7*0.3</f>
        <v>0.69509999999999994</v>
      </c>
      <c r="D9" s="44">
        <v>157570</v>
      </c>
      <c r="E9" s="10">
        <v>0.33</v>
      </c>
      <c r="F9" s="10">
        <v>0.33</v>
      </c>
      <c r="G9" s="10">
        <v>0.34</v>
      </c>
      <c r="H9" s="26">
        <v>2</v>
      </c>
      <c r="I9" s="26">
        <v>0.5</v>
      </c>
      <c r="J9" s="26">
        <v>0.5</v>
      </c>
      <c r="K9" s="26">
        <v>1</v>
      </c>
      <c r="L9" s="26"/>
      <c r="M9" s="26"/>
      <c r="N9" s="26"/>
      <c r="O9" s="27">
        <v>1</v>
      </c>
      <c r="P9" s="27"/>
      <c r="Q9" s="27"/>
      <c r="R9" s="27">
        <v>1.25</v>
      </c>
      <c r="S9" s="26">
        <v>1</v>
      </c>
      <c r="T9" s="26"/>
      <c r="U9" s="26"/>
      <c r="W9" s="27"/>
      <c r="X9" s="27"/>
      <c r="Y9" s="27"/>
      <c r="Z9" s="24"/>
      <c r="AA9" s="27">
        <f>B9</f>
        <v>3.31</v>
      </c>
      <c r="AB9" s="24">
        <v>1</v>
      </c>
      <c r="AC9" s="27"/>
      <c r="AD9" s="26"/>
      <c r="AF9" s="26"/>
      <c r="AG9" s="24">
        <f t="shared" si="3"/>
        <v>3.31</v>
      </c>
      <c r="AH9" s="24">
        <f t="shared" si="3"/>
        <v>0.69509999999999994</v>
      </c>
      <c r="AI9" s="24"/>
      <c r="AL9" s="50">
        <f t="shared" si="1"/>
        <v>176.50679606905973</v>
      </c>
      <c r="AM9" s="36">
        <f>AL9/'Inputs-Redskap'!$D$10</f>
        <v>678.87229257330659</v>
      </c>
      <c r="AN9" s="48">
        <f t="shared" si="2"/>
        <v>67.105450756022989</v>
      </c>
      <c r="AO9" s="59">
        <f t="shared" si="0"/>
        <v>106969907.14077592</v>
      </c>
      <c r="AR9" s="12"/>
      <c r="AT9" s="40"/>
    </row>
    <row r="10" spans="1:46" x14ac:dyDescent="0.25">
      <c r="A10" s="2" t="s">
        <v>22</v>
      </c>
      <c r="B10" s="10"/>
      <c r="C10" s="21"/>
      <c r="D10" s="44">
        <v>154713</v>
      </c>
      <c r="E10" s="10">
        <v>0.33</v>
      </c>
      <c r="F10" s="10">
        <v>0.33</v>
      </c>
      <c r="G10" s="10">
        <v>0.34</v>
      </c>
      <c r="H10" s="26"/>
      <c r="I10" s="26"/>
      <c r="J10" s="26"/>
      <c r="K10" s="26"/>
      <c r="L10" s="26">
        <v>1</v>
      </c>
      <c r="M10" s="26"/>
      <c r="N10" s="26"/>
      <c r="O10" s="27"/>
      <c r="P10" s="27"/>
      <c r="Q10" s="27"/>
      <c r="R10" s="27"/>
      <c r="S10" s="26"/>
      <c r="T10" s="26"/>
      <c r="U10" s="26"/>
      <c r="W10" s="27"/>
      <c r="X10" s="27"/>
      <c r="Y10" s="27"/>
      <c r="Z10" s="24"/>
      <c r="AA10" s="27"/>
      <c r="AB10" s="24"/>
      <c r="AC10" s="27"/>
      <c r="AD10" s="26"/>
      <c r="AF10" s="26"/>
      <c r="AG10" s="24"/>
      <c r="AH10" s="24"/>
      <c r="AI10" s="24"/>
      <c r="AL10" s="50">
        <f t="shared" si="1"/>
        <v>17.096931944444446</v>
      </c>
      <c r="AM10" s="36">
        <f>AL10/'Inputs-Redskap'!$D$10</f>
        <v>65.757430555555558</v>
      </c>
      <c r="AN10" s="48">
        <f t="shared" si="2"/>
        <v>6.5000178476306587</v>
      </c>
      <c r="AO10" s="59">
        <f t="shared" si="0"/>
        <v>10173529.353541667</v>
      </c>
      <c r="AR10" s="12"/>
      <c r="AT10" s="40"/>
    </row>
    <row r="11" spans="1:46" x14ac:dyDescent="0.25">
      <c r="A11" s="2" t="s">
        <v>17</v>
      </c>
      <c r="B11" s="10">
        <v>3.38</v>
      </c>
      <c r="C11" s="21"/>
      <c r="D11" s="44">
        <v>135149</v>
      </c>
      <c r="E11" s="10">
        <v>0.33</v>
      </c>
      <c r="F11" s="10">
        <v>0.33</v>
      </c>
      <c r="G11" s="10">
        <v>0.34</v>
      </c>
      <c r="H11" s="26">
        <v>2</v>
      </c>
      <c r="I11" s="26">
        <v>0.5</v>
      </c>
      <c r="J11" s="26">
        <v>0.5</v>
      </c>
      <c r="K11" s="26">
        <v>1</v>
      </c>
      <c r="L11" s="26"/>
      <c r="M11" s="26"/>
      <c r="N11" s="26"/>
      <c r="O11" s="27">
        <v>1</v>
      </c>
      <c r="P11" s="27"/>
      <c r="Q11" s="27"/>
      <c r="R11" s="27">
        <v>1.25</v>
      </c>
      <c r="S11" s="26">
        <v>1</v>
      </c>
      <c r="T11" s="26"/>
      <c r="U11" s="26"/>
      <c r="W11" s="27"/>
      <c r="X11" s="27"/>
      <c r="Y11" s="27"/>
      <c r="Z11" s="24"/>
      <c r="AA11" s="27">
        <f>B11</f>
        <v>3.38</v>
      </c>
      <c r="AB11" s="24">
        <v>1</v>
      </c>
      <c r="AC11" s="27"/>
      <c r="AD11" s="26"/>
      <c r="AF11" s="26"/>
      <c r="AG11" s="24"/>
      <c r="AH11" s="24"/>
      <c r="AI11" s="24">
        <f>B11*'Inputs-Redskap'!$D$11</f>
        <v>13.52</v>
      </c>
      <c r="AL11" s="50">
        <f t="shared" si="1"/>
        <v>172.7614975976181</v>
      </c>
      <c r="AM11" s="36">
        <f>AL11/'Inputs-Redskap'!$D$10</f>
        <v>664.46729845237735</v>
      </c>
      <c r="AN11" s="48">
        <f t="shared" si="2"/>
        <v>65.681539905340514</v>
      </c>
      <c r="AO11" s="59">
        <f t="shared" si="0"/>
        <v>89802090.918540344</v>
      </c>
      <c r="AR11" s="12"/>
      <c r="AT11" s="40"/>
    </row>
    <row r="12" spans="1:46" x14ac:dyDescent="0.25">
      <c r="A12" s="2" t="s">
        <v>7</v>
      </c>
      <c r="B12" s="10">
        <v>2.5</v>
      </c>
      <c r="C12" s="21"/>
      <c r="D12" s="44">
        <v>47853</v>
      </c>
      <c r="E12" s="10">
        <v>0.33</v>
      </c>
      <c r="F12" s="10">
        <v>0.33</v>
      </c>
      <c r="G12" s="10">
        <v>0.34</v>
      </c>
      <c r="H12" s="26">
        <v>2</v>
      </c>
      <c r="I12" s="26">
        <v>0.5</v>
      </c>
      <c r="J12" s="26">
        <v>0.5</v>
      </c>
      <c r="K12" s="26">
        <v>1</v>
      </c>
      <c r="L12" s="26"/>
      <c r="M12" s="26"/>
      <c r="N12" s="26"/>
      <c r="O12" s="27">
        <v>1</v>
      </c>
      <c r="P12" s="27"/>
      <c r="Q12" s="27"/>
      <c r="R12" s="27">
        <v>1.25</v>
      </c>
      <c r="S12" s="26">
        <v>1</v>
      </c>
      <c r="T12" s="26"/>
      <c r="U12" s="26"/>
      <c r="W12" s="27"/>
      <c r="X12" s="27"/>
      <c r="Y12" s="27"/>
      <c r="Z12" s="24"/>
      <c r="AA12" s="27">
        <f>B12</f>
        <v>2.5</v>
      </c>
      <c r="AB12" s="24">
        <v>1</v>
      </c>
      <c r="AC12" s="27"/>
      <c r="AD12" s="26"/>
      <c r="AF12" s="26"/>
      <c r="AG12" s="24"/>
      <c r="AH12" s="24"/>
      <c r="AI12" s="24">
        <f>B12*'Inputs-Redskap'!$D$11</f>
        <v>10</v>
      </c>
      <c r="AL12" s="50">
        <f t="shared" si="1"/>
        <v>167.25269759761809</v>
      </c>
      <c r="AM12" s="36">
        <f>AL12/'Inputs-Redskap'!$D$10</f>
        <v>643.27960614468498</v>
      </c>
      <c r="AN12" s="48">
        <f t="shared" si="2"/>
        <v>63.587170083001531</v>
      </c>
      <c r="AO12" s="59">
        <f t="shared" si="0"/>
        <v>30782858.992841609</v>
      </c>
      <c r="AR12" s="12"/>
      <c r="AT12" s="40"/>
    </row>
    <row r="13" spans="1:46" x14ac:dyDescent="0.25">
      <c r="A13" s="2" t="s">
        <v>10</v>
      </c>
      <c r="B13" s="10">
        <v>4.63</v>
      </c>
      <c r="C13" s="21"/>
      <c r="D13" s="44">
        <v>46239</v>
      </c>
      <c r="E13" s="10">
        <v>0.33</v>
      </c>
      <c r="F13" s="10">
        <v>0.33</v>
      </c>
      <c r="G13" s="10">
        <v>0.34</v>
      </c>
      <c r="H13" s="26">
        <v>1</v>
      </c>
      <c r="I13" s="26">
        <v>0.5</v>
      </c>
      <c r="J13" s="26">
        <v>0.5</v>
      </c>
      <c r="K13" s="26">
        <v>1</v>
      </c>
      <c r="L13" s="26"/>
      <c r="M13" s="26"/>
      <c r="N13" s="26"/>
      <c r="O13" s="27">
        <v>1</v>
      </c>
      <c r="P13" s="27"/>
      <c r="Q13" s="27"/>
      <c r="R13" s="27">
        <v>1.25</v>
      </c>
      <c r="S13" s="26">
        <v>1</v>
      </c>
      <c r="T13" s="26"/>
      <c r="U13" s="26"/>
      <c r="W13" s="27"/>
      <c r="X13" s="27"/>
      <c r="Y13" s="27"/>
      <c r="Z13" s="24"/>
      <c r="AA13" s="27"/>
      <c r="AB13" s="24"/>
      <c r="AC13" s="27">
        <v>1</v>
      </c>
      <c r="AD13" s="26"/>
      <c r="AF13" s="26">
        <v>2</v>
      </c>
      <c r="AG13" s="24"/>
      <c r="AH13" s="24"/>
      <c r="AI13" s="24">
        <f>B13*'Inputs-Redskap'!$D$11</f>
        <v>18.52</v>
      </c>
      <c r="AL13" s="50">
        <f t="shared" si="1"/>
        <v>212.5048410617907</v>
      </c>
      <c r="AM13" s="36">
        <f>AL13/'Inputs-Redskap'!$D$10</f>
        <v>817.32631177611802</v>
      </c>
      <c r="AN13" s="48">
        <f t="shared" si="2"/>
        <v>80.791411236704192</v>
      </c>
      <c r="AO13" s="59">
        <f t="shared" si="0"/>
        <v>37792351.330215923</v>
      </c>
      <c r="AR13" s="12"/>
      <c r="AT13" s="40"/>
    </row>
    <row r="14" spans="1:46" x14ac:dyDescent="0.25">
      <c r="A14" s="2" t="s">
        <v>1</v>
      </c>
      <c r="B14" s="10">
        <v>3.51</v>
      </c>
      <c r="C14" s="21">
        <f>B14*0.75*0.3</f>
        <v>0.78974999999999995</v>
      </c>
      <c r="D14" s="44">
        <v>44527</v>
      </c>
      <c r="E14" s="10">
        <v>0.33</v>
      </c>
      <c r="F14" s="10">
        <v>0.33</v>
      </c>
      <c r="G14" s="10">
        <v>0.34</v>
      </c>
      <c r="H14" s="26">
        <v>2</v>
      </c>
      <c r="I14" s="26">
        <v>0.5</v>
      </c>
      <c r="J14" s="26">
        <v>0.5</v>
      </c>
      <c r="K14" s="26">
        <v>1</v>
      </c>
      <c r="L14" s="26"/>
      <c r="M14" s="26"/>
      <c r="N14" s="26"/>
      <c r="O14" s="27">
        <v>1.5</v>
      </c>
      <c r="P14" s="27"/>
      <c r="Q14" s="27"/>
      <c r="R14" s="27">
        <v>1.75</v>
      </c>
      <c r="S14" s="26">
        <v>1</v>
      </c>
      <c r="T14" s="26"/>
      <c r="U14" s="26"/>
      <c r="W14" s="27"/>
      <c r="X14" s="27"/>
      <c r="Y14" s="27"/>
      <c r="Z14" s="24"/>
      <c r="AA14" s="27">
        <f>B14</f>
        <v>3.51</v>
      </c>
      <c r="AB14" s="24">
        <v>1</v>
      </c>
      <c r="AC14" s="27"/>
      <c r="AD14" s="26"/>
      <c r="AF14" s="26"/>
      <c r="AG14" s="24">
        <f>B14</f>
        <v>3.51</v>
      </c>
      <c r="AH14" s="24">
        <f>C14</f>
        <v>0.78974999999999995</v>
      </c>
      <c r="AI14" s="24"/>
      <c r="AL14" s="50">
        <f t="shared" si="1"/>
        <v>180.35254750137506</v>
      </c>
      <c r="AM14" s="36">
        <f>AL14/'Inputs-Redskap'!$D$10</f>
        <v>693.66364423605785</v>
      </c>
      <c r="AN14" s="48">
        <f t="shared" si="2"/>
        <v>68.567552437706496</v>
      </c>
      <c r="AO14" s="59">
        <f t="shared" si="0"/>
        <v>30886761.086898949</v>
      </c>
      <c r="AR14" s="12"/>
      <c r="AT14" s="40"/>
    </row>
    <row r="15" spans="1:46" x14ac:dyDescent="0.25">
      <c r="A15" s="2" t="s">
        <v>16</v>
      </c>
      <c r="B15" s="10">
        <v>71.5</v>
      </c>
      <c r="C15" s="21"/>
      <c r="D15" s="44">
        <v>29445</v>
      </c>
      <c r="E15" s="10">
        <v>0.33</v>
      </c>
      <c r="F15" s="10">
        <v>0.33</v>
      </c>
      <c r="G15" s="10">
        <v>0.34</v>
      </c>
      <c r="H15" s="26">
        <v>2</v>
      </c>
      <c r="I15" s="26">
        <v>0.5</v>
      </c>
      <c r="J15" s="26">
        <v>0.5</v>
      </c>
      <c r="K15" s="26">
        <v>1</v>
      </c>
      <c r="L15" s="26"/>
      <c r="M15" s="26">
        <v>1</v>
      </c>
      <c r="N15" s="26">
        <v>1</v>
      </c>
      <c r="O15" s="27"/>
      <c r="P15" s="27"/>
      <c r="Q15" s="27"/>
      <c r="R15" s="27"/>
      <c r="S15" s="26"/>
      <c r="T15" s="26"/>
      <c r="U15" s="26"/>
      <c r="V15">
        <v>1</v>
      </c>
      <c r="W15" s="27"/>
      <c r="X15" s="27"/>
      <c r="Y15" s="27">
        <f>B15</f>
        <v>71.5</v>
      </c>
      <c r="Z15" s="24"/>
      <c r="AA15" s="27"/>
      <c r="AB15" s="24"/>
      <c r="AC15" s="27"/>
      <c r="AD15" s="26"/>
      <c r="AF15" s="26"/>
      <c r="AG15" s="24"/>
      <c r="AH15" s="24"/>
      <c r="AI15" s="24">
        <f>B15*'Inputs-Redskap'!$D$11</f>
        <v>286</v>
      </c>
      <c r="AL15" s="50">
        <f t="shared" si="1"/>
        <v>345.76955291228234</v>
      </c>
      <c r="AM15" s="36">
        <f>AL15/'Inputs-Redskap'!$D$10</f>
        <v>1329.8828958164704</v>
      </c>
      <c r="AN15" s="48">
        <f t="shared" si="2"/>
        <v>131.45681765595515</v>
      </c>
      <c r="AO15" s="59">
        <f t="shared" si="0"/>
        <v>39158401.86731597</v>
      </c>
      <c r="AR15" s="12"/>
      <c r="AT15" s="40"/>
    </row>
    <row r="16" spans="1:46" x14ac:dyDescent="0.25">
      <c r="A16" s="2" t="s">
        <v>5</v>
      </c>
      <c r="B16" s="10">
        <v>5.2</v>
      </c>
      <c r="C16" s="21">
        <f>B16*0.9*0.3</f>
        <v>1.4040000000000001</v>
      </c>
      <c r="D16" s="44">
        <v>29440</v>
      </c>
      <c r="E16" s="10">
        <v>0.33</v>
      </c>
      <c r="F16" s="10">
        <v>0.33</v>
      </c>
      <c r="G16" s="10">
        <v>0.34</v>
      </c>
      <c r="H16" s="26">
        <v>2</v>
      </c>
      <c r="I16" s="26">
        <v>0.5</v>
      </c>
      <c r="J16" s="26">
        <v>0.5</v>
      </c>
      <c r="K16" s="26">
        <v>1</v>
      </c>
      <c r="L16" s="26"/>
      <c r="M16" s="26"/>
      <c r="N16" s="26"/>
      <c r="O16" s="27">
        <v>1</v>
      </c>
      <c r="P16" s="27"/>
      <c r="Q16" s="27"/>
      <c r="R16" s="27">
        <v>1.25</v>
      </c>
      <c r="S16" s="26">
        <v>1</v>
      </c>
      <c r="T16" s="26"/>
      <c r="U16" s="26"/>
      <c r="W16" s="27"/>
      <c r="X16" s="27"/>
      <c r="Y16" s="27"/>
      <c r="Z16" s="24"/>
      <c r="AA16" s="27">
        <f>B16</f>
        <v>5.2</v>
      </c>
      <c r="AB16" s="24">
        <v>1</v>
      </c>
      <c r="AC16" s="27"/>
      <c r="AD16" s="26"/>
      <c r="AF16" s="26"/>
      <c r="AG16" s="24">
        <f>B16</f>
        <v>5.2</v>
      </c>
      <c r="AH16" s="24">
        <f>C16</f>
        <v>1.4040000000000001</v>
      </c>
      <c r="AI16" s="24"/>
      <c r="AL16" s="50">
        <f t="shared" si="1"/>
        <v>191.68712475528477</v>
      </c>
      <c r="AM16" s="36">
        <f>AL16/'Inputs-Redskap'!$D$10</f>
        <v>737.25817213571065</v>
      </c>
      <c r="AN16" s="48">
        <f t="shared" si="2"/>
        <v>72.876802464855501</v>
      </c>
      <c r="AO16" s="59">
        <f t="shared" si="0"/>
        <v>21704880.587675322</v>
      </c>
      <c r="AR16" s="12"/>
      <c r="AT16" s="40"/>
    </row>
    <row r="17" spans="1:46" x14ac:dyDescent="0.25">
      <c r="A17" s="2" t="s">
        <v>13</v>
      </c>
      <c r="B17" s="10">
        <v>2.08</v>
      </c>
      <c r="C17" s="21"/>
      <c r="D17" s="44">
        <v>22634</v>
      </c>
      <c r="E17" s="10">
        <v>0.33</v>
      </c>
      <c r="F17" s="10">
        <v>0.33</v>
      </c>
      <c r="G17" s="10">
        <v>0.34</v>
      </c>
      <c r="H17" s="26">
        <v>1</v>
      </c>
      <c r="I17" s="26"/>
      <c r="J17" s="26"/>
      <c r="K17" s="26"/>
      <c r="L17" s="26"/>
      <c r="M17" s="26"/>
      <c r="N17" s="26"/>
      <c r="O17" s="27">
        <v>1</v>
      </c>
      <c r="P17" s="27"/>
      <c r="Q17" s="27"/>
      <c r="R17" s="27">
        <v>2</v>
      </c>
      <c r="S17" s="26"/>
      <c r="T17" s="26">
        <v>1</v>
      </c>
      <c r="U17" s="26"/>
      <c r="W17" s="27"/>
      <c r="X17" s="27"/>
      <c r="Y17" s="27"/>
      <c r="Z17" s="24"/>
      <c r="AA17" s="27">
        <f>B17</f>
        <v>2.08</v>
      </c>
      <c r="AB17" s="24">
        <v>1</v>
      </c>
      <c r="AC17" s="27"/>
      <c r="AD17" s="26"/>
      <c r="AF17" s="26"/>
      <c r="AG17" s="24"/>
      <c r="AH17" s="24"/>
      <c r="AI17" s="24">
        <f>B17*'Inputs-Redskap'!$D$11</f>
        <v>8.32</v>
      </c>
      <c r="AL17" s="50">
        <f t="shared" si="1"/>
        <v>66.137409035827389</v>
      </c>
      <c r="AM17" s="36">
        <f>AL17/'Inputs-Redskap'!$D$10</f>
        <v>254.37465013779763</v>
      </c>
      <c r="AN17" s="48">
        <f t="shared" si="2"/>
        <v>25.144531225008414</v>
      </c>
      <c r="AO17" s="59">
        <f t="shared" si="0"/>
        <v>5757515.8312189113</v>
      </c>
      <c r="AR17" s="12"/>
      <c r="AT17" s="40"/>
    </row>
    <row r="18" spans="1:46" x14ac:dyDescent="0.25">
      <c r="A18" s="2" t="s">
        <v>24</v>
      </c>
      <c r="B18" s="10">
        <v>8.52</v>
      </c>
      <c r="C18" s="21"/>
      <c r="D18" s="44">
        <v>22210</v>
      </c>
      <c r="E18" s="10">
        <v>0.33</v>
      </c>
      <c r="F18" s="10">
        <v>0.33</v>
      </c>
      <c r="G18" s="10">
        <v>0.34</v>
      </c>
      <c r="H18" s="26">
        <v>2</v>
      </c>
      <c r="I18" s="26">
        <v>0.5</v>
      </c>
      <c r="J18" s="26">
        <v>0.5</v>
      </c>
      <c r="K18" s="26">
        <v>1</v>
      </c>
      <c r="L18" s="26"/>
      <c r="M18" s="26"/>
      <c r="N18" s="26"/>
      <c r="O18" s="27">
        <v>1</v>
      </c>
      <c r="P18" s="27"/>
      <c r="Q18" s="27"/>
      <c r="R18" s="27">
        <v>2</v>
      </c>
      <c r="S18" s="26"/>
      <c r="T18" s="26"/>
      <c r="U18" s="26"/>
      <c r="V18">
        <v>1</v>
      </c>
      <c r="W18" s="27"/>
      <c r="X18" s="27"/>
      <c r="Y18" s="27"/>
      <c r="Z18" s="24">
        <f>B18</f>
        <v>8.52</v>
      </c>
      <c r="AA18" s="27"/>
      <c r="AB18" s="24"/>
      <c r="AC18" s="27"/>
      <c r="AD18" s="26"/>
      <c r="AF18" s="26"/>
      <c r="AG18" s="24"/>
      <c r="AH18" s="24"/>
      <c r="AI18" s="24">
        <f>B18*'Inputs-Redskap'!$D$11</f>
        <v>34.08</v>
      </c>
      <c r="AL18" s="50">
        <f t="shared" si="1"/>
        <v>171.444105486507</v>
      </c>
      <c r="AM18" s="36">
        <f>AL18/'Inputs-Redskap'!$D$10</f>
        <v>659.40040571733459</v>
      </c>
      <c r="AN18" s="48">
        <f t="shared" si="2"/>
        <v>65.180685584672034</v>
      </c>
      <c r="AO18" s="59">
        <f t="shared" si="0"/>
        <v>14645283.010982001</v>
      </c>
      <c r="AR18" s="12"/>
      <c r="AT18" s="40"/>
    </row>
    <row r="19" spans="1:46" x14ac:dyDescent="0.25">
      <c r="A19" s="2" t="s">
        <v>3</v>
      </c>
      <c r="B19" s="10">
        <v>5.57</v>
      </c>
      <c r="C19" s="21">
        <f>B19*0.65*0.3</f>
        <v>1.0861499999999999</v>
      </c>
      <c r="D19" s="44">
        <v>21632</v>
      </c>
      <c r="E19" s="10">
        <v>0.33</v>
      </c>
      <c r="F19" s="10">
        <v>0.33</v>
      </c>
      <c r="G19" s="10">
        <v>0.34</v>
      </c>
      <c r="H19" s="26">
        <v>2</v>
      </c>
      <c r="I19" s="26">
        <v>0.5</v>
      </c>
      <c r="J19" s="26">
        <v>0.5</v>
      </c>
      <c r="K19" s="26">
        <v>1</v>
      </c>
      <c r="L19" s="26"/>
      <c r="M19" s="26"/>
      <c r="N19" s="26"/>
      <c r="O19" s="27">
        <v>2</v>
      </c>
      <c r="P19" s="27"/>
      <c r="Q19" s="27"/>
      <c r="R19" s="27">
        <v>1.75</v>
      </c>
      <c r="S19" s="26"/>
      <c r="T19" s="26">
        <v>1</v>
      </c>
      <c r="U19" s="26"/>
      <c r="W19" s="27"/>
      <c r="X19" s="27"/>
      <c r="Y19" s="27"/>
      <c r="Z19" s="24"/>
      <c r="AA19" s="27">
        <f>B19</f>
        <v>5.57</v>
      </c>
      <c r="AB19" s="24">
        <v>1</v>
      </c>
      <c r="AC19" s="27"/>
      <c r="AD19" s="26"/>
      <c r="AF19" s="26"/>
      <c r="AG19" s="24">
        <f>B19</f>
        <v>5.57</v>
      </c>
      <c r="AH19" s="24">
        <f>C19</f>
        <v>1.0861499999999999</v>
      </c>
      <c r="AI19" s="24"/>
      <c r="AL19" s="50">
        <f t="shared" si="1"/>
        <v>181.58076545419732</v>
      </c>
      <c r="AM19" s="36">
        <f>AL19/'Inputs-Redskap'!$D$10</f>
        <v>698.38755943922047</v>
      </c>
      <c r="AN19" s="48">
        <f t="shared" si="2"/>
        <v>69.034503972640778</v>
      </c>
      <c r="AO19" s="59">
        <f t="shared" si="0"/>
        <v>15107519.685789216</v>
      </c>
      <c r="AR19" s="12"/>
      <c r="AT19" s="40"/>
    </row>
    <row r="20" spans="1:46" x14ac:dyDescent="0.25">
      <c r="A20" s="2" t="s">
        <v>2</v>
      </c>
      <c r="B20" s="10">
        <v>5.71</v>
      </c>
      <c r="C20" s="21">
        <f>B20*0.95*0.3</f>
        <v>1.6273500000000001</v>
      </c>
      <c r="D20" s="44">
        <v>21151</v>
      </c>
      <c r="E20" s="10">
        <v>0.33</v>
      </c>
      <c r="F20" s="10">
        <v>0.33</v>
      </c>
      <c r="G20" s="10">
        <v>0.34</v>
      </c>
      <c r="H20" s="26">
        <v>2</v>
      </c>
      <c r="I20" s="26">
        <v>0.5</v>
      </c>
      <c r="J20" s="26">
        <v>0.5</v>
      </c>
      <c r="K20" s="26">
        <v>1</v>
      </c>
      <c r="L20" s="26"/>
      <c r="M20" s="26"/>
      <c r="N20" s="26"/>
      <c r="O20" s="27">
        <v>1</v>
      </c>
      <c r="P20" s="27"/>
      <c r="Q20" s="27"/>
      <c r="R20" s="27">
        <v>1.25</v>
      </c>
      <c r="S20" s="26">
        <v>1</v>
      </c>
      <c r="T20" s="26"/>
      <c r="U20" s="26"/>
      <c r="W20" s="27"/>
      <c r="X20" s="27"/>
      <c r="Y20" s="27"/>
      <c r="Z20" s="24"/>
      <c r="AA20" s="27">
        <f>B20</f>
        <v>5.71</v>
      </c>
      <c r="AB20" s="24">
        <v>1</v>
      </c>
      <c r="AC20" s="27"/>
      <c r="AD20" s="26"/>
      <c r="AF20" s="26"/>
      <c r="AG20" s="24">
        <f>B20</f>
        <v>5.71</v>
      </c>
      <c r="AH20" s="24">
        <f>C20</f>
        <v>1.6273500000000001</v>
      </c>
      <c r="AI20" s="24"/>
      <c r="AL20" s="50">
        <f t="shared" si="1"/>
        <v>195.88206543399724</v>
      </c>
      <c r="AM20" s="36">
        <f>AL20/'Inputs-Redskap'!$D$10</f>
        <v>753.39255936152779</v>
      </c>
      <c r="AN20" s="48">
        <f t="shared" si="2"/>
        <v>74.471661084518146</v>
      </c>
      <c r="AO20" s="59">
        <f t="shared" si="0"/>
        <v>15935006.023055675</v>
      </c>
      <c r="AR20" s="12"/>
      <c r="AT20" s="40"/>
    </row>
    <row r="21" spans="1:46" x14ac:dyDescent="0.25">
      <c r="A21" s="2" t="s">
        <v>14</v>
      </c>
      <c r="B21" s="10">
        <v>33.4</v>
      </c>
      <c r="C21" s="21"/>
      <c r="D21" s="44">
        <v>14979</v>
      </c>
      <c r="E21" s="10">
        <v>0.33</v>
      </c>
      <c r="F21" s="10">
        <v>0.33</v>
      </c>
      <c r="G21" s="10">
        <v>0.34</v>
      </c>
      <c r="H21" s="26">
        <v>1</v>
      </c>
      <c r="I21" s="26"/>
      <c r="J21" s="26">
        <v>2</v>
      </c>
      <c r="K21" s="26">
        <v>1</v>
      </c>
      <c r="L21" s="26">
        <v>2</v>
      </c>
      <c r="M21" s="26">
        <v>1</v>
      </c>
      <c r="N21" s="26"/>
      <c r="O21" s="27">
        <v>2</v>
      </c>
      <c r="P21" s="27"/>
      <c r="Q21" s="27"/>
      <c r="R21" s="27">
        <v>2</v>
      </c>
      <c r="S21" s="26"/>
      <c r="T21" s="26"/>
      <c r="U21" s="26">
        <v>1</v>
      </c>
      <c r="W21" s="27">
        <f>B21</f>
        <v>33.4</v>
      </c>
      <c r="X21" s="27"/>
      <c r="Y21" s="27"/>
      <c r="Z21" s="24"/>
      <c r="AA21" s="27"/>
      <c r="AB21" s="24"/>
      <c r="AC21" s="27"/>
      <c r="AD21" s="26"/>
      <c r="AF21" s="26"/>
      <c r="AG21" s="24"/>
      <c r="AH21" s="24"/>
      <c r="AI21" s="24">
        <f>B21*'Inputs-Redskap'!$D$11</f>
        <v>133.6</v>
      </c>
      <c r="AL21" s="50">
        <f t="shared" si="1"/>
        <v>411.07942620693848</v>
      </c>
      <c r="AM21" s="36">
        <f>AL21/'Inputs-Redskap'!$D$10</f>
        <v>1581.0747161805325</v>
      </c>
      <c r="AN21" s="48">
        <f t="shared" si="2"/>
        <v>156.28673119957816</v>
      </c>
      <c r="AO21" s="59">
        <f t="shared" si="0"/>
        <v>23682918.173668195</v>
      </c>
      <c r="AR21" s="12"/>
      <c r="AT21" s="40"/>
    </row>
    <row r="22" spans="1:46" x14ac:dyDescent="0.25">
      <c r="A22" s="2" t="s">
        <v>20</v>
      </c>
      <c r="B22" s="10">
        <v>33.4</v>
      </c>
      <c r="C22" s="21"/>
      <c r="D22" s="44">
        <v>14583</v>
      </c>
      <c r="E22" s="10">
        <v>0.33</v>
      </c>
      <c r="F22" s="10">
        <v>0.33</v>
      </c>
      <c r="G22" s="10">
        <v>0.34</v>
      </c>
      <c r="H22" s="26">
        <v>2</v>
      </c>
      <c r="I22" s="26"/>
      <c r="J22" s="26">
        <v>2</v>
      </c>
      <c r="K22" s="26">
        <v>1</v>
      </c>
      <c r="L22" s="26">
        <v>2</v>
      </c>
      <c r="M22" s="26"/>
      <c r="N22" s="26"/>
      <c r="O22" s="27">
        <v>2</v>
      </c>
      <c r="P22" s="27"/>
      <c r="Q22" s="27"/>
      <c r="R22" s="27">
        <v>2</v>
      </c>
      <c r="S22" s="26"/>
      <c r="T22" s="26"/>
      <c r="U22" s="26">
        <v>1</v>
      </c>
      <c r="W22" s="27">
        <f>B22</f>
        <v>33.4</v>
      </c>
      <c r="X22" s="27"/>
      <c r="Y22" s="27"/>
      <c r="Z22" s="24"/>
      <c r="AA22" s="27"/>
      <c r="AB22" s="24"/>
      <c r="AC22" s="27"/>
      <c r="AD22" s="26"/>
      <c r="AF22" s="26"/>
      <c r="AG22" s="24"/>
      <c r="AH22" s="24"/>
      <c r="AI22" s="24">
        <f>B22*'Inputs-Redskap'!$D$11</f>
        <v>133.6</v>
      </c>
      <c r="AL22" s="50">
        <f t="shared" si="1"/>
        <v>418.99681302054364</v>
      </c>
      <c r="AM22" s="36">
        <f>AL22/'Inputs-Redskap'!$D$10</f>
        <v>1611.5262039251677</v>
      </c>
      <c r="AN22" s="48">
        <f t="shared" si="2"/>
        <v>159.29681252658207</v>
      </c>
      <c r="AO22" s="59">
        <f t="shared" si="0"/>
        <v>23500886.631840721</v>
      </c>
      <c r="AR22" s="12"/>
      <c r="AT22" s="40"/>
    </row>
    <row r="23" spans="1:46" x14ac:dyDescent="0.25">
      <c r="A23" s="2" t="s">
        <v>23</v>
      </c>
      <c r="B23" s="10"/>
      <c r="C23" s="21"/>
      <c r="D23" s="44">
        <v>10919</v>
      </c>
      <c r="E23" s="10">
        <v>0.33</v>
      </c>
      <c r="F23" s="10">
        <v>0.33</v>
      </c>
      <c r="G23" s="10">
        <v>0.34</v>
      </c>
      <c r="H23" s="26">
        <v>1</v>
      </c>
      <c r="I23" s="26"/>
      <c r="J23" s="26">
        <v>1</v>
      </c>
      <c r="K23" s="26"/>
      <c r="L23" s="26"/>
      <c r="M23" s="26"/>
      <c r="N23" s="26"/>
      <c r="O23" s="27">
        <v>1</v>
      </c>
      <c r="P23" s="27"/>
      <c r="Q23" s="27"/>
      <c r="R23" s="27">
        <v>1</v>
      </c>
      <c r="S23" s="26"/>
      <c r="T23" s="26">
        <v>1</v>
      </c>
      <c r="U23" s="26"/>
      <c r="W23" s="27"/>
      <c r="X23" s="27"/>
      <c r="Y23" s="27"/>
      <c r="Z23" s="24"/>
      <c r="AA23" s="27"/>
      <c r="AB23" s="24"/>
      <c r="AC23" s="27"/>
      <c r="AD23" s="26"/>
      <c r="AF23" s="26"/>
      <c r="AG23" s="24"/>
      <c r="AH23" s="24"/>
      <c r="AI23" s="24">
        <f>B23*'Inputs-Redskap'!$D$11</f>
        <v>0</v>
      </c>
      <c r="AL23" s="50">
        <f t="shared" si="1"/>
        <v>64.291044460543674</v>
      </c>
      <c r="AM23" s="36">
        <f>AL23/'Inputs-Redskap'!$D$10</f>
        <v>247.27324792516796</v>
      </c>
      <c r="AN23" s="48">
        <f t="shared" si="2"/>
        <v>24.442568865236787</v>
      </c>
      <c r="AO23" s="59">
        <f t="shared" si="0"/>
        <v>2699976.5940949088</v>
      </c>
      <c r="AR23" s="12"/>
      <c r="AT23" s="40"/>
    </row>
    <row r="24" spans="1:46" x14ac:dyDescent="0.25">
      <c r="A24" s="2" t="s">
        <v>6</v>
      </c>
      <c r="B24" s="10">
        <v>2.76</v>
      </c>
      <c r="C24" s="21">
        <f>B24*0.7*0.3</f>
        <v>0.57959999999999989</v>
      </c>
      <c r="D24" s="44">
        <v>9467</v>
      </c>
      <c r="E24" s="10">
        <v>0.33</v>
      </c>
      <c r="F24" s="10">
        <v>0.33</v>
      </c>
      <c r="G24" s="10">
        <v>0.34</v>
      </c>
      <c r="H24" s="26">
        <v>1</v>
      </c>
      <c r="I24" s="26">
        <v>0.5</v>
      </c>
      <c r="J24" s="26">
        <v>0.5</v>
      </c>
      <c r="K24" s="26">
        <v>1</v>
      </c>
      <c r="L24" s="26"/>
      <c r="M24" s="26">
        <v>1</v>
      </c>
      <c r="N24" s="26"/>
      <c r="O24" s="27">
        <v>1</v>
      </c>
      <c r="P24" s="27"/>
      <c r="Q24" s="27"/>
      <c r="R24" s="27">
        <v>1.25</v>
      </c>
      <c r="S24" s="26">
        <v>1</v>
      </c>
      <c r="T24" s="26"/>
      <c r="U24" s="26"/>
      <c r="W24" s="27"/>
      <c r="X24" s="27"/>
      <c r="Y24" s="27"/>
      <c r="Z24" s="24"/>
      <c r="AA24" s="27">
        <f>B24</f>
        <v>2.76</v>
      </c>
      <c r="AB24" s="24">
        <v>1</v>
      </c>
      <c r="AC24" s="27"/>
      <c r="AD24" s="26"/>
      <c r="AF24" s="26"/>
      <c r="AG24" s="24">
        <f>B24</f>
        <v>2.76</v>
      </c>
      <c r="AH24" s="24">
        <f>C24</f>
        <v>0.57959999999999989</v>
      </c>
      <c r="AI24" s="24"/>
      <c r="AL24" s="50">
        <f t="shared" si="1"/>
        <v>164.45126600491292</v>
      </c>
      <c r="AM24" s="36">
        <f>AL24/'Inputs-Redskap'!$D$10</f>
        <v>632.50486924966503</v>
      </c>
      <c r="AN24" s="48">
        <f t="shared" si="2"/>
        <v>62.522104408606239</v>
      </c>
      <c r="AO24" s="59">
        <f t="shared" si="0"/>
        <v>5987923.5971865784</v>
      </c>
      <c r="AR24" s="12"/>
      <c r="AT24" s="40"/>
    </row>
    <row r="25" spans="1:46" x14ac:dyDescent="0.25">
      <c r="A25" s="2" t="s">
        <v>15</v>
      </c>
      <c r="B25" s="10">
        <v>42.01</v>
      </c>
      <c r="C25" s="21"/>
      <c r="D25" s="44">
        <v>8567</v>
      </c>
      <c r="E25" s="10">
        <v>0.33</v>
      </c>
      <c r="F25" s="10">
        <v>0.33</v>
      </c>
      <c r="G25" s="10">
        <v>0.34</v>
      </c>
      <c r="H25" s="26">
        <v>2</v>
      </c>
      <c r="I25" s="26"/>
      <c r="J25" s="26">
        <v>2</v>
      </c>
      <c r="K25" s="26">
        <v>1</v>
      </c>
      <c r="L25" s="26">
        <v>2</v>
      </c>
      <c r="M25" s="26"/>
      <c r="N25" s="26"/>
      <c r="O25" s="27">
        <v>2</v>
      </c>
      <c r="P25" s="27"/>
      <c r="Q25" s="27"/>
      <c r="R25" s="27">
        <v>2</v>
      </c>
      <c r="S25" s="26"/>
      <c r="T25" s="26"/>
      <c r="U25" s="26">
        <v>1</v>
      </c>
      <c r="W25" s="27"/>
      <c r="X25" s="27">
        <f>B25</f>
        <v>42.01</v>
      </c>
      <c r="Y25" s="27"/>
      <c r="Z25" s="24"/>
      <c r="AA25" s="27"/>
      <c r="AB25" s="24"/>
      <c r="AC25" s="27"/>
      <c r="AD25" s="26"/>
      <c r="AF25" s="26"/>
      <c r="AG25" s="24"/>
      <c r="AH25" s="24"/>
      <c r="AI25" s="24">
        <f>B25*'Inputs-Redskap'!$D$11</f>
        <v>168.04</v>
      </c>
      <c r="AL25" s="50">
        <f t="shared" si="1"/>
        <v>424.77057023732323</v>
      </c>
      <c r="AM25" s="36">
        <f>AL25/'Inputs-Redskap'!$D$10</f>
        <v>1633.7329624512431</v>
      </c>
      <c r="AN25" s="48">
        <f t="shared" si="2"/>
        <v>161.49191543036059</v>
      </c>
      <c r="AO25" s="59">
        <f t="shared" si="0"/>
        <v>13996190.2893198</v>
      </c>
      <c r="AR25" s="12"/>
      <c r="AT25" s="40"/>
    </row>
    <row r="26" spans="1:46" x14ac:dyDescent="0.25">
      <c r="A26" s="2" t="s">
        <v>21</v>
      </c>
      <c r="B26" s="10"/>
      <c r="C26" s="21"/>
      <c r="D26" s="44">
        <v>7983</v>
      </c>
      <c r="E26" s="10">
        <v>0.33</v>
      </c>
      <c r="F26" s="10">
        <v>0.33</v>
      </c>
      <c r="G26" s="10">
        <v>0.34</v>
      </c>
      <c r="H26" s="26">
        <v>1</v>
      </c>
      <c r="I26" s="26"/>
      <c r="J26" s="26">
        <v>1</v>
      </c>
      <c r="K26" s="26"/>
      <c r="L26" s="26"/>
      <c r="M26" s="26"/>
      <c r="N26" s="26"/>
      <c r="O26" s="27">
        <v>1</v>
      </c>
      <c r="P26" s="27"/>
      <c r="Q26" s="27"/>
      <c r="R26" s="27">
        <v>1</v>
      </c>
      <c r="S26" s="26"/>
      <c r="T26" s="26">
        <v>1</v>
      </c>
      <c r="U26" s="26"/>
      <c r="W26" s="27"/>
      <c r="X26" s="27"/>
      <c r="Y26" s="27"/>
      <c r="Z26" s="24"/>
      <c r="AA26" s="27"/>
      <c r="AB26" s="24"/>
      <c r="AC26" s="27"/>
      <c r="AD26" s="26"/>
      <c r="AF26" s="26"/>
      <c r="AG26" s="24"/>
      <c r="AH26" s="24"/>
      <c r="AI26" s="24">
        <f>B26*'Inputs-Redskap'!$D$11</f>
        <v>0</v>
      </c>
      <c r="AL26" s="50">
        <f t="shared" si="1"/>
        <v>64.291044460543674</v>
      </c>
      <c r="AM26" s="36">
        <f>AL26/'Inputs-Redskap'!$D$10</f>
        <v>247.27324792516796</v>
      </c>
      <c r="AN26" s="48">
        <f t="shared" si="2"/>
        <v>24.442568865236787</v>
      </c>
      <c r="AO26" s="59">
        <f t="shared" si="0"/>
        <v>1973982.3381866158</v>
      </c>
      <c r="AR26" s="12"/>
      <c r="AT26" s="40"/>
    </row>
    <row r="27" spans="1:46" x14ac:dyDescent="0.25">
      <c r="A27" s="2" t="s">
        <v>8</v>
      </c>
      <c r="B27" s="10">
        <v>2.54</v>
      </c>
      <c r="C27" s="21"/>
      <c r="D27" s="44">
        <v>6412</v>
      </c>
      <c r="E27" s="10">
        <v>0.33</v>
      </c>
      <c r="F27" s="10">
        <v>0.33</v>
      </c>
      <c r="G27" s="10">
        <v>0.34</v>
      </c>
      <c r="H27" s="26">
        <v>1</v>
      </c>
      <c r="I27" s="26">
        <v>1</v>
      </c>
      <c r="J27" s="26">
        <v>1</v>
      </c>
      <c r="K27" s="26">
        <v>1</v>
      </c>
      <c r="L27" s="26"/>
      <c r="M27" s="26"/>
      <c r="N27" s="26"/>
      <c r="O27" s="27">
        <v>1</v>
      </c>
      <c r="P27" s="27"/>
      <c r="Q27" s="27"/>
      <c r="R27" s="27">
        <v>2</v>
      </c>
      <c r="S27" s="26">
        <v>1</v>
      </c>
      <c r="T27" s="26"/>
      <c r="U27" s="26"/>
      <c r="W27" s="27"/>
      <c r="X27" s="27"/>
      <c r="Y27" s="27"/>
      <c r="Z27" s="24"/>
      <c r="AA27" s="27">
        <f>B27</f>
        <v>2.54</v>
      </c>
      <c r="AB27" s="24">
        <v>1</v>
      </c>
      <c r="AC27" s="27"/>
      <c r="AD27" s="26"/>
      <c r="AF27" s="26"/>
      <c r="AG27" s="24"/>
      <c r="AH27" s="24"/>
      <c r="AI27" s="24">
        <f>B27*'Inputs-Redskap'!$D$11</f>
        <v>10.16</v>
      </c>
      <c r="AL27" s="50">
        <f t="shared" si="1"/>
        <v>164.75656738525998</v>
      </c>
      <c r="AM27" s="36">
        <f>AL27/'Inputs-Redskap'!$D$10</f>
        <v>633.67910532792303</v>
      </c>
      <c r="AN27" s="48">
        <f t="shared" si="2"/>
        <v>62.638175784898237</v>
      </c>
      <c r="AO27" s="59">
        <f t="shared" si="0"/>
        <v>4063150.4233626425</v>
      </c>
      <c r="AR27" s="12"/>
      <c r="AT27" s="40"/>
    </row>
    <row r="28" spans="1:46" x14ac:dyDescent="0.25">
      <c r="A28" s="2" t="s">
        <v>18</v>
      </c>
      <c r="B28" s="10">
        <v>1.49</v>
      </c>
      <c r="C28" s="21">
        <f>B28*1.3</f>
        <v>1.9370000000000001</v>
      </c>
      <c r="D28" s="44">
        <v>4970</v>
      </c>
      <c r="E28" s="10">
        <v>0.33</v>
      </c>
      <c r="F28" s="10">
        <v>0.33</v>
      </c>
      <c r="G28" s="10">
        <v>0.34</v>
      </c>
      <c r="H28" s="26">
        <v>2</v>
      </c>
      <c r="I28" s="26">
        <v>0.5</v>
      </c>
      <c r="J28" s="26">
        <v>0.5</v>
      </c>
      <c r="K28" s="26">
        <v>1</v>
      </c>
      <c r="L28" s="26"/>
      <c r="M28" s="26"/>
      <c r="N28" s="26"/>
      <c r="O28" s="27">
        <v>1</v>
      </c>
      <c r="P28" s="27"/>
      <c r="Q28" s="27"/>
      <c r="R28" s="27">
        <v>1.25</v>
      </c>
      <c r="S28" s="26">
        <v>1</v>
      </c>
      <c r="T28" s="26"/>
      <c r="U28" s="26"/>
      <c r="W28" s="27"/>
      <c r="X28" s="27"/>
      <c r="Y28" s="27"/>
      <c r="Z28" s="24"/>
      <c r="AA28" s="27">
        <f>B28</f>
        <v>1.49</v>
      </c>
      <c r="AB28" s="24">
        <v>1</v>
      </c>
      <c r="AC28" s="27"/>
      <c r="AD28" s="26"/>
      <c r="AF28" s="26"/>
      <c r="AG28" s="24">
        <f>B28</f>
        <v>1.49</v>
      </c>
      <c r="AH28" s="24">
        <f>C28</f>
        <v>1.9370000000000001</v>
      </c>
      <c r="AI28" s="24"/>
      <c r="AL28" s="50">
        <f t="shared" si="1"/>
        <v>167.81138674895143</v>
      </c>
      <c r="AM28" s="36">
        <f>AL28/'Inputs-Redskap'!$D$10</f>
        <v>645.42841057289013</v>
      </c>
      <c r="AN28" s="48">
        <f t="shared" si="2"/>
        <v>63.799575996924837</v>
      </c>
      <c r="AO28" s="59">
        <f t="shared" si="0"/>
        <v>3207779.200547264</v>
      </c>
      <c r="AR28" s="12"/>
      <c r="AT28" s="40"/>
    </row>
    <row r="29" spans="1:46" x14ac:dyDescent="0.25">
      <c r="A29" s="2" t="s">
        <v>9</v>
      </c>
      <c r="B29" s="10">
        <v>2.41</v>
      </c>
      <c r="C29" s="21"/>
      <c r="D29" s="44">
        <v>491</v>
      </c>
      <c r="E29" s="10">
        <v>0.33</v>
      </c>
      <c r="F29" s="10">
        <v>0.33</v>
      </c>
      <c r="G29" s="10">
        <v>0.34</v>
      </c>
      <c r="H29" s="26">
        <v>2</v>
      </c>
      <c r="I29" s="26">
        <v>0.5</v>
      </c>
      <c r="J29" s="26">
        <v>0.5</v>
      </c>
      <c r="K29" s="26">
        <v>1</v>
      </c>
      <c r="L29" s="26"/>
      <c r="M29" s="26"/>
      <c r="N29" s="26"/>
      <c r="O29" s="27">
        <v>1</v>
      </c>
      <c r="P29" s="27"/>
      <c r="Q29" s="27"/>
      <c r="R29" s="27">
        <v>1.25</v>
      </c>
      <c r="S29" s="26">
        <v>1</v>
      </c>
      <c r="T29" s="26"/>
      <c r="U29" s="26"/>
      <c r="W29" s="27"/>
      <c r="X29" s="27"/>
      <c r="Y29" s="27"/>
      <c r="Z29" s="24"/>
      <c r="AA29" s="27">
        <f>B29</f>
        <v>2.41</v>
      </c>
      <c r="AB29" s="24">
        <v>1</v>
      </c>
      <c r="AC29" s="27"/>
      <c r="AD29" s="26"/>
      <c r="AF29" s="26"/>
      <c r="AG29" s="24"/>
      <c r="AH29" s="24"/>
      <c r="AI29" s="24">
        <f>B29*'Inputs-Redskap'!$D$11</f>
        <v>9.64</v>
      </c>
      <c r="AL29" s="50">
        <f t="shared" si="1"/>
        <v>166.68929759761809</v>
      </c>
      <c r="AM29" s="36">
        <f>AL29/'Inputs-Redskap'!$D$10</f>
        <v>641.11268306776185</v>
      </c>
      <c r="AN29" s="48">
        <f t="shared" si="2"/>
        <v>63.372973169353216</v>
      </c>
      <c r="AO29" s="59">
        <f t="shared" si="0"/>
        <v>314786.32738627109</v>
      </c>
      <c r="AR29" s="12"/>
      <c r="AT29" s="40"/>
    </row>
    <row r="30" spans="1:46" x14ac:dyDescent="0.25">
      <c r="A30" s="2" t="s">
        <v>201</v>
      </c>
      <c r="B30" s="10"/>
      <c r="C30" s="21"/>
      <c r="D30" s="44"/>
      <c r="E30" s="10">
        <v>0.33</v>
      </c>
      <c r="F30" s="10">
        <v>0.33</v>
      </c>
      <c r="G30" s="10">
        <v>0.34</v>
      </c>
      <c r="H30" s="26">
        <v>2</v>
      </c>
      <c r="I30" s="26">
        <v>1</v>
      </c>
      <c r="J30" s="26">
        <v>2</v>
      </c>
      <c r="K30" s="26">
        <v>1</v>
      </c>
      <c r="L30" s="26">
        <v>2</v>
      </c>
      <c r="O30" s="24"/>
      <c r="P30" s="24"/>
      <c r="Q30" s="24"/>
      <c r="R30" s="24"/>
      <c r="S30" s="26">
        <v>1</v>
      </c>
      <c r="W30" s="24"/>
      <c r="X30" s="24"/>
      <c r="Y30" s="24"/>
      <c r="Z30" s="24"/>
      <c r="AA30" s="24"/>
      <c r="AB30" s="24"/>
      <c r="AC30" s="24"/>
      <c r="AG30" s="24"/>
      <c r="AH30" s="24"/>
      <c r="AI30" s="24"/>
      <c r="AL30" s="51">
        <f t="shared" si="1"/>
        <v>210.5339646235814</v>
      </c>
      <c r="AM30" s="52">
        <f>AL30/'Inputs-Redskap'!$D$10</f>
        <v>809.7460177830053</v>
      </c>
      <c r="AN30" s="49">
        <f t="shared" si="2"/>
        <v>80.042111183018363</v>
      </c>
      <c r="AO30" s="60">
        <f t="shared" si="0"/>
        <v>0</v>
      </c>
      <c r="AR30" s="12"/>
      <c r="AT30" s="40"/>
    </row>
    <row r="31" spans="1:46" x14ac:dyDescent="0.25">
      <c r="O31" s="24"/>
      <c r="P31" s="24"/>
      <c r="Q31" s="24"/>
      <c r="R31" s="24"/>
      <c r="W31" s="24"/>
      <c r="X31" s="24"/>
      <c r="Y31" s="24"/>
      <c r="Z31" s="24"/>
      <c r="AA31" s="24"/>
      <c r="AB31" s="24"/>
      <c r="AC31" s="24"/>
      <c r="AG31" s="24"/>
      <c r="AH31" s="24"/>
      <c r="AI31" s="24"/>
    </row>
    <row r="32" spans="1:46" x14ac:dyDescent="0.25">
      <c r="G32" s="1" t="s">
        <v>166</v>
      </c>
      <c r="H32" s="26"/>
      <c r="I32" s="26"/>
      <c r="J32" s="26"/>
      <c r="K32" s="26"/>
      <c r="L32" s="26"/>
      <c r="M32" s="26"/>
      <c r="N32" s="26"/>
      <c r="O32" s="27"/>
      <c r="P32" s="27"/>
      <c r="Q32" s="27"/>
      <c r="R32" s="27"/>
      <c r="S32" s="26"/>
      <c r="T32" s="26"/>
      <c r="U32" s="26"/>
      <c r="W32" s="27"/>
      <c r="X32" s="27"/>
      <c r="Y32" s="27"/>
      <c r="Z32" s="24"/>
      <c r="AA32" s="27"/>
      <c r="AB32" s="24"/>
      <c r="AC32" s="27"/>
      <c r="AD32" s="26"/>
      <c r="AF32" s="26"/>
      <c r="AG32" s="24"/>
      <c r="AH32" s="24"/>
      <c r="AI32" s="24"/>
      <c r="AL32" s="16"/>
    </row>
    <row r="33" spans="5:35" x14ac:dyDescent="0.25">
      <c r="G33" s="2" t="s">
        <v>177</v>
      </c>
      <c r="H33" s="37">
        <f>'Inputs-Redskap'!K30+'Inputs-Redskap'!E26</f>
        <v>21.859053480271832</v>
      </c>
      <c r="I33" s="37">
        <f>'Inputs-Redskap'!F39</f>
        <v>3.7353333333333332</v>
      </c>
      <c r="J33" s="37">
        <f>'Inputs-Redskap'!K31+'Inputs-Redskap'!E26</f>
        <v>30.678497924716279</v>
      </c>
      <c r="K33" s="37">
        <f>'Inputs-Redskap'!K29+'Inputs-Redskap'!E26</f>
        <v>65.574331258049611</v>
      </c>
      <c r="L33" s="37">
        <v>17.096931944444446</v>
      </c>
      <c r="M33" s="37">
        <f>'Inputs-Redskap'!F50</f>
        <v>12.749999999999998</v>
      </c>
      <c r="N33" s="37">
        <f>'Inputs-Redskap'!F49</f>
        <v>17.749999999999996</v>
      </c>
      <c r="O33" s="38">
        <f>'Inputs-Redskap'!F46</f>
        <v>1.2451111111111113</v>
      </c>
      <c r="P33" s="38">
        <f>'Inputs-Redskap'!F45</f>
        <v>3.1127777777777781</v>
      </c>
      <c r="Q33" s="38">
        <f>'Inputs-Redskap'!F44</f>
        <v>4.6691666666666665</v>
      </c>
      <c r="R33" s="38">
        <f>'Inputs-Redskap'!F47</f>
        <v>3.1127777777777781</v>
      </c>
      <c r="S33" s="37">
        <f>'Inputs-Redskap'!F41</f>
        <v>26.302972222222223</v>
      </c>
      <c r="T33" s="37">
        <f>'Inputs-Redskap'!F40</f>
        <v>11.828555555555555</v>
      </c>
      <c r="U33" s="37">
        <v>23.278130416666666</v>
      </c>
      <c r="V33" s="15">
        <f>'Inputs-Redskap'!F43</f>
        <v>11.3</v>
      </c>
      <c r="W33" s="38">
        <f>'Inputs-Redskap'!G64</f>
        <v>5.1828516694033944</v>
      </c>
      <c r="X33" s="38">
        <f>'Inputs-Redskap'!G65</f>
        <v>4.0531064740502947</v>
      </c>
      <c r="Y33" s="38">
        <f>'Inputs-Redskap'!G62</f>
        <v>1.7546281240590185</v>
      </c>
      <c r="Z33" s="39">
        <f>'Inputs-Redskap'!G63</f>
        <v>4.3591310772039646</v>
      </c>
      <c r="AA33" s="27">
        <f>'Inputs-Redskap'!G61</f>
        <v>5.26</v>
      </c>
      <c r="AB33" s="24">
        <f>'Inputs-Redskap'!D61</f>
        <v>13.15</v>
      </c>
      <c r="AC33" s="27">
        <f>'Inputs-Redskap'!F48</f>
        <v>14.6</v>
      </c>
      <c r="AD33" s="37">
        <f>'Inputs-Redskap'!F55</f>
        <v>36.955675972222224</v>
      </c>
      <c r="AE33" s="37">
        <f>'Inputs-Redskap'!F56</f>
        <v>50.107162083333336</v>
      </c>
      <c r="AF33" s="37">
        <f>'Inputs-Redskap'!F57</f>
        <v>37.744765138888887</v>
      </c>
      <c r="AG33" s="38">
        <f>'Inputs-Redskap'!F52</f>
        <v>1.6176327916666666</v>
      </c>
      <c r="AH33" s="38">
        <f>'Inputs-Redskap'!F53</f>
        <v>3.0774477499999997</v>
      </c>
      <c r="AI33" s="38">
        <f>'Inputs-Redskap'!F54</f>
        <v>0.25</v>
      </c>
    </row>
    <row r="34" spans="5:35" x14ac:dyDescent="0.25">
      <c r="G34" s="2" t="s">
        <v>178</v>
      </c>
      <c r="H34" s="37">
        <f>'Inputs-Redskap'!L30+'Inputs-Redskap'!E26</f>
        <v>20.609053480271832</v>
      </c>
      <c r="I34" s="37">
        <f>I33</f>
        <v>3.7353333333333332</v>
      </c>
      <c r="J34" s="37">
        <f>'Inputs-Redskap'!L31+'Inputs-Redskap'!E26</f>
        <v>27.793081258049611</v>
      </c>
      <c r="K34" s="37">
        <f>'Inputs-Redskap'!L29+'Inputs-Redskap'!E26</f>
        <v>49.334747924716275</v>
      </c>
      <c r="L34" s="37">
        <f>L33</f>
        <v>17.096931944444446</v>
      </c>
      <c r="M34" s="37">
        <f>M33</f>
        <v>12.749999999999998</v>
      </c>
      <c r="N34" s="37">
        <f t="shared" ref="N34:U35" si="4">N33</f>
        <v>17.749999999999996</v>
      </c>
      <c r="O34" s="38">
        <f t="shared" si="4"/>
        <v>1.2451111111111113</v>
      </c>
      <c r="P34" s="38">
        <f t="shared" si="4"/>
        <v>3.1127777777777781</v>
      </c>
      <c r="Q34" s="38">
        <f t="shared" si="4"/>
        <v>4.6691666666666665</v>
      </c>
      <c r="R34" s="38">
        <f t="shared" si="4"/>
        <v>3.1127777777777781</v>
      </c>
      <c r="S34" s="37">
        <f t="shared" si="4"/>
        <v>26.302972222222223</v>
      </c>
      <c r="T34" s="37">
        <f t="shared" si="4"/>
        <v>11.828555555555555</v>
      </c>
      <c r="U34" s="37">
        <f t="shared" si="4"/>
        <v>23.278130416666666</v>
      </c>
      <c r="V34" s="15">
        <f t="shared" ref="V34:AB35" si="5">V33</f>
        <v>11.3</v>
      </c>
      <c r="W34" s="38">
        <f t="shared" si="5"/>
        <v>5.1828516694033944</v>
      </c>
      <c r="X34" s="38">
        <f t="shared" si="5"/>
        <v>4.0531064740502947</v>
      </c>
      <c r="Y34" s="38">
        <f t="shared" si="5"/>
        <v>1.7546281240590185</v>
      </c>
      <c r="Z34" s="39">
        <f t="shared" si="5"/>
        <v>4.3591310772039646</v>
      </c>
      <c r="AA34" s="27">
        <f t="shared" si="5"/>
        <v>5.26</v>
      </c>
      <c r="AB34" s="24">
        <f t="shared" si="5"/>
        <v>13.15</v>
      </c>
      <c r="AC34" s="27">
        <f t="shared" ref="AC34:AC35" si="6">AC33</f>
        <v>14.6</v>
      </c>
      <c r="AD34" s="37">
        <f t="shared" ref="AD34:AI35" si="7">AD33</f>
        <v>36.955675972222224</v>
      </c>
      <c r="AE34" s="37">
        <f t="shared" si="7"/>
        <v>50.107162083333336</v>
      </c>
      <c r="AF34" s="37">
        <f t="shared" si="7"/>
        <v>37.744765138888887</v>
      </c>
      <c r="AG34" s="38">
        <f t="shared" si="7"/>
        <v>1.6176327916666666</v>
      </c>
      <c r="AH34" s="38">
        <f t="shared" si="7"/>
        <v>3.0774477499999997</v>
      </c>
      <c r="AI34" s="38">
        <f t="shared" si="7"/>
        <v>0.25</v>
      </c>
    </row>
    <row r="35" spans="5:35" x14ac:dyDescent="0.25">
      <c r="G35" s="2" t="s">
        <v>179</v>
      </c>
      <c r="H35" s="37">
        <f>'Inputs-Redskap'!M30+'Inputs-Redskap'!E26</f>
        <v>19.567386813605168</v>
      </c>
      <c r="I35" s="37">
        <f>I34</f>
        <v>3.7353333333333332</v>
      </c>
      <c r="J35" s="37">
        <f>'Inputs-Redskap'!M31+'Inputs-Redskap'!E26</f>
        <v>23.94585903582739</v>
      </c>
      <c r="K35" s="37">
        <f>'Inputs-Redskap'!M29+'Inputs-Redskap'!E26</f>
        <v>35.801761813605168</v>
      </c>
      <c r="L35" s="37">
        <f>L34</f>
        <v>17.096931944444446</v>
      </c>
      <c r="M35" s="37">
        <f>M34</f>
        <v>12.749999999999998</v>
      </c>
      <c r="N35" s="37">
        <f t="shared" si="4"/>
        <v>17.749999999999996</v>
      </c>
      <c r="O35" s="38">
        <f t="shared" si="4"/>
        <v>1.2451111111111113</v>
      </c>
      <c r="P35" s="38">
        <f t="shared" si="4"/>
        <v>3.1127777777777781</v>
      </c>
      <c r="Q35" s="38">
        <f t="shared" si="4"/>
        <v>4.6691666666666665</v>
      </c>
      <c r="R35" s="38">
        <f t="shared" si="4"/>
        <v>3.1127777777777781</v>
      </c>
      <c r="S35" s="37">
        <f t="shared" si="4"/>
        <v>26.302972222222223</v>
      </c>
      <c r="T35" s="37">
        <f t="shared" si="4"/>
        <v>11.828555555555555</v>
      </c>
      <c r="U35" s="37">
        <f t="shared" si="4"/>
        <v>23.278130416666666</v>
      </c>
      <c r="V35" s="15">
        <f t="shared" si="5"/>
        <v>11.3</v>
      </c>
      <c r="W35" s="38">
        <f t="shared" si="5"/>
        <v>5.1828516694033944</v>
      </c>
      <c r="X35" s="38">
        <f t="shared" si="5"/>
        <v>4.0531064740502947</v>
      </c>
      <c r="Y35" s="38">
        <f t="shared" si="5"/>
        <v>1.7546281240590185</v>
      </c>
      <c r="Z35" s="39">
        <f t="shared" si="5"/>
        <v>4.3591310772039646</v>
      </c>
      <c r="AA35" s="27">
        <f t="shared" si="5"/>
        <v>5.26</v>
      </c>
      <c r="AB35" s="24">
        <f t="shared" si="5"/>
        <v>13.15</v>
      </c>
      <c r="AC35" s="27">
        <f t="shared" si="6"/>
        <v>14.6</v>
      </c>
      <c r="AD35" s="37">
        <f t="shared" si="7"/>
        <v>36.955675972222224</v>
      </c>
      <c r="AE35" s="37">
        <f t="shared" si="7"/>
        <v>50.107162083333336</v>
      </c>
      <c r="AF35" s="37">
        <f t="shared" si="7"/>
        <v>37.744765138888887</v>
      </c>
      <c r="AG35" s="38">
        <f t="shared" si="7"/>
        <v>1.6176327916666666</v>
      </c>
      <c r="AH35" s="38">
        <f t="shared" si="7"/>
        <v>3.0774477499999997</v>
      </c>
      <c r="AI35" s="38">
        <f t="shared" si="7"/>
        <v>0.25</v>
      </c>
    </row>
    <row r="36" spans="5:35" x14ac:dyDescent="0.25">
      <c r="E36" s="26"/>
      <c r="F36" s="26"/>
      <c r="G36" s="26"/>
      <c r="H36" s="26"/>
      <c r="I36" s="26"/>
      <c r="J36" s="26"/>
      <c r="K36" s="26"/>
      <c r="R36" s="26"/>
      <c r="T36" s="26"/>
      <c r="U36" s="26"/>
      <c r="V36" s="26"/>
      <c r="X36" s="26"/>
      <c r="Z36" s="26"/>
      <c r="AA36" s="26"/>
      <c r="AC36" s="26"/>
    </row>
    <row r="37" spans="5:35" x14ac:dyDescent="0.25"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T37" s="26"/>
      <c r="U37" s="26"/>
      <c r="V37" s="26"/>
      <c r="X37" s="26"/>
      <c r="Z37" s="26"/>
      <c r="AA37" s="26"/>
      <c r="AC37" s="26"/>
    </row>
    <row r="38" spans="5:35" x14ac:dyDescent="0.25"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T38" s="26"/>
      <c r="U38" s="26"/>
      <c r="V38" s="26"/>
      <c r="X38" s="26"/>
      <c r="AA38" s="26"/>
      <c r="AC38" s="26"/>
    </row>
    <row r="39" spans="5:35" x14ac:dyDescent="0.25"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T39" s="26"/>
      <c r="U39" s="26"/>
      <c r="V39" s="26"/>
      <c r="W39" s="26"/>
      <c r="AA39" s="26"/>
      <c r="AC39" s="26"/>
    </row>
    <row r="40" spans="5:35" x14ac:dyDescent="0.25"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T40" s="26"/>
      <c r="U40" s="26"/>
      <c r="V40" s="26"/>
      <c r="W40" s="26"/>
      <c r="AA40" s="26"/>
    </row>
    <row r="41" spans="5:35" x14ac:dyDescent="0.25"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T41" s="26"/>
      <c r="U41" s="26"/>
      <c r="V41" s="26"/>
      <c r="W41" s="26"/>
      <c r="Y41" s="26"/>
    </row>
    <row r="42" spans="5:35" x14ac:dyDescent="0.25">
      <c r="E42" s="26"/>
      <c r="F42" s="26"/>
      <c r="G42" s="26"/>
      <c r="H42" s="26"/>
      <c r="I42" s="26"/>
      <c r="J42" s="26"/>
      <c r="K42" s="26"/>
    </row>
    <row r="43" spans="5:35" x14ac:dyDescent="0.25">
      <c r="E43" s="26"/>
      <c r="F43" s="26"/>
      <c r="G43" s="26"/>
      <c r="H43" s="26"/>
      <c r="I43" s="26"/>
      <c r="J43" s="26"/>
      <c r="K43" s="26"/>
    </row>
    <row r="55" spans="9:10" x14ac:dyDescent="0.25">
      <c r="I55" s="17"/>
      <c r="J55" s="17"/>
    </row>
    <row r="56" spans="9:10" x14ac:dyDescent="0.25">
      <c r="I56" s="17"/>
      <c r="J56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12"/>
  <sheetViews>
    <sheetView showGridLines="0" workbookViewId="0">
      <selection activeCell="A30" sqref="A30"/>
    </sheetView>
  </sheetViews>
  <sheetFormatPr defaultRowHeight="15" x14ac:dyDescent="0.25"/>
  <cols>
    <col min="1" max="1" width="255.7109375" bestFit="1" customWidth="1"/>
  </cols>
  <sheetData>
    <row r="2" spans="1:1" x14ac:dyDescent="0.25">
      <c r="A2" s="45"/>
    </row>
    <row r="3" spans="1:1" x14ac:dyDescent="0.25">
      <c r="A3" s="46" t="s">
        <v>26</v>
      </c>
    </row>
    <row r="4" spans="1:1" x14ac:dyDescent="0.25">
      <c r="A4" s="47" t="s">
        <v>28</v>
      </c>
    </row>
    <row r="5" spans="1:1" x14ac:dyDescent="0.25">
      <c r="A5" s="47" t="s">
        <v>65</v>
      </c>
    </row>
    <row r="6" spans="1:1" x14ac:dyDescent="0.25">
      <c r="A6" s="47" t="s">
        <v>103</v>
      </c>
    </row>
    <row r="7" spans="1:1" x14ac:dyDescent="0.25">
      <c r="A7" s="47" t="s">
        <v>102</v>
      </c>
    </row>
    <row r="8" spans="1:1" x14ac:dyDescent="0.25">
      <c r="A8" s="47" t="s">
        <v>60</v>
      </c>
    </row>
    <row r="9" spans="1:1" x14ac:dyDescent="0.25">
      <c r="A9" s="47" t="s">
        <v>40</v>
      </c>
    </row>
    <row r="10" spans="1:1" x14ac:dyDescent="0.25">
      <c r="A10" s="47" t="s">
        <v>51</v>
      </c>
    </row>
    <row r="11" spans="1:1" x14ac:dyDescent="0.25">
      <c r="A11" s="47" t="s">
        <v>140</v>
      </c>
    </row>
    <row r="12" spans="1:1" x14ac:dyDescent="0.25">
      <c r="A12" s="47" t="s">
        <v>27</v>
      </c>
    </row>
  </sheetData>
  <sortState xmlns:xlrd2="http://schemas.microsoft.com/office/spreadsheetml/2017/richdata2" ref="A4:A12">
    <sortCondition ref="A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Inputs-Redskap</vt:lpstr>
      <vt:lpstr>Input-Grödor</vt:lpstr>
      <vt:lpstr>Källor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2025-04-25T08:21:08Z</dcterms:modified>
</cp:coreProperties>
</file>