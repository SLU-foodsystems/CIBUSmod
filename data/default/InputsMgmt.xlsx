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CIBUSmod\data\prod_parameters\"/>
    </mc:Choice>
  </mc:AlternateContent>
  <bookViews>
    <workbookView xWindow="0" yWindow="0" windowWidth="19200" windowHeight="6900"/>
  </bookViews>
  <sheets>
    <sheet name="defaul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6" i="1" l="1"/>
  <c r="F3" i="1"/>
  <c r="F5" i="1"/>
  <c r="F18" i="1" l="1"/>
  <c r="F19" i="1"/>
  <c r="F17" i="1"/>
</calcChain>
</file>

<file path=xl/sharedStrings.xml><?xml version="1.0" encoding="utf-8"?>
<sst xmlns="http://schemas.openxmlformats.org/spreadsheetml/2006/main" count="43" uniqueCount="33">
  <si>
    <t>f_input</t>
  </si>
  <si>
    <t>Ammonium nitrate</t>
  </si>
  <si>
    <t>N fertilisers</t>
  </si>
  <si>
    <t>Calcium ammonium nitrate</t>
  </si>
  <si>
    <t>NPK mixtures</t>
  </si>
  <si>
    <t>f_ecoinvent_id</t>
  </si>
  <si>
    <t>parameter</t>
  </si>
  <si>
    <t>value</t>
  </si>
  <si>
    <t>unit</t>
  </si>
  <si>
    <t>description</t>
  </si>
  <si>
    <t>source</t>
  </si>
  <si>
    <t>kg/kg N</t>
  </si>
  <si>
    <t>Energy</t>
  </si>
  <si>
    <t>P fertilisers</t>
  </si>
  <si>
    <t>K fertilisers</t>
  </si>
  <si>
    <t>Diesel</t>
  </si>
  <si>
    <t>Biodiesel</t>
  </si>
  <si>
    <t>Fuel oil</t>
  </si>
  <si>
    <t>Natural gas</t>
  </si>
  <si>
    <t>Hydrogen</t>
  </si>
  <si>
    <t>Electricity</t>
  </si>
  <si>
    <t>District heating</t>
  </si>
  <si>
    <t>Geothermal</t>
  </si>
  <si>
    <t>Woody biofuels</t>
  </si>
  <si>
    <t>1 kg ammonium nitrate = 0.35 kg of Nitrogen as N</t>
  </si>
  <si>
    <t>input_to_ecoinvent</t>
  </si>
  <si>
    <t>1 kg light fuel oil = 42.6 MJ --&gt; 11.8 kWh</t>
  </si>
  <si>
    <t>kg/kWh</t>
  </si>
  <si>
    <t>1 kg diesel = 42.8 MJ --&gt; 11.9 kWh</t>
  </si>
  <si>
    <t>1 m3 Natural Gas, High Pressure = 36 MJ --&gt; 10 kWh</t>
  </si>
  <si>
    <t>m3/kWh</t>
  </si>
  <si>
    <t>f_ecoinvent_activity</t>
  </si>
  <si>
    <t>f_ecoinvent_geography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</si>
</sst>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5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1" fillId="2" borderId="0" xfId="0" applyFont="1" applyFill="1"/>
    <xf numFmtId="0" fontId="1" fillId="0" borderId="0" xfId="0" applyFont="1"/>
    <xf numFmtId="165" fontId="0" fillId="0" borderId="0" xfId="0" applyNumberFormat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3"/>
  <sheetViews>
    <sheetView tabSelected="1" workbookViewId="0">
      <pane ySplit="1" topLeftCell="A2" activePane="bottomLeft" state="frozen"/>
      <selection pane="bottomLeft" activeCell="C42" sqref="C42"/>
    </sheetView>
  </sheetViews>
  <sheetFormatPr defaultRowHeight="15" x14ac:dyDescent="0.25"/>
  <cols>
    <col min="1" max="1" width="25.5703125" bestFit="1" customWidth="1"/>
    <col min="2" max="2" width="19.28515625" bestFit="1" customWidth="1"/>
    <col min="3" max="3" width="19.28515625" customWidth="1"/>
    <col min="4" max="4" width="22.28515625" bestFit="1" customWidth="1"/>
    <col min="5" max="5" width="18.7109375" bestFit="1" customWidth="1"/>
    <col min="6" max="6" width="6.5703125" bestFit="1" customWidth="1"/>
    <col min="7" max="7" width="9.5703125" customWidth="1"/>
    <col min="8" max="8" width="34.5703125" customWidth="1"/>
    <col min="9" max="9" width="31.7109375" customWidth="1"/>
  </cols>
  <sheetData>
    <row r="1" spans="1:9" x14ac:dyDescent="0.25">
      <c r="A1" s="3" t="s">
        <v>0</v>
      </c>
      <c r="B1" s="3" t="s">
        <v>5</v>
      </c>
      <c r="C1" s="3" t="s">
        <v>31</v>
      </c>
      <c r="D1" s="3" t="s">
        <v>32</v>
      </c>
      <c r="E1" s="3" t="s">
        <v>6</v>
      </c>
      <c r="F1" s="3" t="s">
        <v>7</v>
      </c>
      <c r="G1" s="3" t="s">
        <v>8</v>
      </c>
      <c r="H1" s="3" t="s">
        <v>9</v>
      </c>
      <c r="I1" s="3" t="s">
        <v>10</v>
      </c>
    </row>
    <row r="2" spans="1:9" x14ac:dyDescent="0.25">
      <c r="A2" s="2" t="s">
        <v>12</v>
      </c>
      <c r="B2" s="2"/>
      <c r="C2" s="2"/>
      <c r="D2" s="2"/>
      <c r="E2" s="2"/>
      <c r="F2" s="2"/>
      <c r="G2" s="2"/>
      <c r="H2" s="2"/>
      <c r="I2" s="2"/>
    </row>
    <row r="3" spans="1:9" s="5" customFormat="1" x14ac:dyDescent="0.25">
      <c r="A3" t="s">
        <v>15</v>
      </c>
      <c r="B3">
        <v>368</v>
      </c>
      <c r="C3"/>
      <c r="D3"/>
      <c r="E3" t="s">
        <v>25</v>
      </c>
      <c r="F3" s="4">
        <f>1/11.9</f>
        <v>8.4033613445378144E-2</v>
      </c>
      <c r="G3" t="s">
        <v>27</v>
      </c>
      <c r="H3" t="s">
        <v>28</v>
      </c>
      <c r="I3"/>
    </row>
    <row r="4" spans="1:9" s="5" customFormat="1" x14ac:dyDescent="0.25">
      <c r="A4" t="s">
        <v>16</v>
      </c>
      <c r="B4"/>
      <c r="C4"/>
      <c r="D4"/>
      <c r="E4"/>
      <c r="F4" s="4"/>
      <c r="G4"/>
      <c r="H4"/>
      <c r="I4"/>
    </row>
    <row r="5" spans="1:9" s="5" customFormat="1" x14ac:dyDescent="0.25">
      <c r="A5" t="s">
        <v>17</v>
      </c>
      <c r="B5">
        <v>4575</v>
      </c>
      <c r="C5"/>
      <c r="D5"/>
      <c r="E5" t="s">
        <v>25</v>
      </c>
      <c r="F5" s="4">
        <f>1/11.8</f>
        <v>8.4745762711864403E-2</v>
      </c>
      <c r="G5" t="s">
        <v>27</v>
      </c>
      <c r="H5" t="s">
        <v>26</v>
      </c>
      <c r="I5"/>
    </row>
    <row r="6" spans="1:9" s="5" customFormat="1" x14ac:dyDescent="0.25">
      <c r="A6" t="s">
        <v>18</v>
      </c>
      <c r="B6">
        <v>482</v>
      </c>
      <c r="C6"/>
      <c r="D6"/>
      <c r="E6" t="s">
        <v>25</v>
      </c>
      <c r="F6" s="4">
        <f>1/10</f>
        <v>0.1</v>
      </c>
      <c r="G6" t="s">
        <v>30</v>
      </c>
      <c r="H6" t="s">
        <v>29</v>
      </c>
      <c r="I6"/>
    </row>
    <row r="7" spans="1:9" s="5" customFormat="1" x14ac:dyDescent="0.25">
      <c r="A7" t="s">
        <v>19</v>
      </c>
      <c r="B7"/>
      <c r="C7"/>
      <c r="D7"/>
      <c r="E7"/>
      <c r="F7" s="4"/>
      <c r="G7"/>
      <c r="H7"/>
      <c r="I7"/>
    </row>
    <row r="8" spans="1:9" s="5" customFormat="1" x14ac:dyDescent="0.25">
      <c r="A8"/>
      <c r="B8"/>
      <c r="C8"/>
      <c r="D8"/>
      <c r="E8"/>
      <c r="F8" s="4"/>
      <c r="G8"/>
      <c r="H8"/>
      <c r="I8"/>
    </row>
    <row r="9" spans="1:9" s="5" customFormat="1" x14ac:dyDescent="0.25">
      <c r="A9" t="s">
        <v>20</v>
      </c>
      <c r="B9"/>
      <c r="C9"/>
      <c r="D9"/>
      <c r="E9"/>
      <c r="F9" s="4"/>
      <c r="G9"/>
      <c r="H9"/>
      <c r="I9"/>
    </row>
    <row r="10" spans="1:9" s="5" customFormat="1" x14ac:dyDescent="0.25">
      <c r="A10" t="s">
        <v>21</v>
      </c>
      <c r="B10"/>
      <c r="C10"/>
      <c r="D10"/>
      <c r="E10"/>
      <c r="F10" s="4"/>
      <c r="G10"/>
      <c r="H10"/>
      <c r="I10"/>
    </row>
    <row r="11" spans="1:9" s="5" customFormat="1" x14ac:dyDescent="0.25">
      <c r="A11" t="s">
        <v>22</v>
      </c>
      <c r="B11"/>
      <c r="C11"/>
      <c r="D11"/>
      <c r="E11"/>
      <c r="F11" s="4"/>
      <c r="G11"/>
      <c r="H11"/>
      <c r="I11"/>
    </row>
    <row r="12" spans="1:9" s="5" customFormat="1" x14ac:dyDescent="0.25">
      <c r="A12"/>
      <c r="B12"/>
      <c r="C12"/>
      <c r="D12"/>
      <c r="E12"/>
      <c r="F12" s="4"/>
      <c r="G12"/>
      <c r="H12"/>
      <c r="I12"/>
    </row>
    <row r="13" spans="1:9" s="5" customFormat="1" x14ac:dyDescent="0.25">
      <c r="A13" t="s">
        <v>23</v>
      </c>
      <c r="B13"/>
      <c r="C13"/>
      <c r="D13"/>
      <c r="E13"/>
      <c r="F13" s="4"/>
      <c r="G13"/>
      <c r="H13"/>
      <c r="I13"/>
    </row>
    <row r="14" spans="1:9" s="5" customFormat="1" x14ac:dyDescent="0.25">
      <c r="A14"/>
      <c r="B14"/>
      <c r="C14"/>
      <c r="D14"/>
      <c r="E14"/>
      <c r="F14" s="4"/>
      <c r="G14"/>
      <c r="H14"/>
      <c r="I14"/>
    </row>
    <row r="15" spans="1:9" s="5" customFormat="1" x14ac:dyDescent="0.25">
      <c r="A15"/>
      <c r="B15"/>
      <c r="C15"/>
      <c r="D15"/>
      <c r="E15"/>
      <c r="F15" s="4"/>
      <c r="G15"/>
      <c r="H15"/>
      <c r="I15"/>
    </row>
    <row r="16" spans="1:9" x14ac:dyDescent="0.25">
      <c r="A16" s="2" t="s">
        <v>2</v>
      </c>
      <c r="B16" s="1"/>
      <c r="C16" s="1"/>
      <c r="D16" s="1"/>
      <c r="E16" s="1"/>
      <c r="F16" s="1"/>
      <c r="G16" s="1"/>
      <c r="H16" s="1"/>
      <c r="I16" s="1"/>
    </row>
    <row r="17" spans="1:9" x14ac:dyDescent="0.25">
      <c r="A17" t="s">
        <v>1</v>
      </c>
      <c r="B17">
        <v>23770</v>
      </c>
      <c r="E17" t="s">
        <v>25</v>
      </c>
      <c r="F17" s="4">
        <f>1/0.35</f>
        <v>2.8571428571428572</v>
      </c>
      <c r="G17" t="s">
        <v>11</v>
      </c>
      <c r="H17" t="s">
        <v>24</v>
      </c>
    </row>
    <row r="18" spans="1:9" x14ac:dyDescent="0.25">
      <c r="A18" t="s">
        <v>3</v>
      </c>
      <c r="B18">
        <v>23770</v>
      </c>
      <c r="E18" t="s">
        <v>25</v>
      </c>
      <c r="F18" s="4">
        <f t="shared" ref="F18:F19" si="0">1/0.35</f>
        <v>2.8571428571428572</v>
      </c>
      <c r="G18" t="s">
        <v>11</v>
      </c>
      <c r="H18" t="s">
        <v>24</v>
      </c>
    </row>
    <row r="19" spans="1:9" x14ac:dyDescent="0.25">
      <c r="A19" t="s">
        <v>4</v>
      </c>
      <c r="B19">
        <v>23770</v>
      </c>
      <c r="E19" t="s">
        <v>25</v>
      </c>
      <c r="F19" s="4">
        <f t="shared" si="0"/>
        <v>2.8571428571428572</v>
      </c>
      <c r="G19" t="s">
        <v>11</v>
      </c>
      <c r="H19" t="s">
        <v>24</v>
      </c>
    </row>
    <row r="20" spans="1:9" x14ac:dyDescent="0.25">
      <c r="F20" s="4"/>
    </row>
    <row r="21" spans="1:9" x14ac:dyDescent="0.25">
      <c r="A21" s="2" t="s">
        <v>13</v>
      </c>
      <c r="B21" s="1"/>
      <c r="C21" s="1"/>
      <c r="D21" s="1"/>
      <c r="E21" s="1"/>
      <c r="F21" s="1"/>
      <c r="G21" s="1"/>
      <c r="H21" s="1"/>
      <c r="I21" s="1"/>
    </row>
    <row r="22" spans="1:9" x14ac:dyDescent="0.25">
      <c r="F22" s="4"/>
    </row>
    <row r="23" spans="1:9" x14ac:dyDescent="0.25">
      <c r="F23" s="4"/>
    </row>
    <row r="24" spans="1:9" x14ac:dyDescent="0.25">
      <c r="A24" s="2" t="s">
        <v>14</v>
      </c>
      <c r="B24" s="1"/>
      <c r="C24" s="1"/>
      <c r="D24" s="1"/>
      <c r="E24" s="1"/>
      <c r="F24" s="1"/>
      <c r="G24" s="1"/>
      <c r="H24" s="1"/>
      <c r="I24" s="1"/>
    </row>
    <row r="25" spans="1:9" x14ac:dyDescent="0.25">
      <c r="F25" s="4"/>
    </row>
    <row r="26" spans="1:9" x14ac:dyDescent="0.25">
      <c r="F26" s="4"/>
    </row>
    <row r="27" spans="1:9" x14ac:dyDescent="0.25">
      <c r="F27" s="4"/>
    </row>
    <row r="28" spans="1:9" x14ac:dyDescent="0.25">
      <c r="F28" s="4"/>
    </row>
    <row r="29" spans="1:9" x14ac:dyDescent="0.25">
      <c r="F29" s="4"/>
    </row>
    <row r="30" spans="1:9" x14ac:dyDescent="0.25">
      <c r="F30" s="4"/>
    </row>
    <row r="31" spans="1:9" x14ac:dyDescent="0.25">
      <c r="F31" s="4"/>
    </row>
    <row r="32" spans="1:9" x14ac:dyDescent="0.25">
      <c r="F32" s="4"/>
    </row>
    <row r="33" spans="6:6" x14ac:dyDescent="0.25">
      <c r="F33" s="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default</vt:lpstr>
    </vt:vector>
  </TitlesOfParts>
  <Company>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2023-10-31T13:10:39Z</dcterms:created>
  <dcterms:modified xsi:type="dcterms:W3CDTF">2023-10-31T19:00:27Z</dcterms:modified>
</cp:coreProperties>
</file>