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80" i="1" l="1"/>
  <c r="M278" i="1" l="1"/>
  <c r="M279" i="1"/>
  <c r="M277" i="1"/>
  <c r="M244" i="1"/>
  <c r="M243" i="1"/>
  <c r="M242" i="1"/>
  <c r="M150" i="1" l="1"/>
  <c r="M149" i="1"/>
  <c r="M138" i="1"/>
  <c r="M137" i="1"/>
  <c r="M157" i="1"/>
  <c r="P146" i="1" l="1"/>
  <c r="O146" i="1"/>
  <c r="M146" i="1"/>
  <c r="O116" i="1"/>
  <c r="O69" i="1" l="1"/>
  <c r="O72" i="1" s="1"/>
  <c r="O75" i="1" s="1"/>
  <c r="M71" i="1"/>
  <c r="M74" i="1" s="1"/>
  <c r="M77" i="1" s="1"/>
  <c r="M70" i="1"/>
  <c r="M73" i="1" s="1"/>
  <c r="M76" i="1" s="1"/>
  <c r="M69" i="1"/>
  <c r="M72" i="1" s="1"/>
  <c r="M75" i="1" s="1"/>
  <c r="O84" i="1" l="1"/>
  <c r="M86" i="1"/>
  <c r="M85" i="1"/>
  <c r="M84" i="1"/>
  <c r="O63" i="1"/>
  <c r="M65" i="1"/>
  <c r="M64" i="1"/>
  <c r="M63" i="1"/>
  <c r="M62" i="1"/>
  <c r="M61" i="1"/>
  <c r="O60" i="1"/>
  <c r="M60" i="1"/>
  <c r="O37" i="1"/>
  <c r="M39" i="1"/>
  <c r="M38" i="1"/>
  <c r="M37" i="1"/>
  <c r="O45" i="1"/>
  <c r="O97" i="1" s="1"/>
  <c r="M47" i="1"/>
  <c r="M102" i="1" s="1"/>
  <c r="M46" i="1"/>
  <c r="M98" i="1" s="1"/>
  <c r="M45" i="1"/>
  <c r="M89" i="1" s="1"/>
  <c r="O95" i="1"/>
  <c r="O87" i="1"/>
  <c r="O25" i="1"/>
  <c r="M26" i="1"/>
  <c r="M27" i="1"/>
  <c r="M28" i="1"/>
  <c r="M25" i="1"/>
  <c r="O89" i="1" l="1"/>
  <c r="M93" i="1"/>
  <c r="M94" i="1"/>
  <c r="O100" i="1"/>
  <c r="M91" i="1"/>
  <c r="O92" i="1"/>
  <c r="M101" i="1"/>
  <c r="M99" i="1"/>
  <c r="M97" i="1"/>
  <c r="M90" i="1"/>
  <c r="M100" i="1"/>
  <c r="M92" i="1"/>
  <c r="M148" i="1"/>
  <c r="M147" i="1"/>
  <c r="M117" i="1"/>
  <c r="M118" i="1"/>
  <c r="M116" i="1"/>
  <c r="M186" i="1"/>
  <c r="M185" i="1"/>
  <c r="M88" i="1"/>
  <c r="M87" i="1"/>
  <c r="M96" i="1"/>
  <c r="M95" i="1"/>
</calcChain>
</file>

<file path=xl/sharedStrings.xml><?xml version="1.0" encoding="utf-8"?>
<sst xmlns="http://schemas.openxmlformats.org/spreadsheetml/2006/main" count="1204" uniqueCount="206">
  <si>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</si>
  <si>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</si>
  <si>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</si>
  <si>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</si>
  <si>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</si>
  <si>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</si>
  <si>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</si>
  <si>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</si>
  <si>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</si>
  <si>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</si>
  <si>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</si>
  <si>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</si>
  <si>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</si>
  <si>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</si>
  <si>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</si>
  <si>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</si>
  <si>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</si>
  <si>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</si>
  <si>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</si>
  <si>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</si>
  <si>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</si>
  <si>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</si>
  <si>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</si>
  <si>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</si>
  <si>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</si>
  <si>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</si>
  <si>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</si>
  <si>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</si>
  <si>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</si>
  <si>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</si>
  <si>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</si>
  <si>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</si>
  <si>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</si>
  <si>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</si>
  <si>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</si>
  <si>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</si>
  <si>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</si>
  <si>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</si>
  <si>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</si>
  <si>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</si>
  <si>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</si>
  <si>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</si>
  <si>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</si>
  <si>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</si>
  <si>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</si>
  <si>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</si>
  <si>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</si>
  <si>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</si>
  <si>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</si>
  <si>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</si>
  <si>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</si>
  <si>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</si>
  <si>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</si>
  <si>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</si>
  <si>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</si>
  <si>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</si>
  <si>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</si>
  <si>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</si>
  <si>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</si>
  <si>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</si>
  <si>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</si>
  <si>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</si>
  <si>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</si>
  <si>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</si>
  <si>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</si>
  <si>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</si>
  <si>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</si>
  <si>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</si>
  <si>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</si>
  <si>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</si>
  <si>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</si>
  <si>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</si>
  <si>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</si>
  <si>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</si>
  <si>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</si>
  <si>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</si>
  <si>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</si>
  <si>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</si>
  <si>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</si>
  <si>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</si>
  <si>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</si>
  <si>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</si>
  <si>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</si>
  <si>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</si>
  <si>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</si>
  <si>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</si>
  <si>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</si>
  <si>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</si>
  <si>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</si>
  <si>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</si>
  <si>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</si>
  <si>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</si>
  <si>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</si>
  <si>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</si>
  <si>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</si>
  <si>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</si>
  <si>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</si>
  <si>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</si>
  <si>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</si>
  <si>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</si>
  <si>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</si>
  <si>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</si>
  <si>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</si>
  <si>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</si>
  <si>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</si>
  <si>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</si>
  <si>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</si>
  <si>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</si>
  <si>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</si>
  <si>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</si>
  <si>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</si>
  <si>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</si>
  <si>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</si>
  <si>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</si>
  <si>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</si>
  <si>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</si>
  <si>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</si>
  <si>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r>
      <t xml:space="preserve">TAN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</si>
  <si>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TAN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</si>
  <si>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</si>
  <si>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</si>
  <si>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</si>
  <si>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</si>
  <si>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</si>
  <si>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</si>
  <si>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</si>
  <si>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</si>
  <si>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</si>
  <si>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</si>
  <si>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</si>
  <si>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</si>
  <si>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</si>
  <si>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</si>
  <si>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Swedish IIR 2023. Table 5-24</t>
  </si>
  <si>
    <t>Swedish IIR 2023. Table 5-25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</si>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</sst>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7"/>
  <sheetViews>
    <sheetView tabSelected="1" zoomScale="80" zoomScaleNormal="80" workbookViewId="0">
      <pane ySplit="1" topLeftCell="A264" activePane="bottomLeft" state="frozen"/>
      <selection pane="bottomLeft" activeCell="O298" sqref="O298"/>
    </sheetView>
  </sheetViews>
  <sheetFormatPr defaultRowHeight="15" x14ac:dyDescent="0.25"/>
  <cols>
    <col min="1" max="2" width="21" customWidth="1"/>
    <col min="3" max="3" width="31.28515625" bestFit="1" customWidth="1"/>
    <col min="4" max="4" width="14.5703125" bestFit="1" customWidth="1"/>
    <col min="5" max="5" width="6" bestFit="1" customWidth="1"/>
    <col min="6" max="6" width="28.42578125" bestFit="1" customWidth="1"/>
    <col min="7" max="10" width="11.140625" customWidth="1"/>
    <col min="11" max="11" width="12.140625" bestFit="1" customWidth="1"/>
    <col min="12" max="12" width="23.7109375" customWidth="1"/>
    <col min="13" max="13" width="11" customWidth="1"/>
    <col min="14" max="14" width="9.5703125" bestFit="1" customWidth="1"/>
    <col min="15" max="15" width="35.42578125" customWidth="1"/>
    <col min="16" max="16" width="27.42578125" customWidth="1"/>
  </cols>
  <sheetData>
    <row r="1" spans="1:16" x14ac:dyDescent="0.25">
      <c r="A1" s="1" t="s">
        <v>0</v>
      </c>
      <c r="B1" s="1" t="s">
        <v>195</v>
      </c>
      <c r="C1" s="1" t="s">
        <v>189</v>
      </c>
      <c r="D1" s="1" t="s">
        <v>90</v>
      </c>
      <c r="E1" s="1" t="s">
        <v>8</v>
      </c>
      <c r="F1" s="1" t="s">
        <v>160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130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</row>
    <row r="3" spans="1:16" x14ac:dyDescent="0.25">
      <c r="A3" s="2" t="s">
        <v>123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x14ac:dyDescent="0.25">
      <c r="D4" t="s">
        <v>113</v>
      </c>
      <c r="L4" t="s">
        <v>120</v>
      </c>
      <c r="M4">
        <v>91</v>
      </c>
      <c r="N4" t="s">
        <v>112</v>
      </c>
      <c r="O4" t="s">
        <v>121</v>
      </c>
      <c r="P4" t="s">
        <v>122</v>
      </c>
    </row>
    <row r="5" spans="1:16" x14ac:dyDescent="0.25">
      <c r="L5" t="s">
        <v>115</v>
      </c>
      <c r="M5">
        <v>22</v>
      </c>
      <c r="N5" t="s">
        <v>114</v>
      </c>
      <c r="O5" t="s">
        <v>119</v>
      </c>
      <c r="P5" t="s">
        <v>116</v>
      </c>
    </row>
    <row r="7" spans="1:16" x14ac:dyDescent="0.25">
      <c r="A7" s="2" t="s">
        <v>163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D8" t="s">
        <v>113</v>
      </c>
      <c r="L8" t="s">
        <v>159</v>
      </c>
      <c r="M8">
        <v>0</v>
      </c>
      <c r="N8" t="s">
        <v>127</v>
      </c>
      <c r="O8" s="5" t="s">
        <v>164</v>
      </c>
    </row>
    <row r="9" spans="1:16" x14ac:dyDescent="0.25">
      <c r="D9" t="s">
        <v>162</v>
      </c>
      <c r="F9" t="s">
        <v>125</v>
      </c>
      <c r="L9" t="s">
        <v>159</v>
      </c>
      <c r="M9">
        <v>59</v>
      </c>
      <c r="N9" t="s">
        <v>127</v>
      </c>
      <c r="O9" s="7" t="s">
        <v>129</v>
      </c>
      <c r="P9" t="s">
        <v>128</v>
      </c>
    </row>
    <row r="10" spans="1:16" x14ac:dyDescent="0.25">
      <c r="D10" t="s">
        <v>162</v>
      </c>
      <c r="F10" t="s">
        <v>126</v>
      </c>
      <c r="L10" t="s">
        <v>159</v>
      </c>
      <c r="M10">
        <v>7</v>
      </c>
      <c r="N10" t="s">
        <v>127</v>
      </c>
      <c r="P10" t="s">
        <v>133</v>
      </c>
    </row>
    <row r="11" spans="1:16" x14ac:dyDescent="0.25">
      <c r="D11" t="s">
        <v>162</v>
      </c>
      <c r="F11" t="s">
        <v>124</v>
      </c>
      <c r="L11" t="s">
        <v>159</v>
      </c>
      <c r="M11">
        <v>34</v>
      </c>
      <c r="N11" t="s">
        <v>127</v>
      </c>
      <c r="P11" t="s">
        <v>134</v>
      </c>
    </row>
    <row r="13" spans="1:16" x14ac:dyDescent="0.25">
      <c r="A13" s="2" t="s">
        <v>117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/>
      <c r="P13" s="3"/>
    </row>
    <row r="14" spans="1:16" x14ac:dyDescent="0.25">
      <c r="L14" s="6" t="s">
        <v>10</v>
      </c>
      <c r="M14" s="6">
        <v>0</v>
      </c>
      <c r="N14" s="6"/>
      <c r="O14" s="6" t="s">
        <v>15</v>
      </c>
    </row>
    <row r="15" spans="1:16" x14ac:dyDescent="0.25">
      <c r="L15" s="6" t="s">
        <v>11</v>
      </c>
      <c r="M15" s="6">
        <v>0</v>
      </c>
      <c r="N15" s="6"/>
      <c r="O15" s="6" t="s">
        <v>15</v>
      </c>
    </row>
    <row r="16" spans="1:16" x14ac:dyDescent="0.25">
      <c r="L16" s="6" t="s">
        <v>12</v>
      </c>
      <c r="M16" s="6">
        <v>0</v>
      </c>
      <c r="N16" s="6"/>
      <c r="O16" s="6" t="s">
        <v>15</v>
      </c>
    </row>
    <row r="17" spans="1:15" x14ac:dyDescent="0.25">
      <c r="A17" t="s">
        <v>7</v>
      </c>
      <c r="L17" t="s">
        <v>10</v>
      </c>
      <c r="M17">
        <v>-0.80359999999999998</v>
      </c>
      <c r="O17" t="s">
        <v>101</v>
      </c>
    </row>
    <row r="18" spans="1:15" x14ac:dyDescent="0.25">
      <c r="A18" t="s">
        <v>7</v>
      </c>
      <c r="L18" t="s">
        <v>11</v>
      </c>
      <c r="M18">
        <v>24.088999999999999</v>
      </c>
    </row>
    <row r="19" spans="1:15" x14ac:dyDescent="0.25">
      <c r="A19" t="s">
        <v>7</v>
      </c>
      <c r="L19" t="s">
        <v>12</v>
      </c>
      <c r="M19">
        <v>50.213999999999999</v>
      </c>
    </row>
    <row r="20" spans="1:15" x14ac:dyDescent="0.25">
      <c r="A20" t="s">
        <v>7</v>
      </c>
      <c r="E20" t="s">
        <v>9</v>
      </c>
      <c r="L20" t="s">
        <v>12</v>
      </c>
      <c r="M20">
        <v>55.213999999999999</v>
      </c>
    </row>
    <row r="21" spans="1:15" x14ac:dyDescent="0.25">
      <c r="A21" t="s">
        <v>7</v>
      </c>
      <c r="C21" t="s">
        <v>96</v>
      </c>
      <c r="L21" t="s">
        <v>10</v>
      </c>
      <c r="M21">
        <v>-0.71430000000000005</v>
      </c>
      <c r="O21" t="s">
        <v>100</v>
      </c>
    </row>
    <row r="22" spans="1:15" x14ac:dyDescent="0.25">
      <c r="A22" t="s">
        <v>7</v>
      </c>
      <c r="C22" t="s">
        <v>96</v>
      </c>
      <c r="L22" t="s">
        <v>11</v>
      </c>
      <c r="M22">
        <v>23.143000000000001</v>
      </c>
    </row>
    <row r="23" spans="1:15" x14ac:dyDescent="0.25">
      <c r="A23" t="s">
        <v>7</v>
      </c>
      <c r="C23" t="s">
        <v>96</v>
      </c>
      <c r="L23" t="s">
        <v>12</v>
      </c>
      <c r="M23">
        <v>42.570999999999998</v>
      </c>
    </row>
    <row r="24" spans="1:15" x14ac:dyDescent="0.25">
      <c r="A24" t="s">
        <v>7</v>
      </c>
      <c r="C24" t="s">
        <v>96</v>
      </c>
      <c r="E24" t="s">
        <v>9</v>
      </c>
      <c r="L24" t="s">
        <v>12</v>
      </c>
      <c r="M24">
        <v>47.570999999999998</v>
      </c>
    </row>
    <row r="25" spans="1:15" x14ac:dyDescent="0.25">
      <c r="A25" t="s">
        <v>7</v>
      </c>
      <c r="C25" t="s">
        <v>95</v>
      </c>
      <c r="L25" t="s">
        <v>10</v>
      </c>
      <c r="M25" s="9">
        <f>M21</f>
        <v>-0.71430000000000005</v>
      </c>
      <c r="O25" s="9" t="str">
        <f>O21</f>
        <v>Höstvete foder/bröd, södra götaland</v>
      </c>
    </row>
    <row r="26" spans="1:15" x14ac:dyDescent="0.25">
      <c r="A26" t="s">
        <v>7</v>
      </c>
      <c r="C26" t="s">
        <v>95</v>
      </c>
      <c r="L26" t="s">
        <v>11</v>
      </c>
      <c r="M26" s="9">
        <f t="shared" ref="M26:M28" si="0">M22</f>
        <v>23.143000000000001</v>
      </c>
    </row>
    <row r="27" spans="1:15" x14ac:dyDescent="0.25">
      <c r="A27" t="s">
        <v>7</v>
      </c>
      <c r="C27" t="s">
        <v>95</v>
      </c>
      <c r="L27" t="s">
        <v>12</v>
      </c>
      <c r="M27" s="9">
        <f t="shared" si="0"/>
        <v>42.570999999999998</v>
      </c>
    </row>
    <row r="28" spans="1:15" x14ac:dyDescent="0.25">
      <c r="A28" t="s">
        <v>7</v>
      </c>
      <c r="C28" t="s">
        <v>95</v>
      </c>
      <c r="E28" t="s">
        <v>9</v>
      </c>
      <c r="L28" t="s">
        <v>12</v>
      </c>
      <c r="M28" s="9">
        <f t="shared" si="0"/>
        <v>47.570999999999998</v>
      </c>
    </row>
    <row r="29" spans="1:15" x14ac:dyDescent="0.25">
      <c r="A29" t="s">
        <v>16</v>
      </c>
      <c r="L29" t="s">
        <v>11</v>
      </c>
      <c r="M29">
        <v>20</v>
      </c>
    </row>
    <row r="30" spans="1:15" x14ac:dyDescent="0.25">
      <c r="A30" t="s">
        <v>16</v>
      </c>
      <c r="L30" t="s">
        <v>12</v>
      </c>
      <c r="M30">
        <v>70</v>
      </c>
    </row>
    <row r="31" spans="1:15" x14ac:dyDescent="0.25">
      <c r="A31" t="s">
        <v>27</v>
      </c>
      <c r="L31" t="s">
        <v>10</v>
      </c>
      <c r="M31">
        <v>-1.7857000000000001</v>
      </c>
      <c r="O31" t="s">
        <v>26</v>
      </c>
    </row>
    <row r="32" spans="1:15" x14ac:dyDescent="0.25">
      <c r="A32" t="s">
        <v>27</v>
      </c>
      <c r="L32" t="s">
        <v>11</v>
      </c>
      <c r="M32">
        <v>30.786000000000001</v>
      </c>
    </row>
    <row r="33" spans="1:15" x14ac:dyDescent="0.25">
      <c r="A33" t="s">
        <v>27</v>
      </c>
      <c r="L33" t="s">
        <v>12</v>
      </c>
      <c r="M33">
        <v>25</v>
      </c>
    </row>
    <row r="34" spans="1:15" x14ac:dyDescent="0.25">
      <c r="A34" t="s">
        <v>27</v>
      </c>
      <c r="C34" t="s">
        <v>96</v>
      </c>
      <c r="L34" t="s">
        <v>10</v>
      </c>
      <c r="M34">
        <v>-1.25</v>
      </c>
      <c r="O34" t="s">
        <v>103</v>
      </c>
    </row>
    <row r="35" spans="1:15" x14ac:dyDescent="0.25">
      <c r="A35" t="s">
        <v>27</v>
      </c>
      <c r="C35" t="s">
        <v>96</v>
      </c>
      <c r="L35" t="s">
        <v>11</v>
      </c>
      <c r="M35">
        <v>27.75</v>
      </c>
    </row>
    <row r="36" spans="1:15" x14ac:dyDescent="0.25">
      <c r="A36" t="s">
        <v>27</v>
      </c>
      <c r="C36" t="s">
        <v>96</v>
      </c>
      <c r="L36" t="s">
        <v>12</v>
      </c>
      <c r="M36">
        <v>18.25</v>
      </c>
    </row>
    <row r="37" spans="1:15" x14ac:dyDescent="0.25">
      <c r="A37" t="s">
        <v>27</v>
      </c>
      <c r="C37" t="s">
        <v>95</v>
      </c>
      <c r="L37" t="s">
        <v>10</v>
      </c>
      <c r="M37" s="9">
        <f>M34</f>
        <v>-1.25</v>
      </c>
      <c r="N37" s="9"/>
      <c r="O37" s="9" t="str">
        <f>O34</f>
        <v>Råg, södra götaland</v>
      </c>
    </row>
    <row r="38" spans="1:15" x14ac:dyDescent="0.25">
      <c r="A38" t="s">
        <v>27</v>
      </c>
      <c r="C38" t="s">
        <v>95</v>
      </c>
      <c r="L38" t="s">
        <v>11</v>
      </c>
      <c r="M38" s="9">
        <f>M35</f>
        <v>27.75</v>
      </c>
      <c r="N38" s="9"/>
      <c r="O38" s="9"/>
    </row>
    <row r="39" spans="1:15" x14ac:dyDescent="0.25">
      <c r="A39" t="s">
        <v>27</v>
      </c>
      <c r="C39" t="s">
        <v>95</v>
      </c>
      <c r="L39" t="s">
        <v>12</v>
      </c>
      <c r="M39" s="9">
        <f>M36</f>
        <v>18.25</v>
      </c>
      <c r="N39" s="9"/>
      <c r="O39" s="9"/>
    </row>
    <row r="40" spans="1:15" x14ac:dyDescent="0.25">
      <c r="A40" t="s">
        <v>23</v>
      </c>
      <c r="L40" t="s">
        <v>11</v>
      </c>
      <c r="M40">
        <v>16.856999999999999</v>
      </c>
      <c r="O40" t="s">
        <v>22</v>
      </c>
    </row>
    <row r="41" spans="1:15" x14ac:dyDescent="0.25">
      <c r="A41" t="s">
        <v>23</v>
      </c>
      <c r="L41" t="s">
        <v>12</v>
      </c>
      <c r="M41">
        <v>59.143000000000001</v>
      </c>
    </row>
    <row r="42" spans="1:15" x14ac:dyDescent="0.25">
      <c r="A42" t="s">
        <v>23</v>
      </c>
      <c r="C42" t="s">
        <v>96</v>
      </c>
      <c r="L42" t="s">
        <v>10</v>
      </c>
      <c r="M42">
        <v>-0.71430000000000005</v>
      </c>
      <c r="O42" t="s">
        <v>102</v>
      </c>
    </row>
    <row r="43" spans="1:15" x14ac:dyDescent="0.25">
      <c r="A43" t="s">
        <v>23</v>
      </c>
      <c r="C43" t="s">
        <v>96</v>
      </c>
      <c r="L43" t="s">
        <v>11</v>
      </c>
      <c r="M43">
        <v>23.143000000000001</v>
      </c>
    </row>
    <row r="44" spans="1:15" x14ac:dyDescent="0.25">
      <c r="A44" t="s">
        <v>23</v>
      </c>
      <c r="C44" t="s">
        <v>96</v>
      </c>
      <c r="L44" t="s">
        <v>12</v>
      </c>
      <c r="M44">
        <v>37.570999999999998</v>
      </c>
    </row>
    <row r="45" spans="1:15" x14ac:dyDescent="0.25">
      <c r="A45" t="s">
        <v>23</v>
      </c>
      <c r="C45" t="s">
        <v>95</v>
      </c>
      <c r="L45" t="s">
        <v>10</v>
      </c>
      <c r="M45" s="9">
        <f>M42</f>
        <v>-0.71430000000000005</v>
      </c>
      <c r="O45" s="9" t="str">
        <f>O42</f>
        <v>Rågvete/höstkorn, södra götaland</v>
      </c>
    </row>
    <row r="46" spans="1:15" x14ac:dyDescent="0.25">
      <c r="A46" t="s">
        <v>23</v>
      </c>
      <c r="C46" t="s">
        <v>95</v>
      </c>
      <c r="L46" t="s">
        <v>11</v>
      </c>
      <c r="M46" s="9">
        <f>M43</f>
        <v>23.143000000000001</v>
      </c>
    </row>
    <row r="47" spans="1:15" x14ac:dyDescent="0.25">
      <c r="A47" t="s">
        <v>23</v>
      </c>
      <c r="C47" t="s">
        <v>95</v>
      </c>
      <c r="L47" t="s">
        <v>12</v>
      </c>
      <c r="M47" s="9">
        <f>M44</f>
        <v>37.570999999999998</v>
      </c>
    </row>
    <row r="48" spans="1:15" x14ac:dyDescent="0.25">
      <c r="A48" t="s">
        <v>17</v>
      </c>
      <c r="L48" t="s">
        <v>10</v>
      </c>
      <c r="M48">
        <v>-1.0713999999999999</v>
      </c>
      <c r="O48" t="s">
        <v>18</v>
      </c>
    </row>
    <row r="49" spans="1:15" x14ac:dyDescent="0.25">
      <c r="A49" t="s">
        <v>17</v>
      </c>
      <c r="L49" t="s">
        <v>11</v>
      </c>
      <c r="M49">
        <v>23.928999999999998</v>
      </c>
    </row>
    <row r="50" spans="1:15" x14ac:dyDescent="0.25">
      <c r="A50" t="s">
        <v>17</v>
      </c>
      <c r="L50" t="s">
        <v>12</v>
      </c>
      <c r="M50">
        <v>32</v>
      </c>
    </row>
    <row r="51" spans="1:15" x14ac:dyDescent="0.25">
      <c r="A51" t="s">
        <v>17</v>
      </c>
      <c r="E51" t="s">
        <v>9</v>
      </c>
      <c r="L51" t="s">
        <v>10</v>
      </c>
      <c r="M51" s="8">
        <v>1E-13</v>
      </c>
      <c r="O51" t="s">
        <v>19</v>
      </c>
    </row>
    <row r="52" spans="1:15" x14ac:dyDescent="0.25">
      <c r="A52" t="s">
        <v>17</v>
      </c>
      <c r="E52" t="s">
        <v>9</v>
      </c>
      <c r="L52" t="s">
        <v>11</v>
      </c>
      <c r="M52">
        <v>15</v>
      </c>
    </row>
    <row r="53" spans="1:15" x14ac:dyDescent="0.25">
      <c r="A53" t="s">
        <v>17</v>
      </c>
      <c r="E53" t="s">
        <v>9</v>
      </c>
      <c r="L53" t="s">
        <v>12</v>
      </c>
      <c r="M53">
        <v>45</v>
      </c>
    </row>
    <row r="54" spans="1:15" x14ac:dyDescent="0.25">
      <c r="A54" t="s">
        <v>17</v>
      </c>
      <c r="C54" t="s">
        <v>96</v>
      </c>
      <c r="L54" t="s">
        <v>10</v>
      </c>
      <c r="M54">
        <v>-1.25</v>
      </c>
      <c r="O54" t="s">
        <v>104</v>
      </c>
    </row>
    <row r="55" spans="1:15" x14ac:dyDescent="0.25">
      <c r="A55" t="s">
        <v>17</v>
      </c>
      <c r="C55" t="s">
        <v>96</v>
      </c>
      <c r="L55" t="s">
        <v>11</v>
      </c>
      <c r="M55">
        <v>25.25</v>
      </c>
    </row>
    <row r="56" spans="1:15" x14ac:dyDescent="0.25">
      <c r="A56" t="s">
        <v>17</v>
      </c>
      <c r="C56" t="s">
        <v>96</v>
      </c>
      <c r="L56" t="s">
        <v>12</v>
      </c>
      <c r="M56">
        <v>19.75</v>
      </c>
    </row>
    <row r="57" spans="1:15" x14ac:dyDescent="0.25">
      <c r="A57" t="s">
        <v>17</v>
      </c>
      <c r="C57" t="s">
        <v>96</v>
      </c>
      <c r="E57" t="s">
        <v>9</v>
      </c>
      <c r="L57" t="s">
        <v>10</v>
      </c>
      <c r="M57" s="8">
        <v>-2E-12</v>
      </c>
      <c r="O57" t="s">
        <v>105</v>
      </c>
    </row>
    <row r="58" spans="1:15" x14ac:dyDescent="0.25">
      <c r="A58" t="s">
        <v>17</v>
      </c>
      <c r="C58" t="s">
        <v>96</v>
      </c>
      <c r="E58" t="s">
        <v>9</v>
      </c>
      <c r="L58" t="s">
        <v>11</v>
      </c>
      <c r="M58">
        <v>15</v>
      </c>
    </row>
    <row r="59" spans="1:15" x14ac:dyDescent="0.25">
      <c r="A59" t="s">
        <v>17</v>
      </c>
      <c r="C59" t="s">
        <v>96</v>
      </c>
      <c r="E59" t="s">
        <v>9</v>
      </c>
      <c r="L59" t="s">
        <v>12</v>
      </c>
      <c r="M59">
        <v>45</v>
      </c>
    </row>
    <row r="60" spans="1:15" x14ac:dyDescent="0.25">
      <c r="A60" t="s">
        <v>17</v>
      </c>
      <c r="C60" t="s">
        <v>95</v>
      </c>
      <c r="L60" t="s">
        <v>10</v>
      </c>
      <c r="M60" s="9">
        <f t="shared" ref="M60:M65" si="1">M54</f>
        <v>-1.25</v>
      </c>
      <c r="O60" s="9" t="str">
        <f>O54</f>
        <v>Korn foder, södra götaland</v>
      </c>
    </row>
    <row r="61" spans="1:15" x14ac:dyDescent="0.25">
      <c r="A61" t="s">
        <v>17</v>
      </c>
      <c r="C61" t="s">
        <v>95</v>
      </c>
      <c r="L61" t="s">
        <v>11</v>
      </c>
      <c r="M61" s="9">
        <f t="shared" si="1"/>
        <v>25.25</v>
      </c>
    </row>
    <row r="62" spans="1:15" x14ac:dyDescent="0.25">
      <c r="A62" t="s">
        <v>17</v>
      </c>
      <c r="C62" t="s">
        <v>95</v>
      </c>
      <c r="L62" t="s">
        <v>12</v>
      </c>
      <c r="M62" s="9">
        <f t="shared" si="1"/>
        <v>19.75</v>
      </c>
    </row>
    <row r="63" spans="1:15" x14ac:dyDescent="0.25">
      <c r="A63" t="s">
        <v>17</v>
      </c>
      <c r="C63" t="s">
        <v>95</v>
      </c>
      <c r="E63" t="s">
        <v>9</v>
      </c>
      <c r="L63" t="s">
        <v>10</v>
      </c>
      <c r="M63" s="9">
        <f t="shared" si="1"/>
        <v>-2E-12</v>
      </c>
      <c r="O63" s="9" t="str">
        <f>O57</f>
        <v>Korn, malt södra götaland</v>
      </c>
    </row>
    <row r="64" spans="1:15" x14ac:dyDescent="0.25">
      <c r="A64" t="s">
        <v>17</v>
      </c>
      <c r="C64" t="s">
        <v>95</v>
      </c>
      <c r="E64" t="s">
        <v>9</v>
      </c>
      <c r="L64" t="s">
        <v>11</v>
      </c>
      <c r="M64" s="9">
        <f t="shared" si="1"/>
        <v>15</v>
      </c>
    </row>
    <row r="65" spans="1:15" x14ac:dyDescent="0.25">
      <c r="A65" t="s">
        <v>17</v>
      </c>
      <c r="C65" t="s">
        <v>95</v>
      </c>
      <c r="E65" t="s">
        <v>9</v>
      </c>
      <c r="L65" t="s">
        <v>12</v>
      </c>
      <c r="M65" s="9">
        <f t="shared" si="1"/>
        <v>45</v>
      </c>
    </row>
    <row r="66" spans="1:15" x14ac:dyDescent="0.25">
      <c r="A66" t="s">
        <v>17</v>
      </c>
      <c r="C66" t="s">
        <v>97</v>
      </c>
      <c r="L66" t="s">
        <v>10</v>
      </c>
      <c r="M66" s="5">
        <v>0</v>
      </c>
      <c r="O66" t="s">
        <v>107</v>
      </c>
    </row>
    <row r="67" spans="1:15" x14ac:dyDescent="0.25">
      <c r="A67" t="s">
        <v>17</v>
      </c>
      <c r="C67" t="s">
        <v>97</v>
      </c>
      <c r="L67" t="s">
        <v>11</v>
      </c>
      <c r="M67" s="5">
        <v>20</v>
      </c>
    </row>
    <row r="68" spans="1:15" x14ac:dyDescent="0.25">
      <c r="A68" t="s">
        <v>17</v>
      </c>
      <c r="C68" t="s">
        <v>97</v>
      </c>
      <c r="L68" t="s">
        <v>12</v>
      </c>
      <c r="M68" s="5">
        <v>35</v>
      </c>
    </row>
    <row r="69" spans="1:15" x14ac:dyDescent="0.25">
      <c r="A69" t="s">
        <v>17</v>
      </c>
      <c r="C69" t="s">
        <v>97</v>
      </c>
      <c r="E69" t="s">
        <v>9</v>
      </c>
      <c r="L69" t="s">
        <v>10</v>
      </c>
      <c r="M69" s="9">
        <f t="shared" ref="M69:M77" si="2">M66</f>
        <v>0</v>
      </c>
      <c r="O69" s="9" t="str">
        <f>O66</f>
        <v>Korn, norrland</v>
      </c>
    </row>
    <row r="70" spans="1:15" x14ac:dyDescent="0.25">
      <c r="A70" t="s">
        <v>17</v>
      </c>
      <c r="C70" t="s">
        <v>97</v>
      </c>
      <c r="E70" t="s">
        <v>9</v>
      </c>
      <c r="L70" t="s">
        <v>11</v>
      </c>
      <c r="M70" s="9">
        <f t="shared" si="2"/>
        <v>20</v>
      </c>
    </row>
    <row r="71" spans="1:15" x14ac:dyDescent="0.25">
      <c r="A71" t="s">
        <v>17</v>
      </c>
      <c r="C71" t="s">
        <v>97</v>
      </c>
      <c r="E71" t="s">
        <v>9</v>
      </c>
      <c r="L71" t="s">
        <v>12</v>
      </c>
      <c r="M71" s="9">
        <f t="shared" si="2"/>
        <v>35</v>
      </c>
    </row>
    <row r="72" spans="1:15" x14ac:dyDescent="0.25">
      <c r="A72" t="s">
        <v>17</v>
      </c>
      <c r="C72" t="s">
        <v>98</v>
      </c>
      <c r="L72" t="s">
        <v>10</v>
      </c>
      <c r="M72" s="9">
        <f t="shared" si="2"/>
        <v>0</v>
      </c>
      <c r="O72" s="9" t="str">
        <f>O69</f>
        <v>Korn, norrland</v>
      </c>
    </row>
    <row r="73" spans="1:15" x14ac:dyDescent="0.25">
      <c r="A73" t="s">
        <v>17</v>
      </c>
      <c r="C73" t="s">
        <v>98</v>
      </c>
      <c r="L73" t="s">
        <v>11</v>
      </c>
      <c r="M73" s="9">
        <f t="shared" si="2"/>
        <v>20</v>
      </c>
    </row>
    <row r="74" spans="1:15" x14ac:dyDescent="0.25">
      <c r="A74" t="s">
        <v>17</v>
      </c>
      <c r="C74" t="s">
        <v>98</v>
      </c>
      <c r="L74" t="s">
        <v>12</v>
      </c>
      <c r="M74" s="9">
        <f t="shared" si="2"/>
        <v>35</v>
      </c>
    </row>
    <row r="75" spans="1:15" x14ac:dyDescent="0.25">
      <c r="A75" t="s">
        <v>17</v>
      </c>
      <c r="C75" t="s">
        <v>98</v>
      </c>
      <c r="E75" t="s">
        <v>9</v>
      </c>
      <c r="L75" t="s">
        <v>10</v>
      </c>
      <c r="M75" s="9">
        <f t="shared" si="2"/>
        <v>0</v>
      </c>
      <c r="O75" s="9" t="str">
        <f>O72</f>
        <v>Korn, norrland</v>
      </c>
    </row>
    <row r="76" spans="1:15" x14ac:dyDescent="0.25">
      <c r="A76" t="s">
        <v>17</v>
      </c>
      <c r="C76" t="s">
        <v>98</v>
      </c>
      <c r="E76" t="s">
        <v>9</v>
      </c>
      <c r="L76" t="s">
        <v>11</v>
      </c>
      <c r="M76" s="9">
        <f t="shared" si="2"/>
        <v>20</v>
      </c>
    </row>
    <row r="77" spans="1:15" x14ac:dyDescent="0.25">
      <c r="A77" t="s">
        <v>17</v>
      </c>
      <c r="C77" t="s">
        <v>98</v>
      </c>
      <c r="E77" t="s">
        <v>9</v>
      </c>
      <c r="L77" t="s">
        <v>12</v>
      </c>
      <c r="M77" s="9">
        <f t="shared" si="2"/>
        <v>35</v>
      </c>
    </row>
    <row r="78" spans="1:15" x14ac:dyDescent="0.25">
      <c r="A78" t="s">
        <v>21</v>
      </c>
      <c r="L78" t="s">
        <v>10</v>
      </c>
      <c r="M78">
        <v>-1.0713999999999999</v>
      </c>
      <c r="O78" t="s">
        <v>20</v>
      </c>
    </row>
    <row r="79" spans="1:15" x14ac:dyDescent="0.25">
      <c r="A79" t="s">
        <v>21</v>
      </c>
      <c r="L79" t="s">
        <v>11</v>
      </c>
      <c r="M79">
        <v>23.928999999999998</v>
      </c>
    </row>
    <row r="80" spans="1:15" x14ac:dyDescent="0.25">
      <c r="A80" t="s">
        <v>21</v>
      </c>
      <c r="L80" t="s">
        <v>12</v>
      </c>
      <c r="M80">
        <v>22</v>
      </c>
    </row>
    <row r="81" spans="1:15" x14ac:dyDescent="0.25">
      <c r="A81" t="s">
        <v>21</v>
      </c>
      <c r="C81" t="s">
        <v>96</v>
      </c>
      <c r="L81" t="s">
        <v>10</v>
      </c>
      <c r="M81">
        <v>-1.25</v>
      </c>
      <c r="O81" t="s">
        <v>106</v>
      </c>
    </row>
    <row r="82" spans="1:15" x14ac:dyDescent="0.25">
      <c r="A82" t="s">
        <v>21</v>
      </c>
      <c r="C82" t="s">
        <v>96</v>
      </c>
      <c r="L82" t="s">
        <v>11</v>
      </c>
      <c r="M82">
        <v>25.25</v>
      </c>
    </row>
    <row r="83" spans="1:15" x14ac:dyDescent="0.25">
      <c r="A83" t="s">
        <v>21</v>
      </c>
      <c r="C83" t="s">
        <v>96</v>
      </c>
      <c r="L83" t="s">
        <v>12</v>
      </c>
      <c r="M83">
        <v>9.75</v>
      </c>
    </row>
    <row r="84" spans="1:15" x14ac:dyDescent="0.25">
      <c r="A84" t="s">
        <v>21</v>
      </c>
      <c r="C84" t="s">
        <v>95</v>
      </c>
      <c r="L84" t="s">
        <v>10</v>
      </c>
      <c r="M84" s="9">
        <f>M81</f>
        <v>-1.25</v>
      </c>
      <c r="O84" s="9" t="str">
        <f>O81</f>
        <v>Havre södra götaland</v>
      </c>
    </row>
    <row r="85" spans="1:15" x14ac:dyDescent="0.25">
      <c r="A85" t="s">
        <v>21</v>
      </c>
      <c r="C85" t="s">
        <v>95</v>
      </c>
      <c r="L85" t="s">
        <v>11</v>
      </c>
      <c r="M85" s="9">
        <f>M82</f>
        <v>25.25</v>
      </c>
    </row>
    <row r="86" spans="1:15" x14ac:dyDescent="0.25">
      <c r="A86" t="s">
        <v>21</v>
      </c>
      <c r="C86" t="s">
        <v>95</v>
      </c>
      <c r="L86" t="s">
        <v>12</v>
      </c>
      <c r="M86" s="9">
        <f>M83</f>
        <v>9.75</v>
      </c>
    </row>
    <row r="87" spans="1:15" x14ac:dyDescent="0.25">
      <c r="A87" t="s">
        <v>25</v>
      </c>
      <c r="L87" t="s">
        <v>11</v>
      </c>
      <c r="M87" s="9">
        <f>M40</f>
        <v>16.856999999999999</v>
      </c>
      <c r="O87" s="9" t="str">
        <f>O40</f>
        <v>Rågvete/höstkorn, norra  götaland och svealand</v>
      </c>
    </row>
    <row r="88" spans="1:15" x14ac:dyDescent="0.25">
      <c r="A88" t="s">
        <v>25</v>
      </c>
      <c r="L88" t="s">
        <v>12</v>
      </c>
      <c r="M88" s="9">
        <f>M41</f>
        <v>59.143000000000001</v>
      </c>
    </row>
    <row r="89" spans="1:15" x14ac:dyDescent="0.25">
      <c r="A89" t="s">
        <v>25</v>
      </c>
      <c r="C89" t="s">
        <v>96</v>
      </c>
      <c r="L89" t="s">
        <v>10</v>
      </c>
      <c r="M89" s="9">
        <f>M45</f>
        <v>-0.71430000000000005</v>
      </c>
      <c r="O89" s="9" t="str">
        <f>O45</f>
        <v>Rågvete/höstkorn, södra götaland</v>
      </c>
    </row>
    <row r="90" spans="1:15" x14ac:dyDescent="0.25">
      <c r="A90" t="s">
        <v>25</v>
      </c>
      <c r="C90" t="s">
        <v>96</v>
      </c>
      <c r="L90" t="s">
        <v>11</v>
      </c>
      <c r="M90" s="9">
        <f>M46</f>
        <v>23.143000000000001</v>
      </c>
    </row>
    <row r="91" spans="1:15" x14ac:dyDescent="0.25">
      <c r="A91" t="s">
        <v>25</v>
      </c>
      <c r="C91" t="s">
        <v>96</v>
      </c>
      <c r="L91" t="s">
        <v>12</v>
      </c>
      <c r="M91" s="9">
        <f>M47</f>
        <v>37.570999999999998</v>
      </c>
    </row>
    <row r="92" spans="1:15" x14ac:dyDescent="0.25">
      <c r="A92" t="s">
        <v>25</v>
      </c>
      <c r="C92" t="s">
        <v>95</v>
      </c>
      <c r="L92" t="s">
        <v>10</v>
      </c>
      <c r="M92" s="9">
        <f>M45</f>
        <v>-0.71430000000000005</v>
      </c>
      <c r="O92" s="9" t="str">
        <f>O45</f>
        <v>Rågvete/höstkorn, södra götaland</v>
      </c>
    </row>
    <row r="93" spans="1:15" x14ac:dyDescent="0.25">
      <c r="A93" t="s">
        <v>25</v>
      </c>
      <c r="C93" t="s">
        <v>95</v>
      </c>
      <c r="L93" t="s">
        <v>11</v>
      </c>
      <c r="M93" s="9">
        <f>M46</f>
        <v>23.143000000000001</v>
      </c>
    </row>
    <row r="94" spans="1:15" x14ac:dyDescent="0.25">
      <c r="A94" t="s">
        <v>25</v>
      </c>
      <c r="C94" t="s">
        <v>95</v>
      </c>
      <c r="L94" t="s">
        <v>12</v>
      </c>
      <c r="M94" s="9">
        <f>M47</f>
        <v>37.570999999999998</v>
      </c>
    </row>
    <row r="95" spans="1:15" x14ac:dyDescent="0.25">
      <c r="A95" t="s">
        <v>24</v>
      </c>
      <c r="L95" t="s">
        <v>11</v>
      </c>
      <c r="M95" s="9">
        <f>M40</f>
        <v>16.856999999999999</v>
      </c>
      <c r="O95" s="9" t="str">
        <f>O40</f>
        <v>Rågvete/höstkorn, norra  götaland och svealand</v>
      </c>
    </row>
    <row r="96" spans="1:15" x14ac:dyDescent="0.25">
      <c r="A96" t="s">
        <v>24</v>
      </c>
      <c r="L96" t="s">
        <v>12</v>
      </c>
      <c r="M96" s="9">
        <f>M41</f>
        <v>59.143000000000001</v>
      </c>
      <c r="O96" s="9"/>
    </row>
    <row r="97" spans="1:15" x14ac:dyDescent="0.25">
      <c r="A97" t="s">
        <v>24</v>
      </c>
      <c r="C97" t="s">
        <v>96</v>
      </c>
      <c r="L97" t="s">
        <v>10</v>
      </c>
      <c r="M97" s="9">
        <f>M45</f>
        <v>-0.71430000000000005</v>
      </c>
      <c r="O97" s="9" t="str">
        <f>O45</f>
        <v>Rågvete/höstkorn, södra götaland</v>
      </c>
    </row>
    <row r="98" spans="1:15" x14ac:dyDescent="0.25">
      <c r="A98" t="s">
        <v>24</v>
      </c>
      <c r="C98" t="s">
        <v>96</v>
      </c>
      <c r="L98" t="s">
        <v>11</v>
      </c>
      <c r="M98" s="9">
        <f>M46</f>
        <v>23.143000000000001</v>
      </c>
      <c r="O98" s="9"/>
    </row>
    <row r="99" spans="1:15" x14ac:dyDescent="0.25">
      <c r="A99" t="s">
        <v>24</v>
      </c>
      <c r="C99" t="s">
        <v>96</v>
      </c>
      <c r="L99" t="s">
        <v>12</v>
      </c>
      <c r="M99" s="9">
        <f>M47</f>
        <v>37.570999999999998</v>
      </c>
      <c r="O99" s="9"/>
    </row>
    <row r="100" spans="1:15" x14ac:dyDescent="0.25">
      <c r="A100" t="s">
        <v>24</v>
      </c>
      <c r="C100" t="s">
        <v>95</v>
      </c>
      <c r="L100" t="s">
        <v>10</v>
      </c>
      <c r="M100" s="9">
        <f>M45</f>
        <v>-0.71430000000000005</v>
      </c>
      <c r="O100" s="9" t="str">
        <f>O45</f>
        <v>Rågvete/höstkorn, södra götaland</v>
      </c>
    </row>
    <row r="101" spans="1:15" x14ac:dyDescent="0.25">
      <c r="A101" t="s">
        <v>24</v>
      </c>
      <c r="C101" t="s">
        <v>95</v>
      </c>
      <c r="L101" t="s">
        <v>11</v>
      </c>
      <c r="M101" s="9">
        <f>M46</f>
        <v>23.143000000000001</v>
      </c>
      <c r="O101" s="9"/>
    </row>
    <row r="102" spans="1:15" x14ac:dyDescent="0.25">
      <c r="A102" t="s">
        <v>24</v>
      </c>
      <c r="C102" t="s">
        <v>95</v>
      </c>
      <c r="L102" t="s">
        <v>12</v>
      </c>
      <c r="M102" s="9">
        <f>M47</f>
        <v>37.570999999999998</v>
      </c>
      <c r="O102" s="9"/>
    </row>
    <row r="103" spans="1:15" x14ac:dyDescent="0.25">
      <c r="A103" s="7" t="s">
        <v>29</v>
      </c>
      <c r="B103" s="7"/>
      <c r="F103" s="7"/>
      <c r="G103" s="7"/>
      <c r="H103" s="7"/>
      <c r="I103" s="7"/>
      <c r="J103" s="7"/>
      <c r="K103" s="7"/>
      <c r="L103" s="7"/>
      <c r="M103" s="7"/>
      <c r="O103" s="7"/>
    </row>
    <row r="104" spans="1:15" x14ac:dyDescent="0.25">
      <c r="A104" t="s">
        <v>28</v>
      </c>
      <c r="L104" t="s">
        <v>12</v>
      </c>
      <c r="M104">
        <v>50</v>
      </c>
      <c r="O104" t="s">
        <v>76</v>
      </c>
    </row>
    <row r="105" spans="1:15" x14ac:dyDescent="0.25">
      <c r="A105" t="s">
        <v>30</v>
      </c>
      <c r="L105" t="s">
        <v>12</v>
      </c>
      <c r="M105">
        <v>0</v>
      </c>
      <c r="O105" t="s">
        <v>75</v>
      </c>
    </row>
    <row r="106" spans="1:15" x14ac:dyDescent="0.25">
      <c r="A106" t="s">
        <v>31</v>
      </c>
      <c r="L106" t="s">
        <v>12</v>
      </c>
      <c r="M106">
        <v>0</v>
      </c>
      <c r="O106" t="s">
        <v>75</v>
      </c>
    </row>
    <row r="107" spans="1:15" x14ac:dyDescent="0.25">
      <c r="A107" t="s">
        <v>32</v>
      </c>
      <c r="L107" t="s">
        <v>12</v>
      </c>
      <c r="M107">
        <v>0</v>
      </c>
      <c r="O107" t="s">
        <v>75</v>
      </c>
    </row>
    <row r="108" spans="1:15" x14ac:dyDescent="0.25">
      <c r="A108" t="s">
        <v>33</v>
      </c>
      <c r="L108" t="s">
        <v>12</v>
      </c>
      <c r="M108">
        <v>30</v>
      </c>
      <c r="O108" t="s">
        <v>77</v>
      </c>
    </row>
    <row r="109" spans="1:15" x14ac:dyDescent="0.25">
      <c r="A109" t="s">
        <v>34</v>
      </c>
      <c r="L109" t="s">
        <v>11</v>
      </c>
      <c r="M109">
        <v>20</v>
      </c>
    </row>
    <row r="110" spans="1:15" x14ac:dyDescent="0.25">
      <c r="A110" t="s">
        <v>34</v>
      </c>
      <c r="L110" t="s">
        <v>12</v>
      </c>
      <c r="M110">
        <v>65</v>
      </c>
    </row>
    <row r="111" spans="1:15" x14ac:dyDescent="0.25">
      <c r="A111" t="s">
        <v>35</v>
      </c>
      <c r="L111" t="s">
        <v>11</v>
      </c>
      <c r="M111">
        <v>20</v>
      </c>
    </row>
    <row r="112" spans="1:15" x14ac:dyDescent="0.25">
      <c r="A112" t="s">
        <v>35</v>
      </c>
      <c r="L112" t="s">
        <v>12</v>
      </c>
      <c r="M112">
        <v>70</v>
      </c>
    </row>
    <row r="113" spans="1:15" x14ac:dyDescent="0.25">
      <c r="A113" t="s">
        <v>36</v>
      </c>
      <c r="L113" t="s">
        <v>10</v>
      </c>
      <c r="M113">
        <v>-2.5000000000000001E-2</v>
      </c>
      <c r="O113" t="s">
        <v>108</v>
      </c>
    </row>
    <row r="114" spans="1:15" x14ac:dyDescent="0.25">
      <c r="A114" t="s">
        <v>36</v>
      </c>
      <c r="L114" t="s">
        <v>11</v>
      </c>
      <c r="M114">
        <v>4.95</v>
      </c>
    </row>
    <row r="115" spans="1:15" x14ac:dyDescent="0.25">
      <c r="A115" t="s">
        <v>36</v>
      </c>
      <c r="L115" t="s">
        <v>12</v>
      </c>
      <c r="M115">
        <v>-31.5</v>
      </c>
    </row>
    <row r="116" spans="1:15" x14ac:dyDescent="0.25">
      <c r="A116" t="s">
        <v>37</v>
      </c>
      <c r="L116" t="s">
        <v>10</v>
      </c>
      <c r="M116" s="9">
        <f>M113</f>
        <v>-2.5000000000000001E-2</v>
      </c>
      <c r="O116" s="9" t="str">
        <f>O113</f>
        <v>Potatis</v>
      </c>
    </row>
    <row r="117" spans="1:15" x14ac:dyDescent="0.25">
      <c r="A117" t="s">
        <v>37</v>
      </c>
      <c r="L117" t="s">
        <v>11</v>
      </c>
      <c r="M117" s="9">
        <f t="shared" ref="M117:M118" si="3">M114</f>
        <v>4.95</v>
      </c>
    </row>
    <row r="118" spans="1:15" x14ac:dyDescent="0.25">
      <c r="A118" t="s">
        <v>37</v>
      </c>
      <c r="L118" t="s">
        <v>12</v>
      </c>
      <c r="M118" s="9">
        <f t="shared" si="3"/>
        <v>-31.5</v>
      </c>
    </row>
    <row r="119" spans="1:15" x14ac:dyDescent="0.25">
      <c r="A119" t="s">
        <v>38</v>
      </c>
      <c r="L119" t="s">
        <v>12</v>
      </c>
      <c r="M119">
        <v>110</v>
      </c>
      <c r="O119" t="s">
        <v>80</v>
      </c>
    </row>
    <row r="120" spans="1:15" x14ac:dyDescent="0.25">
      <c r="A120" s="7" t="s">
        <v>39</v>
      </c>
      <c r="B120" s="7"/>
      <c r="F120" s="7"/>
      <c r="G120" s="7"/>
      <c r="H120" s="7"/>
      <c r="I120" s="7"/>
      <c r="J120" s="7"/>
      <c r="K120" s="7"/>
    </row>
    <row r="121" spans="1:15" x14ac:dyDescent="0.25">
      <c r="A121" s="10" t="s">
        <v>40</v>
      </c>
      <c r="B121" s="10"/>
      <c r="F121" s="10"/>
      <c r="G121" s="10"/>
      <c r="H121" s="10"/>
      <c r="I121" s="10"/>
      <c r="J121" s="10"/>
      <c r="K121" s="10"/>
      <c r="L121" t="s">
        <v>10</v>
      </c>
      <c r="M121">
        <v>-1.4286000000000001</v>
      </c>
      <c r="O121" t="s">
        <v>81</v>
      </c>
    </row>
    <row r="122" spans="1:15" x14ac:dyDescent="0.25">
      <c r="A122" s="10" t="s">
        <v>40</v>
      </c>
      <c r="B122" s="10"/>
      <c r="F122" s="10"/>
      <c r="G122" s="10"/>
      <c r="H122" s="10"/>
      <c r="I122" s="10"/>
      <c r="J122" s="10"/>
      <c r="K122" s="10"/>
      <c r="L122" t="s">
        <v>11</v>
      </c>
      <c r="M122">
        <v>40.713999999999999</v>
      </c>
    </row>
    <row r="123" spans="1:15" x14ac:dyDescent="0.25">
      <c r="A123" s="10" t="s">
        <v>40</v>
      </c>
      <c r="B123" s="10"/>
      <c r="F123" s="10"/>
      <c r="G123" s="10"/>
      <c r="H123" s="10"/>
      <c r="I123" s="10"/>
      <c r="J123" s="10"/>
      <c r="K123" s="10"/>
      <c r="L123" t="s">
        <v>12</v>
      </c>
      <c r="M123">
        <v>-74.856999999999999</v>
      </c>
    </row>
    <row r="124" spans="1:15" x14ac:dyDescent="0.25">
      <c r="A124" s="11" t="s">
        <v>41</v>
      </c>
      <c r="B124" s="11"/>
      <c r="F124" s="11"/>
      <c r="G124" s="11"/>
      <c r="H124" s="11"/>
      <c r="I124" s="11"/>
      <c r="J124" s="11"/>
      <c r="K124" s="11"/>
      <c r="L124" t="s">
        <v>12</v>
      </c>
      <c r="M124" s="7">
        <v>11</v>
      </c>
      <c r="N124" s="7"/>
      <c r="O124" s="7" t="s">
        <v>200</v>
      </c>
    </row>
    <row r="125" spans="1:15" x14ac:dyDescent="0.25">
      <c r="A125" s="5" t="s">
        <v>73</v>
      </c>
      <c r="B125" s="5"/>
      <c r="F125" s="5"/>
      <c r="G125" s="5"/>
      <c r="H125" s="5"/>
      <c r="I125" s="5"/>
      <c r="J125" s="5"/>
      <c r="K125" s="5"/>
      <c r="L125" t="s">
        <v>12</v>
      </c>
      <c r="M125">
        <v>0</v>
      </c>
      <c r="O125" t="s">
        <v>74</v>
      </c>
    </row>
    <row r="126" spans="1:15" x14ac:dyDescent="0.25">
      <c r="A126" s="5" t="s">
        <v>42</v>
      </c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 t="s">
        <v>10</v>
      </c>
      <c r="M126" s="5">
        <v>-1.7857000000000001</v>
      </c>
      <c r="O126" s="7"/>
    </row>
    <row r="127" spans="1:15" x14ac:dyDescent="0.25">
      <c r="A127" s="5" t="s">
        <v>42</v>
      </c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 t="s">
        <v>11</v>
      </c>
      <c r="M127" s="5">
        <v>43.570999999999998</v>
      </c>
      <c r="O127" s="7"/>
    </row>
    <row r="128" spans="1:15" x14ac:dyDescent="0.25">
      <c r="A128" s="5" t="s">
        <v>42</v>
      </c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 t="s">
        <v>12</v>
      </c>
      <c r="M128" s="5">
        <v>-112.5</v>
      </c>
      <c r="O128" s="7"/>
    </row>
    <row r="129" spans="1:16" x14ac:dyDescent="0.25">
      <c r="A129" s="11" t="s">
        <v>43</v>
      </c>
      <c r="B129" s="11"/>
      <c r="F129" s="11"/>
      <c r="G129" s="11"/>
      <c r="H129" s="11"/>
      <c r="I129" s="11"/>
      <c r="J129" s="11"/>
      <c r="K129" s="11"/>
    </row>
    <row r="130" spans="1:16" x14ac:dyDescent="0.25">
      <c r="A130" s="11" t="s">
        <v>44</v>
      </c>
      <c r="B130" s="11"/>
      <c r="F130" s="11"/>
      <c r="G130" s="11"/>
      <c r="H130" s="11"/>
      <c r="I130" s="11"/>
      <c r="J130" s="11"/>
      <c r="K130" s="11"/>
    </row>
    <row r="131" spans="1:16" x14ac:dyDescent="0.25">
      <c r="A131" s="10" t="s">
        <v>45</v>
      </c>
      <c r="B131" s="10"/>
      <c r="F131" s="10"/>
      <c r="G131" s="10"/>
      <c r="H131" s="10"/>
      <c r="I131" s="10"/>
      <c r="J131" s="10"/>
      <c r="K131" s="10"/>
      <c r="L131" t="s">
        <v>12</v>
      </c>
      <c r="M131">
        <v>0</v>
      </c>
      <c r="O131" t="s">
        <v>74</v>
      </c>
    </row>
    <row r="132" spans="1:16" x14ac:dyDescent="0.25">
      <c r="A132" s="10" t="s">
        <v>46</v>
      </c>
      <c r="B132" s="10"/>
      <c r="F132" s="10"/>
      <c r="G132" s="10"/>
      <c r="H132" s="10"/>
      <c r="I132" s="10"/>
      <c r="J132" s="10"/>
      <c r="K132" s="10"/>
      <c r="L132" t="s">
        <v>12</v>
      </c>
      <c r="M132">
        <v>0</v>
      </c>
      <c r="O132" t="s">
        <v>74</v>
      </c>
    </row>
    <row r="133" spans="1:16" x14ac:dyDescent="0.25">
      <c r="A133" t="s">
        <v>47</v>
      </c>
      <c r="L133" t="s">
        <v>11</v>
      </c>
      <c r="M133">
        <v>2.5</v>
      </c>
      <c r="O133" t="s">
        <v>85</v>
      </c>
      <c r="P133" t="s">
        <v>86</v>
      </c>
    </row>
    <row r="134" spans="1:16" x14ac:dyDescent="0.25">
      <c r="A134" t="s">
        <v>47</v>
      </c>
      <c r="L134" t="s">
        <v>12</v>
      </c>
      <c r="M134">
        <v>25</v>
      </c>
    </row>
    <row r="135" spans="1:16" x14ac:dyDescent="0.25">
      <c r="A135" t="s">
        <v>48</v>
      </c>
      <c r="L135" t="s">
        <v>11</v>
      </c>
      <c r="M135">
        <v>1.3846000000000001</v>
      </c>
      <c r="O135" t="s">
        <v>85</v>
      </c>
      <c r="P135" t="s">
        <v>86</v>
      </c>
    </row>
    <row r="136" spans="1:16" x14ac:dyDescent="0.25">
      <c r="A136" t="s">
        <v>48</v>
      </c>
      <c r="L136" t="s">
        <v>12</v>
      </c>
      <c r="M136">
        <v>11.538</v>
      </c>
    </row>
    <row r="137" spans="1:16" x14ac:dyDescent="0.25">
      <c r="A137" s="5" t="s">
        <v>49</v>
      </c>
      <c r="B137" s="5"/>
      <c r="F137" s="5"/>
      <c r="G137" s="5"/>
      <c r="H137" s="5"/>
      <c r="I137" s="5"/>
      <c r="J137" s="5"/>
      <c r="K137" s="5"/>
      <c r="L137" t="s">
        <v>11</v>
      </c>
      <c r="M137" s="9">
        <f>M135</f>
        <v>1.3846000000000001</v>
      </c>
      <c r="O137" s="7" t="s">
        <v>110</v>
      </c>
    </row>
    <row r="138" spans="1:16" x14ac:dyDescent="0.25">
      <c r="A138" s="5" t="s">
        <v>49</v>
      </c>
      <c r="B138" s="5"/>
      <c r="F138" s="5"/>
      <c r="G138" s="5"/>
      <c r="H138" s="5"/>
      <c r="I138" s="5"/>
      <c r="J138" s="5"/>
      <c r="K138" s="5"/>
      <c r="L138" t="s">
        <v>12</v>
      </c>
      <c r="M138" s="9">
        <f>M136</f>
        <v>11.538</v>
      </c>
    </row>
    <row r="139" spans="1:16" x14ac:dyDescent="0.25">
      <c r="A139" s="5" t="s">
        <v>50</v>
      </c>
      <c r="B139" s="5"/>
      <c r="F139" s="5"/>
      <c r="G139" s="5"/>
      <c r="H139" s="5"/>
      <c r="I139" s="5"/>
      <c r="J139" s="5"/>
      <c r="K139" s="5"/>
      <c r="L139" t="s">
        <v>11</v>
      </c>
      <c r="M139">
        <v>3.3332999999999999</v>
      </c>
      <c r="O139" t="s">
        <v>87</v>
      </c>
      <c r="P139" t="s">
        <v>86</v>
      </c>
    </row>
    <row r="140" spans="1:16" x14ac:dyDescent="0.25">
      <c r="A140" s="5" t="s">
        <v>50</v>
      </c>
      <c r="B140" s="5"/>
      <c r="F140" s="5"/>
      <c r="G140" s="5"/>
      <c r="H140" s="5"/>
      <c r="I140" s="5"/>
      <c r="J140" s="5"/>
      <c r="K140" s="5"/>
      <c r="L140" t="s">
        <v>12</v>
      </c>
      <c r="M140">
        <v>33.332999999999998</v>
      </c>
    </row>
    <row r="141" spans="1:16" x14ac:dyDescent="0.25">
      <c r="A141" s="5" t="s">
        <v>51</v>
      </c>
      <c r="B141" s="5"/>
      <c r="F141" s="5"/>
      <c r="G141" s="5"/>
      <c r="H141" s="5"/>
      <c r="I141" s="5"/>
      <c r="J141" s="5"/>
      <c r="K141" s="5"/>
      <c r="L141" t="s">
        <v>11</v>
      </c>
      <c r="M141">
        <v>3</v>
      </c>
      <c r="O141" t="s">
        <v>88</v>
      </c>
      <c r="P141" t="s">
        <v>86</v>
      </c>
    </row>
    <row r="142" spans="1:16" x14ac:dyDescent="0.25">
      <c r="A142" s="5" t="s">
        <v>51</v>
      </c>
      <c r="B142" s="5"/>
      <c r="F142" s="5"/>
      <c r="G142" s="5"/>
      <c r="H142" s="5"/>
      <c r="I142" s="5"/>
      <c r="J142" s="5"/>
      <c r="K142" s="5"/>
      <c r="L142" t="s">
        <v>12</v>
      </c>
      <c r="M142">
        <v>90</v>
      </c>
    </row>
    <row r="143" spans="1:16" x14ac:dyDescent="0.25">
      <c r="A143" s="5" t="s">
        <v>52</v>
      </c>
      <c r="B143" s="5"/>
      <c r="F143" s="5"/>
      <c r="G143" s="5"/>
      <c r="H143" s="5"/>
      <c r="I143" s="5"/>
      <c r="J143" s="5"/>
      <c r="K143" s="5"/>
      <c r="L143" s="5" t="s">
        <v>10</v>
      </c>
      <c r="M143">
        <v>1.7999999999999999E-2</v>
      </c>
      <c r="O143" t="s">
        <v>89</v>
      </c>
      <c r="P143" t="s">
        <v>86</v>
      </c>
    </row>
    <row r="144" spans="1:16" x14ac:dyDescent="0.25">
      <c r="A144" s="5" t="s">
        <v>52</v>
      </c>
      <c r="B144" s="5"/>
      <c r="F144" s="5"/>
      <c r="G144" s="5"/>
      <c r="H144" s="5"/>
      <c r="I144" s="5"/>
      <c r="J144" s="5"/>
      <c r="K144" s="5"/>
      <c r="L144" t="s">
        <v>11</v>
      </c>
      <c r="M144">
        <v>1.2583</v>
      </c>
    </row>
    <row r="145" spans="1:16" x14ac:dyDescent="0.25">
      <c r="A145" s="5" t="s">
        <v>52</v>
      </c>
      <c r="B145" s="5"/>
      <c r="F145" s="5"/>
      <c r="G145" s="5"/>
      <c r="H145" s="5"/>
      <c r="I145" s="5"/>
      <c r="J145" s="5"/>
      <c r="K145" s="5"/>
      <c r="L145" t="s">
        <v>12</v>
      </c>
      <c r="M145">
        <v>0</v>
      </c>
    </row>
    <row r="146" spans="1:16" x14ac:dyDescent="0.25">
      <c r="A146" s="5" t="s">
        <v>53</v>
      </c>
      <c r="B146" s="5"/>
      <c r="F146" s="5"/>
      <c r="G146" s="5"/>
      <c r="H146" s="5"/>
      <c r="I146" s="5"/>
      <c r="J146" s="5"/>
      <c r="K146" s="5"/>
      <c r="L146" s="5" t="s">
        <v>10</v>
      </c>
      <c r="M146" s="9">
        <f>M143</f>
        <v>1.7999999999999999E-2</v>
      </c>
      <c r="O146" s="9" t="str">
        <f>O143</f>
        <v xml:space="preserve">yield in fresh weight 5% DM </v>
      </c>
      <c r="P146" s="9" t="str">
        <f>P143</f>
        <v>Yara (2018)</v>
      </c>
    </row>
    <row r="147" spans="1:16" x14ac:dyDescent="0.25">
      <c r="A147" s="5" t="s">
        <v>53</v>
      </c>
      <c r="B147" s="5"/>
      <c r="F147" s="5"/>
      <c r="G147" s="5"/>
      <c r="H147" s="5"/>
      <c r="I147" s="5"/>
      <c r="J147" s="5"/>
      <c r="K147" s="5"/>
      <c r="L147" t="s">
        <v>11</v>
      </c>
      <c r="M147" s="9">
        <f>M144</f>
        <v>1.2583</v>
      </c>
      <c r="N147" s="9"/>
      <c r="O147" s="9"/>
      <c r="P147" s="9"/>
    </row>
    <row r="148" spans="1:16" x14ac:dyDescent="0.25">
      <c r="A148" s="5" t="s">
        <v>53</v>
      </c>
      <c r="B148" s="5"/>
      <c r="F148" s="5"/>
      <c r="G148" s="5"/>
      <c r="H148" s="5"/>
      <c r="I148" s="5"/>
      <c r="J148" s="5"/>
      <c r="K148" s="5"/>
      <c r="L148" t="s">
        <v>12</v>
      </c>
      <c r="M148" s="9">
        <f>M145</f>
        <v>0</v>
      </c>
      <c r="N148" s="9"/>
      <c r="O148" s="9"/>
      <c r="P148" s="9"/>
    </row>
    <row r="149" spans="1:16" x14ac:dyDescent="0.25">
      <c r="A149" s="5" t="s">
        <v>54</v>
      </c>
      <c r="B149" s="5"/>
      <c r="F149" s="5"/>
      <c r="G149" s="5"/>
      <c r="H149" s="5"/>
      <c r="I149" s="5"/>
      <c r="J149" s="5"/>
      <c r="K149" s="5"/>
      <c r="L149" t="s">
        <v>11</v>
      </c>
      <c r="M149" s="9">
        <f>M139</f>
        <v>3.3332999999999999</v>
      </c>
      <c r="O149" s="7" t="s">
        <v>111</v>
      </c>
    </row>
    <row r="150" spans="1:16" x14ac:dyDescent="0.25">
      <c r="A150" s="5" t="s">
        <v>54</v>
      </c>
      <c r="B150" s="5"/>
      <c r="F150" s="5"/>
      <c r="G150" s="5"/>
      <c r="H150" s="5"/>
      <c r="I150" s="5"/>
      <c r="J150" s="5"/>
      <c r="K150" s="5"/>
      <c r="L150" t="s">
        <v>12</v>
      </c>
      <c r="M150" s="9">
        <f>M140</f>
        <v>33.332999999999998</v>
      </c>
    </row>
    <row r="151" spans="1:16" x14ac:dyDescent="0.25">
      <c r="A151" s="7" t="s">
        <v>55</v>
      </c>
      <c r="B151" s="7"/>
      <c r="F151" s="7"/>
      <c r="G151" s="7"/>
      <c r="H151" s="7"/>
      <c r="I151" s="7"/>
      <c r="J151" s="7"/>
      <c r="K151" s="7"/>
    </row>
    <row r="152" spans="1:16" x14ac:dyDescent="0.25">
      <c r="A152" s="5" t="s">
        <v>56</v>
      </c>
      <c r="B152" s="5"/>
      <c r="F152" s="5"/>
      <c r="G152" s="5"/>
      <c r="H152" s="5"/>
      <c r="I152" s="5"/>
      <c r="J152" s="5"/>
      <c r="K152" s="5"/>
      <c r="L152" t="s">
        <v>12</v>
      </c>
      <c r="M152">
        <v>65</v>
      </c>
      <c r="O152" t="s">
        <v>82</v>
      </c>
    </row>
    <row r="153" spans="1:16" x14ac:dyDescent="0.25">
      <c r="A153" s="7" t="s">
        <v>57</v>
      </c>
      <c r="B153" s="7"/>
      <c r="F153" s="7"/>
      <c r="G153" s="7"/>
      <c r="H153" s="7"/>
      <c r="I153" s="7"/>
      <c r="J153" s="7"/>
      <c r="K153" s="7"/>
    </row>
    <row r="154" spans="1:16" x14ac:dyDescent="0.25">
      <c r="A154" s="5" t="s">
        <v>58</v>
      </c>
      <c r="B154" s="5"/>
      <c r="F154" s="5"/>
      <c r="G154" s="5"/>
      <c r="H154" s="5"/>
      <c r="I154" s="5"/>
      <c r="J154" s="5"/>
      <c r="K154" s="5"/>
      <c r="L154" t="s">
        <v>12</v>
      </c>
      <c r="M154">
        <v>65</v>
      </c>
      <c r="O154" t="s">
        <v>83</v>
      </c>
    </row>
    <row r="155" spans="1:16" x14ac:dyDescent="0.25">
      <c r="A155" s="5" t="s">
        <v>59</v>
      </c>
      <c r="B155" s="5"/>
      <c r="F155" s="5"/>
      <c r="G155" s="5"/>
      <c r="H155" s="5"/>
      <c r="I155" s="5"/>
      <c r="J155" s="5"/>
      <c r="K155" s="5"/>
      <c r="L155" t="s">
        <v>12</v>
      </c>
      <c r="M155">
        <v>100</v>
      </c>
      <c r="O155" t="s">
        <v>84</v>
      </c>
    </row>
    <row r="156" spans="1:16" x14ac:dyDescent="0.25">
      <c r="A156" s="5" t="s">
        <v>60</v>
      </c>
      <c r="B156" s="5"/>
      <c r="F156" s="5"/>
      <c r="G156" s="5"/>
      <c r="H156" s="5"/>
      <c r="I156" s="5"/>
      <c r="J156" s="5"/>
      <c r="K156" s="5"/>
      <c r="L156" t="s">
        <v>12</v>
      </c>
      <c r="M156">
        <v>110</v>
      </c>
    </row>
    <row r="157" spans="1:16" x14ac:dyDescent="0.25">
      <c r="A157" s="5" t="s">
        <v>61</v>
      </c>
      <c r="B157" s="5"/>
      <c r="F157" s="5"/>
      <c r="G157" s="5"/>
      <c r="H157" s="5"/>
      <c r="I157" s="5"/>
      <c r="J157" s="5"/>
      <c r="K157" s="5"/>
      <c r="L157" t="s">
        <v>12</v>
      </c>
      <c r="M157" s="9">
        <f>M155</f>
        <v>100</v>
      </c>
      <c r="O157" s="7" t="s">
        <v>109</v>
      </c>
    </row>
    <row r="158" spans="1:16" x14ac:dyDescent="0.25">
      <c r="A158" s="7" t="s">
        <v>62</v>
      </c>
      <c r="B158" s="7"/>
      <c r="F158" s="7"/>
      <c r="G158" s="7"/>
      <c r="H158" s="7"/>
      <c r="I158" s="7"/>
      <c r="J158" s="7"/>
      <c r="K158" s="7"/>
    </row>
    <row r="159" spans="1:16" x14ac:dyDescent="0.25">
      <c r="A159" s="7" t="s">
        <v>63</v>
      </c>
      <c r="B159" s="7"/>
      <c r="F159" s="7"/>
      <c r="G159" s="7"/>
      <c r="H159" s="7"/>
      <c r="I159" s="7"/>
      <c r="J159" s="7"/>
      <c r="K159" s="7"/>
    </row>
    <row r="160" spans="1:16" x14ac:dyDescent="0.25">
      <c r="A160" s="7" t="s">
        <v>64</v>
      </c>
      <c r="B160" s="7"/>
      <c r="F160" s="7"/>
      <c r="G160" s="7"/>
      <c r="H160" s="7"/>
      <c r="I160" s="7"/>
      <c r="J160" s="7"/>
      <c r="K160" s="7"/>
    </row>
    <row r="161" spans="1:16" x14ac:dyDescent="0.25">
      <c r="A161" s="7" t="s">
        <v>65</v>
      </c>
      <c r="B161" s="7"/>
      <c r="F161" s="7"/>
      <c r="G161" s="7"/>
      <c r="H161" s="7"/>
      <c r="I161" s="7"/>
      <c r="J161" s="7"/>
      <c r="K161" s="7"/>
    </row>
    <row r="162" spans="1:16" x14ac:dyDescent="0.25">
      <c r="A162" s="7" t="s">
        <v>66</v>
      </c>
      <c r="B162" s="7"/>
      <c r="F162" s="7"/>
      <c r="G162" s="7"/>
      <c r="H162" s="7"/>
      <c r="I162" s="7"/>
      <c r="J162" s="7"/>
      <c r="K162" s="7"/>
    </row>
    <row r="163" spans="1:16" x14ac:dyDescent="0.25">
      <c r="A163" s="7" t="s">
        <v>67</v>
      </c>
      <c r="B163" s="7"/>
      <c r="F163" s="7"/>
      <c r="G163" s="7"/>
      <c r="H163" s="7"/>
      <c r="I163" s="7"/>
      <c r="J163" s="7"/>
      <c r="K163" s="7"/>
    </row>
    <row r="164" spans="1:16" x14ac:dyDescent="0.25">
      <c r="A164" s="7" t="s">
        <v>68</v>
      </c>
      <c r="B164" s="7"/>
      <c r="F164" s="7"/>
      <c r="G164" s="7"/>
      <c r="H164" s="7"/>
      <c r="I164" s="7"/>
      <c r="J164" s="7"/>
      <c r="K164" s="7"/>
    </row>
    <row r="165" spans="1:16" x14ac:dyDescent="0.25">
      <c r="A165" s="5" t="s">
        <v>69</v>
      </c>
      <c r="B165" s="5"/>
      <c r="F165" s="5"/>
      <c r="G165" s="5"/>
      <c r="H165" s="5"/>
      <c r="I165" s="5"/>
      <c r="J165" s="5"/>
      <c r="K165" s="5"/>
      <c r="L165" t="s">
        <v>12</v>
      </c>
      <c r="M165">
        <v>0</v>
      </c>
      <c r="O165" t="s">
        <v>74</v>
      </c>
    </row>
    <row r="166" spans="1:16" x14ac:dyDescent="0.25">
      <c r="A166" s="7" t="s">
        <v>70</v>
      </c>
      <c r="B166" s="7"/>
      <c r="F166" s="7"/>
      <c r="G166" s="7"/>
      <c r="H166" s="7"/>
      <c r="I166" s="7"/>
      <c r="J166" s="7"/>
      <c r="K166" s="7"/>
    </row>
    <row r="167" spans="1:16" x14ac:dyDescent="0.25">
      <c r="A167" s="7" t="s">
        <v>71</v>
      </c>
      <c r="B167" s="7"/>
      <c r="F167" s="7"/>
      <c r="G167" s="7"/>
      <c r="H167" s="7"/>
      <c r="I167" s="7"/>
      <c r="J167" s="7"/>
      <c r="K167" s="7"/>
    </row>
    <row r="168" spans="1:16" x14ac:dyDescent="0.25">
      <c r="A168" s="5" t="s">
        <v>72</v>
      </c>
      <c r="B168" s="5"/>
      <c r="F168" s="5"/>
      <c r="G168" s="5"/>
      <c r="H168" s="5"/>
      <c r="I168" s="5"/>
      <c r="J168" s="5"/>
      <c r="K168" s="5"/>
      <c r="L168" t="s">
        <v>12</v>
      </c>
      <c r="M168">
        <v>0</v>
      </c>
      <c r="O168" t="s">
        <v>74</v>
      </c>
    </row>
    <row r="170" spans="1:16" x14ac:dyDescent="0.25">
      <c r="A170" s="2" t="s">
        <v>118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3"/>
      <c r="P170" s="3"/>
    </row>
    <row r="171" spans="1:16" x14ac:dyDescent="0.25">
      <c r="L171" s="6" t="s">
        <v>13</v>
      </c>
      <c r="M171" s="6">
        <v>0</v>
      </c>
      <c r="N171" s="6"/>
      <c r="O171" s="6" t="s">
        <v>15</v>
      </c>
    </row>
    <row r="172" spans="1:16" x14ac:dyDescent="0.25">
      <c r="L172" s="6" t="s">
        <v>14</v>
      </c>
      <c r="M172" s="6">
        <v>1</v>
      </c>
      <c r="N172" s="6"/>
      <c r="O172" s="6" t="s">
        <v>15</v>
      </c>
    </row>
    <row r="173" spans="1:16" x14ac:dyDescent="0.25">
      <c r="A173" t="s">
        <v>7</v>
      </c>
      <c r="L173" t="s">
        <v>13</v>
      </c>
      <c r="M173">
        <v>-0.32340000000000002</v>
      </c>
    </row>
    <row r="174" spans="1:16" x14ac:dyDescent="0.25">
      <c r="A174" t="s">
        <v>7</v>
      </c>
      <c r="L174" t="s">
        <v>14</v>
      </c>
      <c r="M174">
        <v>0.97240000000000004</v>
      </c>
    </row>
    <row r="175" spans="1:16" x14ac:dyDescent="0.25">
      <c r="A175" t="s">
        <v>16</v>
      </c>
      <c r="L175" t="s">
        <v>13</v>
      </c>
      <c r="M175">
        <v>-0.32500000000000001</v>
      </c>
    </row>
    <row r="176" spans="1:16" x14ac:dyDescent="0.25">
      <c r="A176" t="s">
        <v>16</v>
      </c>
      <c r="L176" t="s">
        <v>14</v>
      </c>
      <c r="M176">
        <v>0.81369999999999998</v>
      </c>
    </row>
    <row r="177" spans="1:15" x14ac:dyDescent="0.25">
      <c r="A177" t="s">
        <v>27</v>
      </c>
      <c r="L177" t="s">
        <v>13</v>
      </c>
      <c r="M177">
        <v>-0.58699999999999997</v>
      </c>
    </row>
    <row r="178" spans="1:15" x14ac:dyDescent="0.25">
      <c r="A178" t="s">
        <v>27</v>
      </c>
      <c r="L178" t="s">
        <v>14</v>
      </c>
      <c r="M178">
        <v>0.82350000000000001</v>
      </c>
    </row>
    <row r="179" spans="1:15" x14ac:dyDescent="0.25">
      <c r="A179" t="s">
        <v>23</v>
      </c>
      <c r="L179" t="s">
        <v>13</v>
      </c>
      <c r="M179">
        <v>-0.35070000000000001</v>
      </c>
    </row>
    <row r="180" spans="1:15" x14ac:dyDescent="0.25">
      <c r="A180" t="s">
        <v>23</v>
      </c>
      <c r="L180" t="s">
        <v>14</v>
      </c>
      <c r="M180">
        <v>0.9234</v>
      </c>
    </row>
    <row r="181" spans="1:15" x14ac:dyDescent="0.25">
      <c r="A181" t="s">
        <v>17</v>
      </c>
      <c r="L181" t="s">
        <v>13</v>
      </c>
      <c r="M181">
        <v>-0.41710000000000003</v>
      </c>
    </row>
    <row r="182" spans="1:15" x14ac:dyDescent="0.25">
      <c r="A182" t="s">
        <v>17</v>
      </c>
      <c r="L182" t="s">
        <v>14</v>
      </c>
      <c r="M182">
        <v>0.91610000000000003</v>
      </c>
    </row>
    <row r="183" spans="1:15" x14ac:dyDescent="0.25">
      <c r="A183" t="s">
        <v>21</v>
      </c>
      <c r="L183" t="s">
        <v>13</v>
      </c>
      <c r="M183">
        <v>-0.74150000000000005</v>
      </c>
    </row>
    <row r="184" spans="1:15" x14ac:dyDescent="0.25">
      <c r="A184" t="s">
        <v>21</v>
      </c>
      <c r="L184" t="s">
        <v>14</v>
      </c>
      <c r="M184">
        <v>0.96550000000000002</v>
      </c>
    </row>
    <row r="185" spans="1:15" x14ac:dyDescent="0.25">
      <c r="A185" t="s">
        <v>25</v>
      </c>
      <c r="L185" t="s">
        <v>13</v>
      </c>
      <c r="M185" s="9">
        <f>M187</f>
        <v>-0.58699999999999997</v>
      </c>
    </row>
    <row r="186" spans="1:15" x14ac:dyDescent="0.25">
      <c r="A186" t="s">
        <v>25</v>
      </c>
      <c r="L186" t="s">
        <v>14</v>
      </c>
      <c r="M186" s="9">
        <f>M188</f>
        <v>0.82350000000000001</v>
      </c>
    </row>
    <row r="187" spans="1:15" x14ac:dyDescent="0.25">
      <c r="A187" t="s">
        <v>24</v>
      </c>
      <c r="L187" t="s">
        <v>13</v>
      </c>
      <c r="M187">
        <v>-0.58699999999999997</v>
      </c>
    </row>
    <row r="188" spans="1:15" x14ac:dyDescent="0.25">
      <c r="A188" t="s">
        <v>24</v>
      </c>
      <c r="L188" t="s">
        <v>14</v>
      </c>
      <c r="M188">
        <v>0.82350000000000001</v>
      </c>
    </row>
    <row r="189" spans="1:15" x14ac:dyDescent="0.25">
      <c r="A189" s="7" t="s">
        <v>29</v>
      </c>
      <c r="B189" s="7"/>
      <c r="F189" s="7"/>
      <c r="G189" s="7"/>
      <c r="H189" s="7"/>
      <c r="I189" s="7"/>
      <c r="J189" s="7"/>
      <c r="K189" s="7"/>
      <c r="M189" s="9"/>
      <c r="O189" s="7"/>
    </row>
    <row r="190" spans="1:15" x14ac:dyDescent="0.25">
      <c r="A190" s="5" t="s">
        <v>28</v>
      </c>
      <c r="B190" s="5"/>
      <c r="F190" s="5"/>
      <c r="G190" s="5"/>
      <c r="H190" s="5"/>
      <c r="I190" s="5"/>
      <c r="J190" s="5"/>
      <c r="K190" s="5"/>
      <c r="L190" t="s">
        <v>14</v>
      </c>
      <c r="M190" s="5">
        <v>1</v>
      </c>
      <c r="N190" s="5"/>
      <c r="O190" s="5" t="s">
        <v>78</v>
      </c>
    </row>
    <row r="191" spans="1:15" x14ac:dyDescent="0.25">
      <c r="A191" t="s">
        <v>30</v>
      </c>
      <c r="L191" t="s">
        <v>14</v>
      </c>
      <c r="M191">
        <v>1</v>
      </c>
      <c r="O191" s="5" t="s">
        <v>78</v>
      </c>
    </row>
    <row r="192" spans="1:15" x14ac:dyDescent="0.25">
      <c r="A192" t="s">
        <v>31</v>
      </c>
      <c r="L192" t="s">
        <v>14</v>
      </c>
      <c r="M192">
        <v>1</v>
      </c>
      <c r="O192" s="5" t="s">
        <v>78</v>
      </c>
    </row>
    <row r="193" spans="1:19" x14ac:dyDescent="0.25">
      <c r="A193" t="s">
        <v>32</v>
      </c>
      <c r="L193" t="s">
        <v>14</v>
      </c>
      <c r="M193">
        <v>1</v>
      </c>
      <c r="O193" s="5" t="s">
        <v>78</v>
      </c>
    </row>
    <row r="194" spans="1:19" x14ac:dyDescent="0.25">
      <c r="A194" t="s">
        <v>33</v>
      </c>
      <c r="L194" t="s">
        <v>14</v>
      </c>
      <c r="M194">
        <v>1</v>
      </c>
      <c r="O194" s="5" t="s">
        <v>78</v>
      </c>
    </row>
    <row r="195" spans="1:19" x14ac:dyDescent="0.25">
      <c r="A195" t="s">
        <v>34</v>
      </c>
      <c r="L195" t="s">
        <v>13</v>
      </c>
      <c r="M195">
        <v>-9.2499999999999999E-2</v>
      </c>
    </row>
    <row r="196" spans="1:19" x14ac:dyDescent="0.25">
      <c r="A196" t="s">
        <v>34</v>
      </c>
      <c r="L196" t="s">
        <v>14</v>
      </c>
      <c r="M196">
        <v>1.2939000000000001</v>
      </c>
    </row>
    <row r="197" spans="1:19" x14ac:dyDescent="0.25">
      <c r="A197" t="s">
        <v>35</v>
      </c>
      <c r="L197" t="s">
        <v>14</v>
      </c>
      <c r="M197">
        <v>0.94</v>
      </c>
      <c r="O197" s="5" t="s">
        <v>79</v>
      </c>
    </row>
    <row r="198" spans="1:19" x14ac:dyDescent="0.25">
      <c r="A198" t="s">
        <v>36</v>
      </c>
      <c r="L198" t="s">
        <v>14</v>
      </c>
      <c r="M198">
        <v>1</v>
      </c>
      <c r="O198" s="5" t="s">
        <v>78</v>
      </c>
    </row>
    <row r="199" spans="1:19" x14ac:dyDescent="0.25">
      <c r="A199" t="s">
        <v>37</v>
      </c>
      <c r="L199" t="s">
        <v>14</v>
      </c>
      <c r="M199">
        <v>1</v>
      </c>
      <c r="O199" s="5" t="s">
        <v>78</v>
      </c>
    </row>
    <row r="200" spans="1:19" x14ac:dyDescent="0.25">
      <c r="A200" t="s">
        <v>38</v>
      </c>
      <c r="L200" t="s">
        <v>14</v>
      </c>
      <c r="M200">
        <v>1</v>
      </c>
      <c r="O200" s="5" t="s">
        <v>78</v>
      </c>
    </row>
    <row r="201" spans="1:19" x14ac:dyDescent="0.25">
      <c r="A201" s="7" t="s">
        <v>39</v>
      </c>
      <c r="B201" s="7"/>
      <c r="F201" s="7"/>
      <c r="G201" s="7"/>
      <c r="H201" s="7"/>
      <c r="I201" s="7"/>
      <c r="J201" s="7"/>
      <c r="K201" s="7"/>
      <c r="S201" s="4"/>
    </row>
    <row r="202" spans="1:19" x14ac:dyDescent="0.25">
      <c r="A202" s="10" t="s">
        <v>40</v>
      </c>
      <c r="B202" s="10"/>
      <c r="F202" s="10"/>
      <c r="G202" s="10"/>
      <c r="H202" s="10"/>
      <c r="I202" s="10"/>
      <c r="J202" s="10"/>
      <c r="K202" s="10"/>
      <c r="L202" t="s">
        <v>13</v>
      </c>
      <c r="M202">
        <v>-8.2500000000000004E-2</v>
      </c>
    </row>
    <row r="203" spans="1:19" x14ac:dyDescent="0.25">
      <c r="A203" s="10" t="s">
        <v>40</v>
      </c>
      <c r="B203" s="10"/>
      <c r="F203" s="10"/>
      <c r="G203" s="10"/>
      <c r="H203" s="10"/>
      <c r="I203" s="10"/>
      <c r="J203" s="10"/>
      <c r="K203" s="10"/>
      <c r="L203" t="s">
        <v>14</v>
      </c>
      <c r="M203">
        <v>0.72799999999999998</v>
      </c>
    </row>
    <row r="204" spans="1:19" x14ac:dyDescent="0.25">
      <c r="A204" s="11" t="s">
        <v>41</v>
      </c>
      <c r="B204" s="11"/>
      <c r="F204" s="11"/>
      <c r="G204" s="11"/>
      <c r="H204" s="11"/>
      <c r="I204" s="11"/>
      <c r="J204" s="11"/>
      <c r="K204" s="11"/>
      <c r="L204" t="s">
        <v>14</v>
      </c>
      <c r="M204">
        <v>1</v>
      </c>
      <c r="O204" s="5" t="s">
        <v>78</v>
      </c>
    </row>
    <row r="205" spans="1:19" x14ac:dyDescent="0.25">
      <c r="A205" s="5" t="s">
        <v>73</v>
      </c>
      <c r="B205" s="5"/>
      <c r="F205" s="5"/>
      <c r="G205" s="5"/>
      <c r="H205" s="5"/>
      <c r="I205" s="5"/>
      <c r="J205" s="5"/>
      <c r="K205" s="5"/>
      <c r="L205" t="s">
        <v>14</v>
      </c>
      <c r="M205">
        <v>1</v>
      </c>
      <c r="O205" s="5" t="s">
        <v>78</v>
      </c>
    </row>
    <row r="206" spans="1:19" x14ac:dyDescent="0.25">
      <c r="A206" s="10" t="s">
        <v>42</v>
      </c>
      <c r="B206" s="10"/>
      <c r="F206" s="10"/>
      <c r="G206" s="10"/>
      <c r="H206" s="10"/>
      <c r="I206" s="10"/>
      <c r="J206" s="10"/>
      <c r="K206" s="10"/>
      <c r="L206" t="s">
        <v>13</v>
      </c>
      <c r="M206">
        <v>-3.2399999999999998E-2</v>
      </c>
      <c r="O206" s="7"/>
    </row>
    <row r="207" spans="1:19" x14ac:dyDescent="0.25">
      <c r="A207" s="10" t="s">
        <v>42</v>
      </c>
      <c r="B207" s="10"/>
      <c r="F207" s="10"/>
      <c r="G207" s="10"/>
      <c r="H207" s="10"/>
      <c r="I207" s="10"/>
      <c r="J207" s="10"/>
      <c r="K207" s="10"/>
      <c r="L207" t="s">
        <v>14</v>
      </c>
      <c r="M207">
        <v>0.82120000000000004</v>
      </c>
      <c r="O207" s="7"/>
    </row>
    <row r="208" spans="1:19" x14ac:dyDescent="0.25">
      <c r="A208" s="11" t="s">
        <v>43</v>
      </c>
      <c r="B208" s="11"/>
      <c r="F208" s="11"/>
      <c r="G208" s="11"/>
      <c r="H208" s="11"/>
      <c r="I208" s="11"/>
      <c r="J208" s="11"/>
      <c r="K208" s="11"/>
    </row>
    <row r="209" spans="1:15" x14ac:dyDescent="0.25">
      <c r="A209" s="11" t="s">
        <v>44</v>
      </c>
      <c r="B209" s="11"/>
      <c r="F209" s="11"/>
      <c r="G209" s="11"/>
      <c r="H209" s="11"/>
      <c r="I209" s="11"/>
      <c r="J209" s="11"/>
      <c r="K209" s="11"/>
    </row>
    <row r="210" spans="1:15" x14ac:dyDescent="0.25">
      <c r="A210" s="10" t="s">
        <v>45</v>
      </c>
      <c r="B210" s="10"/>
      <c r="F210" s="10"/>
      <c r="G210" s="10"/>
      <c r="H210" s="10"/>
      <c r="I210" s="10"/>
      <c r="J210" s="10"/>
      <c r="K210" s="10"/>
      <c r="L210" t="s">
        <v>14</v>
      </c>
      <c r="M210">
        <v>1</v>
      </c>
      <c r="O210" s="5" t="s">
        <v>78</v>
      </c>
    </row>
    <row r="211" spans="1:15" x14ac:dyDescent="0.25">
      <c r="A211" s="10" t="s">
        <v>46</v>
      </c>
      <c r="B211" s="10"/>
      <c r="F211" s="10"/>
      <c r="G211" s="10"/>
      <c r="H211" s="10"/>
      <c r="I211" s="10"/>
      <c r="J211" s="10"/>
      <c r="K211" s="10"/>
      <c r="L211" t="s">
        <v>14</v>
      </c>
      <c r="M211">
        <v>1</v>
      </c>
      <c r="O211" s="5" t="s">
        <v>78</v>
      </c>
    </row>
    <row r="212" spans="1:15" x14ac:dyDescent="0.25">
      <c r="A212" t="s">
        <v>47</v>
      </c>
      <c r="L212" t="s">
        <v>14</v>
      </c>
      <c r="M212">
        <v>1</v>
      </c>
      <c r="O212" s="5" t="s">
        <v>78</v>
      </c>
    </row>
    <row r="213" spans="1:15" x14ac:dyDescent="0.25">
      <c r="A213" t="s">
        <v>48</v>
      </c>
      <c r="L213" t="s">
        <v>14</v>
      </c>
      <c r="M213">
        <v>1</v>
      </c>
      <c r="O213" s="5" t="s">
        <v>78</v>
      </c>
    </row>
    <row r="214" spans="1:15" x14ac:dyDescent="0.25">
      <c r="A214" s="5" t="s">
        <v>49</v>
      </c>
      <c r="B214" s="5"/>
      <c r="F214" s="5"/>
      <c r="G214" s="5"/>
      <c r="H214" s="5"/>
      <c r="I214" s="5"/>
      <c r="J214" s="5"/>
      <c r="K214" s="5"/>
      <c r="L214" t="s">
        <v>14</v>
      </c>
      <c r="M214">
        <v>1</v>
      </c>
      <c r="O214" s="5" t="s">
        <v>78</v>
      </c>
    </row>
    <row r="215" spans="1:15" x14ac:dyDescent="0.25">
      <c r="A215" s="5" t="s">
        <v>50</v>
      </c>
      <c r="B215" s="5"/>
      <c r="F215" s="5"/>
      <c r="G215" s="5"/>
      <c r="H215" s="5"/>
      <c r="I215" s="5"/>
      <c r="J215" s="5"/>
      <c r="K215" s="5"/>
      <c r="L215" t="s">
        <v>14</v>
      </c>
      <c r="M215">
        <v>1</v>
      </c>
      <c r="O215" s="5" t="s">
        <v>78</v>
      </c>
    </row>
    <row r="216" spans="1:15" x14ac:dyDescent="0.25">
      <c r="A216" s="5" t="s">
        <v>51</v>
      </c>
      <c r="B216" s="5"/>
      <c r="F216" s="5"/>
      <c r="G216" s="5"/>
      <c r="H216" s="5"/>
      <c r="I216" s="5"/>
      <c r="J216" s="5"/>
      <c r="K216" s="5"/>
      <c r="L216" t="s">
        <v>14</v>
      </c>
      <c r="M216">
        <v>1</v>
      </c>
      <c r="O216" s="5" t="s">
        <v>78</v>
      </c>
    </row>
    <row r="217" spans="1:15" x14ac:dyDescent="0.25">
      <c r="A217" s="5" t="s">
        <v>52</v>
      </c>
      <c r="B217" s="5"/>
      <c r="F217" s="5"/>
      <c r="G217" s="5"/>
      <c r="H217" s="5"/>
      <c r="I217" s="5"/>
      <c r="J217" s="5"/>
      <c r="K217" s="5"/>
      <c r="L217" t="s">
        <v>14</v>
      </c>
      <c r="M217">
        <v>1</v>
      </c>
      <c r="O217" s="5" t="s">
        <v>78</v>
      </c>
    </row>
    <row r="218" spans="1:15" x14ac:dyDescent="0.25">
      <c r="A218" s="5" t="s">
        <v>53</v>
      </c>
      <c r="B218" s="5"/>
      <c r="F218" s="5"/>
      <c r="G218" s="5"/>
      <c r="H218" s="5"/>
      <c r="I218" s="5"/>
      <c r="J218" s="5"/>
      <c r="K218" s="5"/>
      <c r="L218" t="s">
        <v>14</v>
      </c>
      <c r="M218">
        <v>1</v>
      </c>
      <c r="O218" s="5" t="s">
        <v>78</v>
      </c>
    </row>
    <row r="219" spans="1:15" x14ac:dyDescent="0.25">
      <c r="A219" s="5" t="s">
        <v>54</v>
      </c>
      <c r="B219" s="5"/>
      <c r="F219" s="5"/>
      <c r="G219" s="5"/>
      <c r="H219" s="5"/>
      <c r="I219" s="5"/>
      <c r="J219" s="5"/>
      <c r="K219" s="5"/>
      <c r="L219" t="s">
        <v>14</v>
      </c>
      <c r="M219">
        <v>1</v>
      </c>
      <c r="O219" s="5" t="s">
        <v>78</v>
      </c>
    </row>
    <row r="220" spans="1:15" x14ac:dyDescent="0.25">
      <c r="A220" s="5" t="s">
        <v>55</v>
      </c>
      <c r="B220" s="5"/>
      <c r="F220" s="5"/>
      <c r="G220" s="5"/>
      <c r="H220" s="5"/>
      <c r="I220" s="5"/>
      <c r="J220" s="5"/>
      <c r="K220" s="5"/>
      <c r="L220" t="s">
        <v>14</v>
      </c>
      <c r="M220">
        <v>1</v>
      </c>
      <c r="O220" s="5" t="s">
        <v>78</v>
      </c>
    </row>
    <row r="221" spans="1:15" x14ac:dyDescent="0.25">
      <c r="A221" s="5" t="s">
        <v>56</v>
      </c>
      <c r="B221" s="5"/>
      <c r="F221" s="5"/>
      <c r="G221" s="5"/>
      <c r="H221" s="5"/>
      <c r="I221" s="5"/>
      <c r="J221" s="5"/>
      <c r="K221" s="5"/>
      <c r="L221" t="s">
        <v>14</v>
      </c>
      <c r="M221">
        <v>1</v>
      </c>
      <c r="O221" s="5" t="s">
        <v>78</v>
      </c>
    </row>
    <row r="222" spans="1:15" x14ac:dyDescent="0.25">
      <c r="A222" s="5" t="s">
        <v>57</v>
      </c>
      <c r="B222" s="5"/>
      <c r="F222" s="5"/>
      <c r="G222" s="5"/>
      <c r="H222" s="5"/>
      <c r="I222" s="5"/>
      <c r="J222" s="5"/>
      <c r="K222" s="5"/>
      <c r="L222" t="s">
        <v>14</v>
      </c>
      <c r="M222">
        <v>1</v>
      </c>
      <c r="O222" s="5" t="s">
        <v>78</v>
      </c>
    </row>
    <row r="223" spans="1:15" x14ac:dyDescent="0.25">
      <c r="A223" s="5" t="s">
        <v>58</v>
      </c>
      <c r="B223" s="5"/>
      <c r="F223" s="5"/>
      <c r="G223" s="5"/>
      <c r="H223" s="5"/>
      <c r="I223" s="5"/>
      <c r="J223" s="5"/>
      <c r="K223" s="5"/>
      <c r="L223" t="s">
        <v>14</v>
      </c>
      <c r="M223">
        <v>1</v>
      </c>
      <c r="O223" s="5" t="s">
        <v>78</v>
      </c>
    </row>
    <row r="224" spans="1:15" x14ac:dyDescent="0.25">
      <c r="A224" s="5" t="s">
        <v>59</v>
      </c>
      <c r="B224" s="5"/>
      <c r="F224" s="5"/>
      <c r="G224" s="5"/>
      <c r="H224" s="5"/>
      <c r="I224" s="5"/>
      <c r="J224" s="5"/>
      <c r="K224" s="5"/>
      <c r="L224" t="s">
        <v>14</v>
      </c>
      <c r="M224">
        <v>1</v>
      </c>
      <c r="O224" s="5" t="s">
        <v>78</v>
      </c>
    </row>
    <row r="225" spans="1:16" x14ac:dyDescent="0.25">
      <c r="A225" s="5" t="s">
        <v>60</v>
      </c>
      <c r="B225" s="5"/>
      <c r="F225" s="5"/>
      <c r="G225" s="5"/>
      <c r="H225" s="5"/>
      <c r="I225" s="5"/>
      <c r="J225" s="5"/>
      <c r="K225" s="5"/>
      <c r="L225" t="s">
        <v>14</v>
      </c>
      <c r="M225">
        <v>1</v>
      </c>
      <c r="O225" s="5" t="s">
        <v>78</v>
      </c>
    </row>
    <row r="226" spans="1:16" x14ac:dyDescent="0.25">
      <c r="A226" s="5" t="s">
        <v>61</v>
      </c>
      <c r="B226" s="5"/>
      <c r="F226" s="5"/>
      <c r="G226" s="5"/>
      <c r="H226" s="5"/>
      <c r="I226" s="5"/>
      <c r="J226" s="5"/>
      <c r="K226" s="5"/>
      <c r="L226" t="s">
        <v>14</v>
      </c>
      <c r="M226">
        <v>1</v>
      </c>
      <c r="O226" s="5" t="s">
        <v>78</v>
      </c>
    </row>
    <row r="227" spans="1:16" x14ac:dyDescent="0.25">
      <c r="A227" s="5" t="s">
        <v>62</v>
      </c>
      <c r="B227" s="5"/>
      <c r="F227" s="5"/>
      <c r="G227" s="5"/>
      <c r="H227" s="5"/>
      <c r="I227" s="5"/>
      <c r="J227" s="5"/>
      <c r="K227" s="5"/>
      <c r="L227" t="s">
        <v>14</v>
      </c>
      <c r="M227">
        <v>1</v>
      </c>
      <c r="O227" s="5" t="s">
        <v>78</v>
      </c>
    </row>
    <row r="228" spans="1:16" x14ac:dyDescent="0.25">
      <c r="A228" s="5" t="s">
        <v>63</v>
      </c>
      <c r="B228" s="5"/>
      <c r="F228" s="5"/>
      <c r="G228" s="5"/>
      <c r="H228" s="5"/>
      <c r="I228" s="5"/>
      <c r="J228" s="5"/>
      <c r="K228" s="5"/>
      <c r="L228" t="s">
        <v>14</v>
      </c>
      <c r="M228">
        <v>1</v>
      </c>
      <c r="O228" s="5" t="s">
        <v>78</v>
      </c>
    </row>
    <row r="229" spans="1:16" x14ac:dyDescent="0.25">
      <c r="A229" s="5" t="s">
        <v>64</v>
      </c>
      <c r="B229" s="5"/>
      <c r="F229" s="5"/>
      <c r="G229" s="5"/>
      <c r="H229" s="5"/>
      <c r="I229" s="5"/>
      <c r="J229" s="5"/>
      <c r="K229" s="5"/>
      <c r="L229" t="s">
        <v>14</v>
      </c>
      <c r="M229">
        <v>1</v>
      </c>
      <c r="O229" s="5" t="s">
        <v>78</v>
      </c>
    </row>
    <row r="230" spans="1:16" x14ac:dyDescent="0.25">
      <c r="A230" s="5" t="s">
        <v>65</v>
      </c>
      <c r="B230" s="5"/>
      <c r="F230" s="5"/>
      <c r="G230" s="5"/>
      <c r="H230" s="5"/>
      <c r="I230" s="5"/>
      <c r="J230" s="5"/>
      <c r="K230" s="5"/>
      <c r="L230" t="s">
        <v>14</v>
      </c>
      <c r="M230">
        <v>1</v>
      </c>
      <c r="O230" s="5" t="s">
        <v>78</v>
      </c>
    </row>
    <row r="231" spans="1:16" x14ac:dyDescent="0.25">
      <c r="A231" s="5" t="s">
        <v>66</v>
      </c>
      <c r="B231" s="5"/>
      <c r="F231" s="5"/>
      <c r="G231" s="5"/>
      <c r="H231" s="5"/>
      <c r="I231" s="5"/>
      <c r="J231" s="5"/>
      <c r="K231" s="5"/>
      <c r="L231" t="s">
        <v>14</v>
      </c>
      <c r="M231">
        <v>1</v>
      </c>
      <c r="O231" s="5" t="s">
        <v>78</v>
      </c>
    </row>
    <row r="232" spans="1:16" x14ac:dyDescent="0.25">
      <c r="A232" s="5" t="s">
        <v>67</v>
      </c>
      <c r="B232" s="5"/>
      <c r="F232" s="5"/>
      <c r="G232" s="5"/>
      <c r="H232" s="5"/>
      <c r="I232" s="5"/>
      <c r="J232" s="5"/>
      <c r="K232" s="5"/>
      <c r="L232" t="s">
        <v>14</v>
      </c>
      <c r="M232">
        <v>1</v>
      </c>
      <c r="O232" s="5" t="s">
        <v>78</v>
      </c>
    </row>
    <row r="233" spans="1:16" x14ac:dyDescent="0.25">
      <c r="A233" s="5" t="s">
        <v>68</v>
      </c>
      <c r="B233" s="5"/>
      <c r="F233" s="5"/>
      <c r="G233" s="5"/>
      <c r="H233" s="5"/>
      <c r="I233" s="5"/>
      <c r="J233" s="5"/>
      <c r="K233" s="5"/>
      <c r="L233" t="s">
        <v>14</v>
      </c>
      <c r="M233">
        <v>1</v>
      </c>
      <c r="O233" s="5" t="s">
        <v>78</v>
      </c>
    </row>
    <row r="234" spans="1:16" x14ac:dyDescent="0.25">
      <c r="A234" s="5" t="s">
        <v>69</v>
      </c>
      <c r="B234" s="5"/>
      <c r="F234" s="5"/>
      <c r="G234" s="5"/>
      <c r="H234" s="5"/>
      <c r="I234" s="5"/>
      <c r="J234" s="5"/>
      <c r="K234" s="5"/>
      <c r="L234" t="s">
        <v>14</v>
      </c>
      <c r="M234">
        <v>1</v>
      </c>
      <c r="O234" s="5" t="s">
        <v>78</v>
      </c>
    </row>
    <row r="235" spans="1:16" x14ac:dyDescent="0.25">
      <c r="A235" s="5" t="s">
        <v>70</v>
      </c>
      <c r="B235" s="5"/>
      <c r="F235" s="5"/>
      <c r="G235" s="5"/>
      <c r="H235" s="5"/>
      <c r="I235" s="5"/>
      <c r="J235" s="5"/>
      <c r="K235" s="5"/>
      <c r="L235" t="s">
        <v>14</v>
      </c>
      <c r="M235">
        <v>1</v>
      </c>
      <c r="O235" s="5" t="s">
        <v>78</v>
      </c>
    </row>
    <row r="236" spans="1:16" x14ac:dyDescent="0.25">
      <c r="A236" s="5" t="s">
        <v>71</v>
      </c>
      <c r="B236" s="5"/>
      <c r="F236" s="5"/>
      <c r="G236" s="5"/>
      <c r="H236" s="5"/>
      <c r="I236" s="5"/>
      <c r="J236" s="5"/>
      <c r="K236" s="5"/>
      <c r="L236" t="s">
        <v>14</v>
      </c>
      <c r="M236">
        <v>1</v>
      </c>
      <c r="O236" s="5" t="s">
        <v>78</v>
      </c>
    </row>
    <row r="237" spans="1:16" x14ac:dyDescent="0.25">
      <c r="A237" s="5" t="s">
        <v>72</v>
      </c>
      <c r="B237" s="5"/>
      <c r="F237" s="5"/>
      <c r="G237" s="5"/>
      <c r="H237" s="5"/>
      <c r="I237" s="5"/>
      <c r="J237" s="5"/>
      <c r="K237" s="5"/>
      <c r="L237" t="s">
        <v>14</v>
      </c>
      <c r="M237">
        <v>1</v>
      </c>
      <c r="O237" s="5" t="s">
        <v>78</v>
      </c>
    </row>
    <row r="239" spans="1:16" x14ac:dyDescent="0.25">
      <c r="A239" s="2" t="s">
        <v>178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 spans="1:16" x14ac:dyDescent="0.25">
      <c r="K240" s="6" t="s">
        <v>131</v>
      </c>
      <c r="L240" s="6" t="s">
        <v>161</v>
      </c>
      <c r="M240" s="14">
        <v>0</v>
      </c>
      <c r="N240" s="6" t="s">
        <v>132</v>
      </c>
      <c r="O240" s="6" t="s">
        <v>165</v>
      </c>
    </row>
    <row r="241" spans="1:16" x14ac:dyDescent="0.25">
      <c r="A241" s="1" t="s">
        <v>166</v>
      </c>
      <c r="B241" s="1"/>
      <c r="K241" s="6"/>
      <c r="L241" s="6"/>
      <c r="M241" s="14"/>
      <c r="N241" s="6"/>
      <c r="O241" s="6"/>
    </row>
    <row r="242" spans="1:16" x14ac:dyDescent="0.25">
      <c r="F242" t="s">
        <v>125</v>
      </c>
      <c r="K242" t="s">
        <v>131</v>
      </c>
      <c r="L242" t="s">
        <v>161</v>
      </c>
      <c r="M242" s="12">
        <f>8/1000*(14/(1*14+3*2))*100</f>
        <v>0.55999999999999994</v>
      </c>
      <c r="N242" t="s">
        <v>132</v>
      </c>
      <c r="O242" s="5" t="s">
        <v>135</v>
      </c>
      <c r="P242" t="s">
        <v>128</v>
      </c>
    </row>
    <row r="243" spans="1:16" x14ac:dyDescent="0.25">
      <c r="F243" t="s">
        <v>126</v>
      </c>
      <c r="K243" t="s">
        <v>131</v>
      </c>
      <c r="L243" t="s">
        <v>161</v>
      </c>
      <c r="M243" s="12">
        <f>15/1000*(14/(1*14+3*2))*100</f>
        <v>1.0499999999999998</v>
      </c>
      <c r="N243" t="s">
        <v>132</v>
      </c>
      <c r="P243" t="s">
        <v>128</v>
      </c>
    </row>
    <row r="244" spans="1:16" x14ac:dyDescent="0.25">
      <c r="F244" t="s">
        <v>124</v>
      </c>
      <c r="K244" t="s">
        <v>131</v>
      </c>
      <c r="L244" t="s">
        <v>161</v>
      </c>
      <c r="M244" s="12">
        <f>50/1000*(14/(1*14+3*2))*100</f>
        <v>3.4999999999999996</v>
      </c>
      <c r="N244" t="s">
        <v>132</v>
      </c>
      <c r="P244" t="s">
        <v>128</v>
      </c>
    </row>
    <row r="245" spans="1:16" x14ac:dyDescent="0.25">
      <c r="A245" s="1" t="s">
        <v>167</v>
      </c>
      <c r="B245" s="1"/>
      <c r="C245" s="7" t="s">
        <v>186</v>
      </c>
    </row>
    <row r="246" spans="1:16" x14ac:dyDescent="0.25">
      <c r="G246" t="s">
        <v>140</v>
      </c>
      <c r="H246" t="s">
        <v>141</v>
      </c>
      <c r="I246" t="s">
        <v>142</v>
      </c>
      <c r="J246" t="s">
        <v>152</v>
      </c>
      <c r="K246" t="s">
        <v>131</v>
      </c>
      <c r="L246" t="s">
        <v>161</v>
      </c>
      <c r="M246">
        <v>33</v>
      </c>
      <c r="N246" t="s">
        <v>132</v>
      </c>
      <c r="P246" t="s">
        <v>168</v>
      </c>
    </row>
    <row r="247" spans="1:16" x14ac:dyDescent="0.25">
      <c r="G247" t="s">
        <v>140</v>
      </c>
      <c r="H247" t="s">
        <v>141</v>
      </c>
      <c r="I247" t="s">
        <v>142</v>
      </c>
      <c r="J247" t="s">
        <v>153</v>
      </c>
      <c r="K247" t="s">
        <v>131</v>
      </c>
      <c r="L247" t="s">
        <v>161</v>
      </c>
      <c r="M247">
        <v>38</v>
      </c>
      <c r="N247" t="s">
        <v>132</v>
      </c>
      <c r="P247" t="s">
        <v>168</v>
      </c>
    </row>
    <row r="248" spans="1:16" x14ac:dyDescent="0.25">
      <c r="G248" t="s">
        <v>140</v>
      </c>
      <c r="H248" t="s">
        <v>141</v>
      </c>
      <c r="I248" t="s">
        <v>142</v>
      </c>
      <c r="J248" t="s">
        <v>154</v>
      </c>
      <c r="K248" t="s">
        <v>131</v>
      </c>
      <c r="L248" t="s">
        <v>161</v>
      </c>
      <c r="M248">
        <v>41</v>
      </c>
      <c r="N248" t="s">
        <v>132</v>
      </c>
      <c r="P248" t="s">
        <v>168</v>
      </c>
    </row>
    <row r="249" spans="1:16" x14ac:dyDescent="0.25">
      <c r="G249" t="s">
        <v>140</v>
      </c>
      <c r="H249" t="s">
        <v>141</v>
      </c>
      <c r="I249" t="s">
        <v>142</v>
      </c>
      <c r="J249" t="s">
        <v>201</v>
      </c>
      <c r="K249" t="s">
        <v>131</v>
      </c>
      <c r="L249" t="s">
        <v>161</v>
      </c>
      <c r="M249">
        <v>33</v>
      </c>
      <c r="N249" t="s">
        <v>132</v>
      </c>
      <c r="P249" t="s">
        <v>168</v>
      </c>
    </row>
    <row r="250" spans="1:16" x14ac:dyDescent="0.25">
      <c r="G250" t="s">
        <v>140</v>
      </c>
      <c r="H250" t="s">
        <v>143</v>
      </c>
      <c r="I250" t="s">
        <v>142</v>
      </c>
      <c r="J250" t="s">
        <v>152</v>
      </c>
      <c r="K250" t="s">
        <v>131</v>
      </c>
      <c r="L250" t="s">
        <v>161</v>
      </c>
      <c r="M250">
        <v>32</v>
      </c>
      <c r="N250" t="s">
        <v>132</v>
      </c>
      <c r="P250" t="s">
        <v>168</v>
      </c>
    </row>
    <row r="251" spans="1:16" x14ac:dyDescent="0.25">
      <c r="G251" t="s">
        <v>140</v>
      </c>
      <c r="H251" t="s">
        <v>143</v>
      </c>
      <c r="I251" t="s">
        <v>142</v>
      </c>
      <c r="J251" t="s">
        <v>153</v>
      </c>
      <c r="K251" t="s">
        <v>131</v>
      </c>
      <c r="L251" t="s">
        <v>161</v>
      </c>
      <c r="M251">
        <v>39</v>
      </c>
      <c r="N251" t="s">
        <v>132</v>
      </c>
      <c r="P251" t="s">
        <v>168</v>
      </c>
    </row>
    <row r="252" spans="1:16" x14ac:dyDescent="0.25">
      <c r="G252" t="s">
        <v>140</v>
      </c>
      <c r="H252" t="s">
        <v>143</v>
      </c>
      <c r="I252" t="s">
        <v>142</v>
      </c>
      <c r="J252" t="s">
        <v>154</v>
      </c>
      <c r="K252" t="s">
        <v>131</v>
      </c>
      <c r="L252" t="s">
        <v>161</v>
      </c>
      <c r="M252">
        <v>46</v>
      </c>
      <c r="N252" t="s">
        <v>132</v>
      </c>
      <c r="P252" t="s">
        <v>168</v>
      </c>
    </row>
    <row r="253" spans="1:16" x14ac:dyDescent="0.25">
      <c r="G253" t="s">
        <v>140</v>
      </c>
      <c r="H253" t="s">
        <v>143</v>
      </c>
      <c r="I253" t="s">
        <v>142</v>
      </c>
      <c r="J253" t="s">
        <v>201</v>
      </c>
      <c r="K253" t="s">
        <v>131</v>
      </c>
      <c r="L253" t="s">
        <v>161</v>
      </c>
      <c r="M253">
        <v>32</v>
      </c>
      <c r="N253" t="s">
        <v>132</v>
      </c>
      <c r="P253" t="s">
        <v>168</v>
      </c>
    </row>
    <row r="254" spans="1:16" x14ac:dyDescent="0.25">
      <c r="G254" t="s">
        <v>140</v>
      </c>
      <c r="I254" t="s">
        <v>144</v>
      </c>
      <c r="J254" t="s">
        <v>152</v>
      </c>
      <c r="K254" t="s">
        <v>131</v>
      </c>
      <c r="L254" t="s">
        <v>161</v>
      </c>
      <c r="M254">
        <v>32</v>
      </c>
      <c r="N254" t="s">
        <v>132</v>
      </c>
      <c r="P254" t="s">
        <v>168</v>
      </c>
    </row>
    <row r="255" spans="1:16" x14ac:dyDescent="0.25">
      <c r="G255" t="s">
        <v>140</v>
      </c>
      <c r="I255" t="s">
        <v>144</v>
      </c>
      <c r="J255" t="s">
        <v>153</v>
      </c>
      <c r="K255" t="s">
        <v>131</v>
      </c>
      <c r="L255" t="s">
        <v>161</v>
      </c>
      <c r="M255">
        <v>38</v>
      </c>
      <c r="N255" t="s">
        <v>132</v>
      </c>
      <c r="P255" t="s">
        <v>168</v>
      </c>
    </row>
    <row r="256" spans="1:16" x14ac:dyDescent="0.25">
      <c r="G256" t="s">
        <v>140</v>
      </c>
      <c r="I256" t="s">
        <v>144</v>
      </c>
      <c r="J256" t="s">
        <v>154</v>
      </c>
      <c r="K256" t="s">
        <v>131</v>
      </c>
      <c r="L256" t="s">
        <v>161</v>
      </c>
      <c r="M256">
        <v>47</v>
      </c>
      <c r="N256" t="s">
        <v>132</v>
      </c>
      <c r="P256" t="s">
        <v>168</v>
      </c>
    </row>
    <row r="257" spans="7:16" x14ac:dyDescent="0.25">
      <c r="G257" t="s">
        <v>140</v>
      </c>
      <c r="I257" t="s">
        <v>144</v>
      </c>
      <c r="J257" t="s">
        <v>201</v>
      </c>
      <c r="K257" t="s">
        <v>131</v>
      </c>
      <c r="L257" t="s">
        <v>161</v>
      </c>
      <c r="M257">
        <v>32</v>
      </c>
      <c r="N257" t="s">
        <v>132</v>
      </c>
      <c r="P257" t="s">
        <v>168</v>
      </c>
    </row>
    <row r="258" spans="7:16" x14ac:dyDescent="0.25">
      <c r="G258" t="s">
        <v>140</v>
      </c>
      <c r="I258" t="s">
        <v>145</v>
      </c>
      <c r="J258" t="s">
        <v>152</v>
      </c>
      <c r="K258" t="s">
        <v>131</v>
      </c>
      <c r="L258" t="s">
        <v>161</v>
      </c>
      <c r="M258">
        <v>33</v>
      </c>
      <c r="N258" t="s">
        <v>132</v>
      </c>
      <c r="P258" t="s">
        <v>168</v>
      </c>
    </row>
    <row r="259" spans="7:16" x14ac:dyDescent="0.25">
      <c r="G259" t="s">
        <v>140</v>
      </c>
      <c r="I259" t="s">
        <v>145</v>
      </c>
      <c r="J259" t="s">
        <v>153</v>
      </c>
      <c r="K259" t="s">
        <v>131</v>
      </c>
      <c r="L259" t="s">
        <v>161</v>
      </c>
      <c r="M259">
        <v>39</v>
      </c>
      <c r="N259" t="s">
        <v>132</v>
      </c>
      <c r="P259" t="s">
        <v>168</v>
      </c>
    </row>
    <row r="260" spans="7:16" x14ac:dyDescent="0.25">
      <c r="G260" t="s">
        <v>140</v>
      </c>
      <c r="I260" t="s">
        <v>145</v>
      </c>
      <c r="J260" t="s">
        <v>154</v>
      </c>
      <c r="K260" t="s">
        <v>131</v>
      </c>
      <c r="L260" t="s">
        <v>161</v>
      </c>
      <c r="M260">
        <v>47</v>
      </c>
      <c r="N260" t="s">
        <v>132</v>
      </c>
      <c r="P260" t="s">
        <v>168</v>
      </c>
    </row>
    <row r="261" spans="7:16" x14ac:dyDescent="0.25">
      <c r="G261" t="s">
        <v>140</v>
      </c>
      <c r="I261" t="s">
        <v>145</v>
      </c>
      <c r="J261" t="s">
        <v>201</v>
      </c>
      <c r="K261" t="s">
        <v>131</v>
      </c>
      <c r="L261" t="s">
        <v>161</v>
      </c>
      <c r="M261">
        <v>33</v>
      </c>
      <c r="N261" t="s">
        <v>132</v>
      </c>
      <c r="P261" t="s">
        <v>168</v>
      </c>
    </row>
    <row r="262" spans="7:16" x14ac:dyDescent="0.25">
      <c r="G262" t="s">
        <v>140</v>
      </c>
      <c r="J262" t="s">
        <v>152</v>
      </c>
      <c r="K262" t="s">
        <v>131</v>
      </c>
      <c r="L262" t="s">
        <v>161</v>
      </c>
      <c r="M262">
        <v>32</v>
      </c>
      <c r="N262" t="s">
        <v>132</v>
      </c>
      <c r="O262" t="s">
        <v>155</v>
      </c>
      <c r="P262" t="s">
        <v>168</v>
      </c>
    </row>
    <row r="263" spans="7:16" x14ac:dyDescent="0.25">
      <c r="G263" t="s">
        <v>140</v>
      </c>
      <c r="J263" t="s">
        <v>153</v>
      </c>
      <c r="K263" t="s">
        <v>131</v>
      </c>
      <c r="L263" t="s">
        <v>161</v>
      </c>
      <c r="M263">
        <v>39</v>
      </c>
      <c r="N263" t="s">
        <v>132</v>
      </c>
      <c r="O263" t="s">
        <v>155</v>
      </c>
      <c r="P263" t="s">
        <v>168</v>
      </c>
    </row>
    <row r="264" spans="7:16" x14ac:dyDescent="0.25">
      <c r="G264" t="s">
        <v>140</v>
      </c>
      <c r="J264" t="s">
        <v>154</v>
      </c>
      <c r="K264" t="s">
        <v>131</v>
      </c>
      <c r="L264" t="s">
        <v>161</v>
      </c>
      <c r="M264">
        <v>46</v>
      </c>
      <c r="N264" t="s">
        <v>132</v>
      </c>
      <c r="O264" t="s">
        <v>155</v>
      </c>
      <c r="P264" t="s">
        <v>168</v>
      </c>
    </row>
    <row r="265" spans="7:16" x14ac:dyDescent="0.25">
      <c r="G265" t="s">
        <v>140</v>
      </c>
      <c r="J265" t="s">
        <v>201</v>
      </c>
      <c r="K265" t="s">
        <v>131</v>
      </c>
      <c r="L265" t="s">
        <v>161</v>
      </c>
      <c r="M265">
        <v>32</v>
      </c>
      <c r="N265" t="s">
        <v>132</v>
      </c>
      <c r="O265" t="s">
        <v>155</v>
      </c>
      <c r="P265" t="s">
        <v>168</v>
      </c>
    </row>
    <row r="266" spans="7:16" x14ac:dyDescent="0.25">
      <c r="G266" t="s">
        <v>140</v>
      </c>
      <c r="J266" t="s">
        <v>170</v>
      </c>
      <c r="K266" t="s">
        <v>131</v>
      </c>
      <c r="L266" t="s">
        <v>161</v>
      </c>
      <c r="M266">
        <v>14</v>
      </c>
      <c r="N266" t="s">
        <v>132</v>
      </c>
      <c r="P266" t="s">
        <v>185</v>
      </c>
    </row>
    <row r="267" spans="7:16" x14ac:dyDescent="0.25">
      <c r="G267" t="s">
        <v>158</v>
      </c>
      <c r="J267" t="s">
        <v>153</v>
      </c>
      <c r="K267" t="s">
        <v>131</v>
      </c>
      <c r="L267" t="s">
        <v>161</v>
      </c>
      <c r="M267">
        <v>43</v>
      </c>
      <c r="N267" t="s">
        <v>132</v>
      </c>
      <c r="P267" t="s">
        <v>168</v>
      </c>
    </row>
    <row r="268" spans="7:16" x14ac:dyDescent="0.25">
      <c r="G268" t="s">
        <v>158</v>
      </c>
      <c r="J268" t="s">
        <v>154</v>
      </c>
      <c r="K268" t="s">
        <v>131</v>
      </c>
      <c r="L268" t="s">
        <v>161</v>
      </c>
      <c r="M268">
        <v>47</v>
      </c>
      <c r="N268" t="s">
        <v>132</v>
      </c>
      <c r="P268" t="s">
        <v>168</v>
      </c>
    </row>
    <row r="269" spans="7:16" x14ac:dyDescent="0.25">
      <c r="G269" t="s">
        <v>158</v>
      </c>
      <c r="J269" t="s">
        <v>202</v>
      </c>
      <c r="K269" t="s">
        <v>131</v>
      </c>
      <c r="L269" t="s">
        <v>161</v>
      </c>
      <c r="M269">
        <v>43</v>
      </c>
      <c r="N269" t="s">
        <v>132</v>
      </c>
      <c r="P269" t="s">
        <v>168</v>
      </c>
    </row>
    <row r="270" spans="7:16" x14ac:dyDescent="0.25">
      <c r="G270" t="s">
        <v>158</v>
      </c>
      <c r="J270" t="s">
        <v>170</v>
      </c>
      <c r="K270" t="s">
        <v>131</v>
      </c>
      <c r="L270" t="s">
        <v>161</v>
      </c>
      <c r="M270">
        <v>35</v>
      </c>
      <c r="N270" t="s">
        <v>132</v>
      </c>
      <c r="P270" t="s">
        <v>185</v>
      </c>
    </row>
    <row r="271" spans="7:16" x14ac:dyDescent="0.25">
      <c r="G271" t="s">
        <v>203</v>
      </c>
      <c r="J271" t="s">
        <v>153</v>
      </c>
      <c r="K271" t="s">
        <v>131</v>
      </c>
      <c r="L271" t="s">
        <v>161</v>
      </c>
      <c r="M271">
        <v>43</v>
      </c>
      <c r="N271" t="s">
        <v>132</v>
      </c>
      <c r="P271" t="s">
        <v>168</v>
      </c>
    </row>
    <row r="272" spans="7:16" x14ac:dyDescent="0.25">
      <c r="G272" t="s">
        <v>203</v>
      </c>
      <c r="J272" t="s">
        <v>170</v>
      </c>
      <c r="K272" t="s">
        <v>131</v>
      </c>
      <c r="L272" t="s">
        <v>161</v>
      </c>
      <c r="M272">
        <v>9</v>
      </c>
      <c r="N272" t="s">
        <v>132</v>
      </c>
      <c r="P272" t="s">
        <v>185</v>
      </c>
    </row>
    <row r="273" spans="7:16" x14ac:dyDescent="0.25">
      <c r="G273" t="s">
        <v>146</v>
      </c>
      <c r="I273" t="s">
        <v>147</v>
      </c>
      <c r="J273" t="s">
        <v>152</v>
      </c>
      <c r="K273" t="s">
        <v>131</v>
      </c>
      <c r="L273" t="s">
        <v>161</v>
      </c>
      <c r="M273">
        <v>30</v>
      </c>
      <c r="N273" t="s">
        <v>132</v>
      </c>
      <c r="P273" t="s">
        <v>168</v>
      </c>
    </row>
    <row r="274" spans="7:16" x14ac:dyDescent="0.25">
      <c r="G274" t="s">
        <v>146</v>
      </c>
      <c r="I274" t="s">
        <v>147</v>
      </c>
      <c r="J274" t="s">
        <v>153</v>
      </c>
      <c r="K274" t="s">
        <v>131</v>
      </c>
      <c r="L274" t="s">
        <v>161</v>
      </c>
      <c r="M274">
        <v>35</v>
      </c>
      <c r="N274" t="s">
        <v>132</v>
      </c>
      <c r="P274" t="s">
        <v>168</v>
      </c>
    </row>
    <row r="275" spans="7:16" x14ac:dyDescent="0.25">
      <c r="G275" t="s">
        <v>146</v>
      </c>
      <c r="I275" t="s">
        <v>147</v>
      </c>
      <c r="J275" t="s">
        <v>154</v>
      </c>
      <c r="K275" t="s">
        <v>131</v>
      </c>
      <c r="L275" t="s">
        <v>161</v>
      </c>
      <c r="M275">
        <v>48</v>
      </c>
      <c r="N275" t="s">
        <v>132</v>
      </c>
      <c r="P275" t="s">
        <v>168</v>
      </c>
    </row>
    <row r="276" spans="7:16" x14ac:dyDescent="0.25">
      <c r="G276" t="s">
        <v>146</v>
      </c>
      <c r="I276" t="s">
        <v>147</v>
      </c>
      <c r="J276" t="s">
        <v>201</v>
      </c>
      <c r="K276" t="s">
        <v>131</v>
      </c>
      <c r="L276" t="s">
        <v>161</v>
      </c>
      <c r="M276">
        <v>30</v>
      </c>
      <c r="N276" t="s">
        <v>132</v>
      </c>
      <c r="P276" t="s">
        <v>168</v>
      </c>
    </row>
    <row r="277" spans="7:16" x14ac:dyDescent="0.25">
      <c r="G277" t="s">
        <v>146</v>
      </c>
      <c r="I277" t="s">
        <v>150</v>
      </c>
      <c r="J277" t="s">
        <v>152</v>
      </c>
      <c r="K277" t="s">
        <v>131</v>
      </c>
      <c r="L277" t="s">
        <v>161</v>
      </c>
      <c r="M277" s="13">
        <f>M273</f>
        <v>30</v>
      </c>
      <c r="N277" t="s">
        <v>132</v>
      </c>
      <c r="O277" t="s">
        <v>157</v>
      </c>
    </row>
    <row r="278" spans="7:16" x14ac:dyDescent="0.25">
      <c r="G278" t="s">
        <v>146</v>
      </c>
      <c r="I278" t="s">
        <v>150</v>
      </c>
      <c r="J278" t="s">
        <v>153</v>
      </c>
      <c r="K278" t="s">
        <v>131</v>
      </c>
      <c r="L278" t="s">
        <v>161</v>
      </c>
      <c r="M278" s="13">
        <f>M274</f>
        <v>35</v>
      </c>
      <c r="N278" t="s">
        <v>132</v>
      </c>
      <c r="O278" t="s">
        <v>157</v>
      </c>
    </row>
    <row r="279" spans="7:16" x14ac:dyDescent="0.25">
      <c r="G279" t="s">
        <v>146</v>
      </c>
      <c r="I279" t="s">
        <v>150</v>
      </c>
      <c r="J279" t="s">
        <v>154</v>
      </c>
      <c r="K279" t="s">
        <v>131</v>
      </c>
      <c r="L279" t="s">
        <v>161</v>
      </c>
      <c r="M279" s="13">
        <f>M275</f>
        <v>48</v>
      </c>
      <c r="N279" t="s">
        <v>132</v>
      </c>
      <c r="O279" t="s">
        <v>157</v>
      </c>
    </row>
    <row r="280" spans="7:16" x14ac:dyDescent="0.25">
      <c r="G280" t="s">
        <v>146</v>
      </c>
      <c r="I280" t="s">
        <v>150</v>
      </c>
      <c r="J280" t="s">
        <v>201</v>
      </c>
      <c r="K280" t="s">
        <v>131</v>
      </c>
      <c r="L280" t="s">
        <v>161</v>
      </c>
      <c r="M280" s="13">
        <f>M276</f>
        <v>30</v>
      </c>
      <c r="N280" t="s">
        <v>132</v>
      </c>
      <c r="O280" t="s">
        <v>157</v>
      </c>
    </row>
    <row r="281" spans="7:16" x14ac:dyDescent="0.25">
      <c r="G281" t="s">
        <v>146</v>
      </c>
      <c r="I281" t="s">
        <v>148</v>
      </c>
      <c r="J281" t="s">
        <v>152</v>
      </c>
      <c r="K281" t="s">
        <v>131</v>
      </c>
      <c r="L281" t="s">
        <v>161</v>
      </c>
      <c r="M281">
        <v>29</v>
      </c>
      <c r="N281" t="s">
        <v>132</v>
      </c>
      <c r="P281" t="s">
        <v>168</v>
      </c>
    </row>
    <row r="282" spans="7:16" x14ac:dyDescent="0.25">
      <c r="G282" t="s">
        <v>146</v>
      </c>
      <c r="I282" t="s">
        <v>148</v>
      </c>
      <c r="J282" t="s">
        <v>153</v>
      </c>
      <c r="K282" t="s">
        <v>131</v>
      </c>
      <c r="L282" t="s">
        <v>161</v>
      </c>
      <c r="M282">
        <v>34</v>
      </c>
      <c r="N282" t="s">
        <v>132</v>
      </c>
      <c r="P282" t="s">
        <v>168</v>
      </c>
    </row>
    <row r="283" spans="7:16" x14ac:dyDescent="0.25">
      <c r="G283" t="s">
        <v>146</v>
      </c>
      <c r="I283" t="s">
        <v>148</v>
      </c>
      <c r="J283" t="s">
        <v>154</v>
      </c>
      <c r="K283" t="s">
        <v>131</v>
      </c>
      <c r="L283" t="s">
        <v>161</v>
      </c>
      <c r="M283">
        <v>46</v>
      </c>
      <c r="N283" t="s">
        <v>132</v>
      </c>
      <c r="P283" t="s">
        <v>168</v>
      </c>
    </row>
    <row r="284" spans="7:16" x14ac:dyDescent="0.25">
      <c r="G284" t="s">
        <v>146</v>
      </c>
      <c r="I284" t="s">
        <v>148</v>
      </c>
      <c r="J284" t="s">
        <v>201</v>
      </c>
      <c r="K284" t="s">
        <v>131</v>
      </c>
      <c r="L284" t="s">
        <v>161</v>
      </c>
      <c r="M284">
        <v>29</v>
      </c>
      <c r="N284" t="s">
        <v>132</v>
      </c>
      <c r="P284" t="s">
        <v>168</v>
      </c>
    </row>
    <row r="285" spans="7:16" x14ac:dyDescent="0.25">
      <c r="G285" t="s">
        <v>146</v>
      </c>
      <c r="I285" t="s">
        <v>149</v>
      </c>
      <c r="J285" t="s">
        <v>152</v>
      </c>
      <c r="K285" t="s">
        <v>131</v>
      </c>
      <c r="L285" t="s">
        <v>161</v>
      </c>
      <c r="M285">
        <v>29</v>
      </c>
      <c r="N285" t="s">
        <v>132</v>
      </c>
      <c r="P285" t="s">
        <v>168</v>
      </c>
    </row>
    <row r="286" spans="7:16" x14ac:dyDescent="0.25">
      <c r="G286" t="s">
        <v>146</v>
      </c>
      <c r="I286" t="s">
        <v>149</v>
      </c>
      <c r="J286" t="s">
        <v>153</v>
      </c>
      <c r="K286" t="s">
        <v>131</v>
      </c>
      <c r="L286" t="s">
        <v>161</v>
      </c>
      <c r="M286">
        <v>35</v>
      </c>
      <c r="N286" t="s">
        <v>132</v>
      </c>
      <c r="P286" t="s">
        <v>168</v>
      </c>
    </row>
    <row r="287" spans="7:16" x14ac:dyDescent="0.25">
      <c r="G287" t="s">
        <v>146</v>
      </c>
      <c r="I287" t="s">
        <v>149</v>
      </c>
      <c r="J287" t="s">
        <v>154</v>
      </c>
      <c r="K287" t="s">
        <v>131</v>
      </c>
      <c r="L287" t="s">
        <v>161</v>
      </c>
      <c r="M287">
        <v>48</v>
      </c>
      <c r="N287" t="s">
        <v>132</v>
      </c>
      <c r="P287" t="s">
        <v>168</v>
      </c>
    </row>
    <row r="288" spans="7:16" x14ac:dyDescent="0.25">
      <c r="G288" t="s">
        <v>146</v>
      </c>
      <c r="I288" t="s">
        <v>149</v>
      </c>
      <c r="J288" t="s">
        <v>201</v>
      </c>
      <c r="K288" t="s">
        <v>131</v>
      </c>
      <c r="L288" t="s">
        <v>161</v>
      </c>
      <c r="M288">
        <v>29</v>
      </c>
      <c r="N288" t="s">
        <v>132</v>
      </c>
      <c r="P288" t="s">
        <v>168</v>
      </c>
    </row>
    <row r="289" spans="1:16" x14ac:dyDescent="0.25">
      <c r="G289" t="s">
        <v>146</v>
      </c>
      <c r="J289" t="s">
        <v>152</v>
      </c>
      <c r="K289" t="s">
        <v>131</v>
      </c>
      <c r="L289" t="s">
        <v>161</v>
      </c>
      <c r="M289">
        <v>29</v>
      </c>
      <c r="N289" t="s">
        <v>132</v>
      </c>
      <c r="O289" t="s">
        <v>156</v>
      </c>
      <c r="P289" t="s">
        <v>168</v>
      </c>
    </row>
    <row r="290" spans="1:16" x14ac:dyDescent="0.25">
      <c r="G290" t="s">
        <v>146</v>
      </c>
      <c r="J290" t="s">
        <v>153</v>
      </c>
      <c r="K290" t="s">
        <v>131</v>
      </c>
      <c r="L290" t="s">
        <v>161</v>
      </c>
      <c r="M290">
        <v>35</v>
      </c>
      <c r="N290" t="s">
        <v>132</v>
      </c>
      <c r="O290" t="s">
        <v>156</v>
      </c>
      <c r="P290" t="s">
        <v>168</v>
      </c>
    </row>
    <row r="291" spans="1:16" x14ac:dyDescent="0.25">
      <c r="G291" t="s">
        <v>146</v>
      </c>
      <c r="J291" t="s">
        <v>154</v>
      </c>
      <c r="K291" t="s">
        <v>131</v>
      </c>
      <c r="L291" t="s">
        <v>161</v>
      </c>
      <c r="M291">
        <v>44</v>
      </c>
      <c r="N291" t="s">
        <v>132</v>
      </c>
      <c r="O291" t="s">
        <v>156</v>
      </c>
      <c r="P291" t="s">
        <v>168</v>
      </c>
    </row>
    <row r="292" spans="1:16" x14ac:dyDescent="0.25">
      <c r="G292" t="s">
        <v>146</v>
      </c>
      <c r="J292" t="s">
        <v>201</v>
      </c>
      <c r="K292" t="s">
        <v>131</v>
      </c>
      <c r="L292" t="s">
        <v>161</v>
      </c>
      <c r="M292">
        <v>29</v>
      </c>
      <c r="N292" t="s">
        <v>132</v>
      </c>
      <c r="O292" t="s">
        <v>156</v>
      </c>
      <c r="P292" t="s">
        <v>168</v>
      </c>
    </row>
    <row r="293" spans="1:16" x14ac:dyDescent="0.25">
      <c r="G293" t="s">
        <v>151</v>
      </c>
      <c r="J293" t="s">
        <v>152</v>
      </c>
      <c r="K293" t="s">
        <v>131</v>
      </c>
      <c r="L293" t="s">
        <v>161</v>
      </c>
      <c r="M293">
        <v>29</v>
      </c>
      <c r="N293" t="s">
        <v>132</v>
      </c>
      <c r="P293" t="s">
        <v>168</v>
      </c>
    </row>
    <row r="294" spans="1:16" x14ac:dyDescent="0.25">
      <c r="G294" t="s">
        <v>151</v>
      </c>
      <c r="J294" t="s">
        <v>153</v>
      </c>
      <c r="K294" t="s">
        <v>131</v>
      </c>
      <c r="L294" t="s">
        <v>161</v>
      </c>
      <c r="M294">
        <v>40</v>
      </c>
      <c r="N294" t="s">
        <v>132</v>
      </c>
      <c r="P294" t="s">
        <v>168</v>
      </c>
    </row>
    <row r="295" spans="1:16" x14ac:dyDescent="0.25">
      <c r="G295" t="s">
        <v>151</v>
      </c>
      <c r="J295" t="s">
        <v>154</v>
      </c>
      <c r="K295" t="s">
        <v>131</v>
      </c>
      <c r="L295" t="s">
        <v>161</v>
      </c>
      <c r="M295">
        <v>56</v>
      </c>
      <c r="N295" t="s">
        <v>132</v>
      </c>
      <c r="P295" t="s">
        <v>168</v>
      </c>
    </row>
    <row r="296" spans="1:16" x14ac:dyDescent="0.25">
      <c r="G296" t="s">
        <v>151</v>
      </c>
      <c r="I296" t="s">
        <v>204</v>
      </c>
      <c r="J296" t="s">
        <v>152</v>
      </c>
      <c r="K296" t="s">
        <v>131</v>
      </c>
      <c r="L296" t="s">
        <v>161</v>
      </c>
      <c r="M296">
        <v>30</v>
      </c>
      <c r="N296" t="s">
        <v>132</v>
      </c>
      <c r="P296" t="s">
        <v>168</v>
      </c>
    </row>
    <row r="297" spans="1:16" x14ac:dyDescent="0.25">
      <c r="G297" t="s">
        <v>151</v>
      </c>
      <c r="I297" t="s">
        <v>204</v>
      </c>
      <c r="J297" t="s">
        <v>153</v>
      </c>
      <c r="K297" t="s">
        <v>131</v>
      </c>
      <c r="L297" t="s">
        <v>161</v>
      </c>
      <c r="M297">
        <v>41</v>
      </c>
      <c r="N297" t="s">
        <v>132</v>
      </c>
      <c r="P297" t="s">
        <v>168</v>
      </c>
    </row>
    <row r="298" spans="1:16" x14ac:dyDescent="0.25">
      <c r="G298" t="s">
        <v>151</v>
      </c>
      <c r="I298" t="s">
        <v>204</v>
      </c>
      <c r="J298" t="s">
        <v>154</v>
      </c>
      <c r="K298" t="s">
        <v>131</v>
      </c>
      <c r="L298" t="s">
        <v>161</v>
      </c>
      <c r="M298">
        <v>56</v>
      </c>
      <c r="N298" t="s">
        <v>132</v>
      </c>
      <c r="P298" t="s">
        <v>168</v>
      </c>
    </row>
    <row r="299" spans="1:16" x14ac:dyDescent="0.25">
      <c r="G299" t="s">
        <v>151</v>
      </c>
      <c r="I299" t="s">
        <v>205</v>
      </c>
      <c r="J299" t="s">
        <v>153</v>
      </c>
      <c r="K299" t="s">
        <v>131</v>
      </c>
      <c r="L299" t="s">
        <v>161</v>
      </c>
      <c r="M299">
        <v>41</v>
      </c>
      <c r="N299" t="s">
        <v>132</v>
      </c>
      <c r="P299" t="s">
        <v>168</v>
      </c>
    </row>
    <row r="300" spans="1:16" x14ac:dyDescent="0.25">
      <c r="G300" t="s">
        <v>151</v>
      </c>
      <c r="I300" t="s">
        <v>205</v>
      </c>
      <c r="J300" t="s">
        <v>154</v>
      </c>
      <c r="K300" t="s">
        <v>131</v>
      </c>
      <c r="L300" t="s">
        <v>161</v>
      </c>
      <c r="M300">
        <v>41</v>
      </c>
      <c r="N300" t="s">
        <v>132</v>
      </c>
      <c r="P300" t="s">
        <v>168</v>
      </c>
    </row>
    <row r="302" spans="1:16" x14ac:dyDescent="0.25">
      <c r="A302" s="2" t="s">
        <v>179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4" spans="1:16" x14ac:dyDescent="0.25">
      <c r="K304" t="s">
        <v>169</v>
      </c>
      <c r="L304" t="s">
        <v>180</v>
      </c>
      <c r="M304">
        <v>1</v>
      </c>
      <c r="N304" t="s">
        <v>127</v>
      </c>
      <c r="O304" t="s">
        <v>176</v>
      </c>
      <c r="P304" t="s">
        <v>172</v>
      </c>
    </row>
    <row r="305" spans="1:16" x14ac:dyDescent="0.25">
      <c r="K305" t="s">
        <v>169</v>
      </c>
      <c r="L305" t="s">
        <v>182</v>
      </c>
      <c r="M305">
        <v>1</v>
      </c>
      <c r="N305" t="s">
        <v>127</v>
      </c>
      <c r="O305" t="s">
        <v>177</v>
      </c>
      <c r="P305" t="s">
        <v>172</v>
      </c>
    </row>
    <row r="306" spans="1:16" x14ac:dyDescent="0.25">
      <c r="G306" t="s">
        <v>140</v>
      </c>
      <c r="J306" t="s">
        <v>170</v>
      </c>
      <c r="K306" t="s">
        <v>169</v>
      </c>
      <c r="L306" t="s">
        <v>182</v>
      </c>
      <c r="M306">
        <v>2</v>
      </c>
      <c r="N306" t="s">
        <v>127</v>
      </c>
      <c r="O306" t="s">
        <v>173</v>
      </c>
      <c r="P306" t="s">
        <v>171</v>
      </c>
    </row>
    <row r="307" spans="1:16" x14ac:dyDescent="0.25">
      <c r="J307" t="s">
        <v>170</v>
      </c>
      <c r="K307" t="s">
        <v>169</v>
      </c>
      <c r="L307" t="s">
        <v>182</v>
      </c>
      <c r="M307">
        <v>1</v>
      </c>
      <c r="N307" t="s">
        <v>127</v>
      </c>
      <c r="O307" t="s">
        <v>174</v>
      </c>
      <c r="P307" t="s">
        <v>171</v>
      </c>
    </row>
    <row r="308" spans="1:16" x14ac:dyDescent="0.25">
      <c r="K308" t="s">
        <v>169</v>
      </c>
      <c r="L308" t="s">
        <v>181</v>
      </c>
      <c r="M308">
        <v>1</v>
      </c>
      <c r="N308" t="s">
        <v>127</v>
      </c>
      <c r="O308" t="s">
        <v>184</v>
      </c>
      <c r="P308" t="s">
        <v>172</v>
      </c>
    </row>
    <row r="309" spans="1:16" x14ac:dyDescent="0.25">
      <c r="K309" t="s">
        <v>169</v>
      </c>
      <c r="L309" t="s">
        <v>183</v>
      </c>
      <c r="M309">
        <v>1</v>
      </c>
      <c r="N309" t="s">
        <v>127</v>
      </c>
      <c r="O309" t="s">
        <v>175</v>
      </c>
      <c r="P309" t="s">
        <v>172</v>
      </c>
    </row>
    <row r="311" spans="1:16" x14ac:dyDescent="0.25">
      <c r="K311" t="s">
        <v>169</v>
      </c>
      <c r="L311" t="s">
        <v>187</v>
      </c>
      <c r="M311">
        <v>13</v>
      </c>
      <c r="N311" t="s">
        <v>188</v>
      </c>
    </row>
    <row r="313" spans="1:16" x14ac:dyDescent="0.25">
      <c r="A313" s="2" t="s">
        <v>190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5" spans="1:16" x14ac:dyDescent="0.25">
      <c r="B315" t="s">
        <v>196</v>
      </c>
      <c r="K315" t="s">
        <v>194</v>
      </c>
      <c r="L315" t="s">
        <v>191</v>
      </c>
      <c r="M315">
        <v>0.24</v>
      </c>
      <c r="N315" t="s">
        <v>193</v>
      </c>
      <c r="P315" t="s">
        <v>192</v>
      </c>
    </row>
    <row r="316" spans="1:16" x14ac:dyDescent="0.25">
      <c r="B316" t="s">
        <v>197</v>
      </c>
      <c r="K316" t="s">
        <v>194</v>
      </c>
      <c r="L316" t="s">
        <v>191</v>
      </c>
      <c r="M316">
        <v>0.24</v>
      </c>
      <c r="N316" t="s">
        <v>193</v>
      </c>
      <c r="P316" t="s">
        <v>192</v>
      </c>
    </row>
    <row r="317" spans="1:16" x14ac:dyDescent="0.25">
      <c r="B317" t="s">
        <v>198</v>
      </c>
      <c r="K317" t="s">
        <v>194</v>
      </c>
      <c r="L317" t="s">
        <v>191</v>
      </c>
      <c r="M317">
        <v>0</v>
      </c>
      <c r="N317" t="s">
        <v>193</v>
      </c>
      <c r="O317" t="s">
        <v>199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2023-11-20T13:30:24Z</dcterms:modified>
</cp:coreProperties>
</file>