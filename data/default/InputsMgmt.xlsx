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9200" windowHeight="6900"/>
  </bookViews>
  <sheets>
    <sheet name="defaul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1" i="1" l="1"/>
  <c r="E22" i="1" l="1"/>
  <c r="E20" i="1" l="1"/>
  <c r="E11" i="1" l="1"/>
  <c r="E13" i="1" l="1"/>
  <c r="E7" i="1" l="1"/>
  <c r="E4" i="1"/>
  <c r="E6" i="1"/>
</calcChain>
</file>

<file path=xl/sharedStrings.xml><?xml version="1.0" encoding="utf-8"?>
<sst xmlns="http://schemas.openxmlformats.org/spreadsheetml/2006/main" count="97" uniqueCount="53">
  <si>
    <t>f_input</t>
  </si>
  <si>
    <t>Ammonium nitrate</t>
  </si>
  <si>
    <t>Calcium ammonium nitrate</t>
  </si>
  <si>
    <t>f_ecoinvent_id</t>
  </si>
  <si>
    <t>parameter</t>
  </si>
  <si>
    <t>value</t>
  </si>
  <si>
    <t>unit</t>
  </si>
  <si>
    <t>description</t>
  </si>
  <si>
    <t>source</t>
  </si>
  <si>
    <t>kg/kg N</t>
  </si>
  <si>
    <t>Energy</t>
  </si>
  <si>
    <t>Diesel</t>
  </si>
  <si>
    <t>Biodiesel</t>
  </si>
  <si>
    <t>Fuel oil</t>
  </si>
  <si>
    <t>Natural gas</t>
  </si>
  <si>
    <t>Hydrogen</t>
  </si>
  <si>
    <t>Electricity</t>
  </si>
  <si>
    <t>District heating</t>
  </si>
  <si>
    <t>Geothermal</t>
  </si>
  <si>
    <t>Woody biofuels</t>
  </si>
  <si>
    <t>input_to_ecoinvent</t>
  </si>
  <si>
    <t>1 kg light fuel oil = 42.6 MJ --&gt; 11.8 kWh</t>
  </si>
  <si>
    <t>kg/kWh</t>
  </si>
  <si>
    <t>1 kg diesel = 42.8 MJ --&gt; 11.9 kWh</t>
  </si>
  <si>
    <t>1 m3 Natural Gas, High Pressure = 36 MJ --&gt; 10 kWh</t>
  </si>
  <si>
    <t>m3/kWh</t>
  </si>
  <si>
    <t>kWh/kWh</t>
  </si>
  <si>
    <t>Assumes 4.95 kWh/kg (https://en.wikipedia.org/wiki/Pellet_fuel) and 1.1 kg/kg DM (ecoinvent)</t>
  </si>
  <si>
    <t>MJ/kWh</t>
  </si>
  <si>
    <t>is "wood chips" good here?</t>
  </si>
  <si>
    <t>Compound fertiliser-N</t>
  </si>
  <si>
    <t>Compound fertiliser-P</t>
  </si>
  <si>
    <t>kg/kg P</t>
  </si>
  <si>
    <t>1 kg P2O5 = 0.436 kg of Phosphorous as P</t>
  </si>
  <si>
    <t>Compound fertiliser-K</t>
  </si>
  <si>
    <t>1 kg K2O = 0.436 kg of Phosphorous as P</t>
  </si>
  <si>
    <t>Ecoinvent connections</t>
  </si>
  <si>
    <t>User-defined emissions</t>
  </si>
  <si>
    <t>emission</t>
  </si>
  <si>
    <t>f_compound</t>
  </si>
  <si>
    <t>CO2</t>
  </si>
  <si>
    <t>By specifying the 'emission' parameter it is possible to manually define upstream emissions of different compounds for inputs</t>
  </si>
  <si>
    <t>CH4bio</t>
  </si>
  <si>
    <t>This will override emissions of specified compounds based on ecoinvent data. Emissions should be expressed as kg per unit of input.</t>
  </si>
  <si>
    <t>CH4fos</t>
  </si>
  <si>
    <t>N2O</t>
  </si>
  <si>
    <t>"HVO100 var 10,5 gCO2eq/MJ under 2022"</t>
  </si>
  <si>
    <t>only CO2 assumed</t>
  </si>
  <si>
    <t>Tobias Gustavsson Binder (2024) HVO100 i ljuset av Sveriges och EU:s nya klimatpolitik. IVL. https://diva-portal.org/smash/record.jsf?pid=diva2%3A1859985</t>
  </si>
  <si>
    <t>Fertilisers and lime</t>
  </si>
  <si>
    <t>Limestone</t>
  </si>
  <si>
    <t>Dolmite</t>
  </si>
  <si>
    <t>https://ecoquery.ecoinvent.org/3.10/cutoff/dataset/18042/documentation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</si>
</sst>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0"/>
      <color theme="5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  <xf numFmtId="164" fontId="0" fillId="0" borderId="0" xfId="0" applyNumberFormat="1"/>
    <xf numFmtId="0" fontId="0" fillId="0" borderId="0" xfId="0" applyFont="1"/>
    <xf numFmtId="0" fontId="2" fillId="0" borderId="0" xfId="0" applyFont="1"/>
    <xf numFmtId="0" fontId="2" fillId="2" borderId="0" xfId="0" applyFont="1" applyFill="1"/>
    <xf numFmtId="0" fontId="3" fillId="0" borderId="0" xfId="0" applyFont="1"/>
    <xf numFmtId="165" fontId="0" fillId="0" borderId="0" xfId="0" applyNumberFormat="1"/>
    <xf numFmtId="0" fontId="1" fillId="3" borderId="0" xfId="0" applyFont="1" applyFill="1"/>
    <xf numFmtId="0" fontId="4" fillId="3" borderId="0" xfId="0" applyFont="1" applyFill="1"/>
    <xf numFmtId="0" fontId="4" fillId="4" borderId="0" xfId="0" applyFont="1" applyFill="1"/>
    <xf numFmtId="0" fontId="1" fillId="4" borderId="0" xfId="0" applyFont="1" applyFill="1"/>
    <xf numFmtId="1" fontId="0" fillId="0" borderId="0" xfId="0" applyNumberFormat="1"/>
    <xf numFmtId="0" fontId="6" fillId="0" borderId="0" xfId="0" applyFont="1"/>
    <xf numFmtId="11" fontId="0" fillId="0" borderId="0" xfId="0" applyNumberFormat="1"/>
    <xf numFmtId="11" fontId="5" fillId="0" borderId="0" xfId="0" applyNumberFormat="1" applyFont="1"/>
    <xf numFmtId="0" fontId="7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coquery.ecoinvent.org/3.10/cutoff/dataset/18042/documenta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Views>
    <sheetView tabSelected="1" workbookViewId="0">
      <pane ySplit="1" topLeftCell="A15" activePane="bottomLeft" state="frozen"/>
      <selection pane="bottomLeft" activeCell="G21" sqref="G21"/>
    </sheetView>
  </sheetViews>
  <sheetFormatPr defaultRowHeight="15" x14ac:dyDescent="0.25"/>
  <cols>
    <col min="1" max="1" width="25.5703125" bestFit="1" customWidth="1"/>
    <col min="2" max="2" width="19.28515625" bestFit="1" customWidth="1"/>
    <col min="3" max="3" width="19.28515625" customWidth="1"/>
    <col min="4" max="4" width="18.7109375" bestFit="1" customWidth="1"/>
    <col min="5" max="5" width="9.7109375" customWidth="1"/>
    <col min="6" max="6" width="9.5703125" customWidth="1"/>
    <col min="7" max="7" width="34.5703125" customWidth="1"/>
    <col min="8" max="8" width="31.7109375" customWidth="1"/>
  </cols>
  <sheetData>
    <row r="1" spans="1:8" x14ac:dyDescent="0.25">
      <c r="A1" s="3" t="s">
        <v>0</v>
      </c>
      <c r="B1" s="3" t="s">
        <v>3</v>
      </c>
      <c r="C1" s="3" t="s">
        <v>39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</row>
    <row r="2" spans="1:8" x14ac:dyDescent="0.25">
      <c r="A2" s="11" t="s">
        <v>36</v>
      </c>
      <c r="B2" s="10"/>
      <c r="C2" s="10"/>
      <c r="D2" s="10"/>
      <c r="E2" s="10"/>
      <c r="F2" s="10"/>
      <c r="G2" s="10"/>
      <c r="H2" s="10"/>
    </row>
    <row r="3" spans="1:8" x14ac:dyDescent="0.25">
      <c r="A3" s="2" t="s">
        <v>10</v>
      </c>
      <c r="B3" s="2"/>
      <c r="C3" s="2"/>
      <c r="D3" s="2"/>
      <c r="E3" s="2"/>
      <c r="F3" s="2"/>
      <c r="G3" s="2"/>
      <c r="H3" s="2"/>
    </row>
    <row r="4" spans="1:8" s="5" customFormat="1" x14ac:dyDescent="0.25">
      <c r="A4" t="s">
        <v>11</v>
      </c>
      <c r="B4">
        <v>368</v>
      </c>
      <c r="C4"/>
      <c r="D4" t="s">
        <v>20</v>
      </c>
      <c r="E4" s="4">
        <f>1/11.9</f>
        <v>8.4033613445378144E-2</v>
      </c>
      <c r="F4" t="s">
        <v>22</v>
      </c>
      <c r="G4" s="6" t="s">
        <v>23</v>
      </c>
      <c r="H4"/>
    </row>
    <row r="5" spans="1:8" s="5" customFormat="1" x14ac:dyDescent="0.25">
      <c r="A5" t="s">
        <v>12</v>
      </c>
      <c r="B5"/>
      <c r="C5"/>
      <c r="D5"/>
      <c r="E5" s="4"/>
      <c r="F5"/>
      <c r="G5" s="6"/>
      <c r="H5"/>
    </row>
    <row r="6" spans="1:8" s="5" customFormat="1" x14ac:dyDescent="0.25">
      <c r="A6" t="s">
        <v>13</v>
      </c>
      <c r="B6">
        <v>4575</v>
      </c>
      <c r="C6"/>
      <c r="D6" t="s">
        <v>20</v>
      </c>
      <c r="E6" s="4">
        <f>1/11.8</f>
        <v>8.4745762711864403E-2</v>
      </c>
      <c r="F6" t="s">
        <v>22</v>
      </c>
      <c r="G6" s="6" t="s">
        <v>21</v>
      </c>
      <c r="H6"/>
    </row>
    <row r="7" spans="1:8" s="5" customFormat="1" x14ac:dyDescent="0.25">
      <c r="A7" t="s">
        <v>14</v>
      </c>
      <c r="B7">
        <v>482</v>
      </c>
      <c r="C7"/>
      <c r="D7" t="s">
        <v>20</v>
      </c>
      <c r="E7" s="4">
        <f>1/10</f>
        <v>0.1</v>
      </c>
      <c r="F7" t="s">
        <v>25</v>
      </c>
      <c r="G7" s="6" t="s">
        <v>24</v>
      </c>
      <c r="H7"/>
    </row>
    <row r="8" spans="1:8" s="5" customFormat="1" x14ac:dyDescent="0.25">
      <c r="A8" t="s">
        <v>15</v>
      </c>
      <c r="B8"/>
      <c r="C8"/>
      <c r="D8"/>
      <c r="E8" s="4"/>
      <c r="F8"/>
      <c r="G8" s="6"/>
      <c r="H8"/>
    </row>
    <row r="9" spans="1:8" s="5" customFormat="1" x14ac:dyDescent="0.25">
      <c r="A9"/>
      <c r="B9"/>
      <c r="C9"/>
      <c r="D9"/>
      <c r="E9" s="4"/>
      <c r="F9"/>
      <c r="G9" s="6"/>
      <c r="H9"/>
    </row>
    <row r="10" spans="1:8" s="5" customFormat="1" x14ac:dyDescent="0.25">
      <c r="A10" t="s">
        <v>16</v>
      </c>
      <c r="B10">
        <v>8241</v>
      </c>
      <c r="C10"/>
      <c r="D10" t="s">
        <v>20</v>
      </c>
      <c r="E10" s="4">
        <v>1</v>
      </c>
      <c r="F10" t="s">
        <v>26</v>
      </c>
      <c r="G10" s="6"/>
      <c r="H10"/>
    </row>
    <row r="11" spans="1:8" s="5" customFormat="1" x14ac:dyDescent="0.25">
      <c r="A11" t="s">
        <v>17</v>
      </c>
      <c r="B11">
        <v>306</v>
      </c>
      <c r="C11"/>
      <c r="D11" t="s">
        <v>20</v>
      </c>
      <c r="E11" s="4">
        <f>3.6</f>
        <v>3.6</v>
      </c>
      <c r="F11" t="s">
        <v>28</v>
      </c>
      <c r="G11" s="8" t="s">
        <v>29</v>
      </c>
      <c r="H11"/>
    </row>
    <row r="12" spans="1:8" s="5" customFormat="1" x14ac:dyDescent="0.25">
      <c r="A12" t="s">
        <v>18</v>
      </c>
      <c r="B12"/>
      <c r="C12"/>
      <c r="D12"/>
      <c r="E12" s="4"/>
      <c r="F12"/>
      <c r="G12" s="6"/>
      <c r="H12"/>
    </row>
    <row r="13" spans="1:8" s="5" customFormat="1" x14ac:dyDescent="0.25">
      <c r="A13" t="s">
        <v>19</v>
      </c>
      <c r="B13">
        <v>5318</v>
      </c>
      <c r="C13"/>
      <c r="D13" t="s">
        <v>20</v>
      </c>
      <c r="E13" s="4">
        <f>1.1/4.95</f>
        <v>0.22222222222222224</v>
      </c>
      <c r="F13" t="s">
        <v>22</v>
      </c>
      <c r="G13" s="6" t="s">
        <v>27</v>
      </c>
      <c r="H13"/>
    </row>
    <row r="14" spans="1:8" s="5" customFormat="1" x14ac:dyDescent="0.25">
      <c r="A14"/>
      <c r="B14"/>
      <c r="C14"/>
      <c r="D14"/>
      <c r="E14" s="4"/>
      <c r="F14"/>
      <c r="G14" s="6"/>
      <c r="H14"/>
    </row>
    <row r="15" spans="1:8" x14ac:dyDescent="0.25">
      <c r="A15" s="2" t="s">
        <v>49</v>
      </c>
      <c r="B15" s="1"/>
      <c r="C15" s="1"/>
      <c r="D15" s="1"/>
      <c r="E15" s="1"/>
      <c r="F15" s="1"/>
      <c r="G15" s="7"/>
      <c r="H15" s="1"/>
    </row>
    <row r="16" spans="1:8" x14ac:dyDescent="0.25">
      <c r="A16" t="s">
        <v>1</v>
      </c>
      <c r="B16">
        <v>23100</v>
      </c>
      <c r="D16" t="s">
        <v>20</v>
      </c>
      <c r="E16" s="9">
        <v>1</v>
      </c>
      <c r="F16" t="s">
        <v>9</v>
      </c>
      <c r="G16" s="6"/>
    </row>
    <row r="17" spans="1:13" x14ac:dyDescent="0.25">
      <c r="A17" t="s">
        <v>2</v>
      </c>
      <c r="B17">
        <v>23100</v>
      </c>
      <c r="D17" t="s">
        <v>20</v>
      </c>
      <c r="E17" s="9">
        <v>1</v>
      </c>
      <c r="F17" t="s">
        <v>9</v>
      </c>
      <c r="G17" s="6"/>
    </row>
    <row r="18" spans="1:13" x14ac:dyDescent="0.25">
      <c r="A18" t="s">
        <v>30</v>
      </c>
      <c r="B18">
        <v>23100</v>
      </c>
      <c r="D18" t="s">
        <v>20</v>
      </c>
      <c r="E18" s="9">
        <v>1</v>
      </c>
      <c r="F18" t="s">
        <v>9</v>
      </c>
      <c r="G18" s="6"/>
    </row>
    <row r="19" spans="1:13" x14ac:dyDescent="0.25">
      <c r="E19" s="4"/>
      <c r="G19" s="6"/>
    </row>
    <row r="20" spans="1:13" x14ac:dyDescent="0.25">
      <c r="A20" t="s">
        <v>31</v>
      </c>
      <c r="B20">
        <v>23127</v>
      </c>
      <c r="D20" t="s">
        <v>20</v>
      </c>
      <c r="E20" s="4">
        <f>1/0.436</f>
        <v>2.2935779816513762</v>
      </c>
      <c r="F20" t="s">
        <v>32</v>
      </c>
      <c r="G20" s="6" t="s">
        <v>33</v>
      </c>
    </row>
    <row r="21" spans="1:13" x14ac:dyDescent="0.25">
      <c r="E21" s="4"/>
      <c r="G21" s="6"/>
      <c r="M21" s="4"/>
    </row>
    <row r="22" spans="1:13" x14ac:dyDescent="0.25">
      <c r="A22" t="s">
        <v>34</v>
      </c>
      <c r="B22">
        <v>22724</v>
      </c>
      <c r="D22" t="s">
        <v>20</v>
      </c>
      <c r="E22" s="4">
        <f>1/0.8301</f>
        <v>1.2046741356463078</v>
      </c>
      <c r="F22" t="s">
        <v>32</v>
      </c>
      <c r="G22" s="6" t="s">
        <v>35</v>
      </c>
    </row>
    <row r="23" spans="1:13" x14ac:dyDescent="0.25">
      <c r="E23" s="4"/>
      <c r="G23" s="6"/>
    </row>
    <row r="24" spans="1:13" x14ac:dyDescent="0.25">
      <c r="A24" t="s">
        <v>50</v>
      </c>
      <c r="B24">
        <v>14865</v>
      </c>
      <c r="D24" t="s">
        <v>20</v>
      </c>
      <c r="E24" s="4">
        <v>1</v>
      </c>
      <c r="G24" s="6"/>
    </row>
    <row r="25" spans="1:13" x14ac:dyDescent="0.25">
      <c r="A25" t="s">
        <v>51</v>
      </c>
      <c r="B25">
        <v>18042</v>
      </c>
      <c r="D25" t="s">
        <v>20</v>
      </c>
      <c r="E25" s="4">
        <v>1</v>
      </c>
      <c r="G25" s="6"/>
      <c r="H25" s="18" t="s">
        <v>52</v>
      </c>
    </row>
    <row r="26" spans="1:13" x14ac:dyDescent="0.25">
      <c r="E26" s="4"/>
    </row>
    <row r="27" spans="1:13" x14ac:dyDescent="0.25">
      <c r="A27" s="12" t="s">
        <v>37</v>
      </c>
      <c r="B27" s="13"/>
      <c r="C27" s="13"/>
      <c r="D27" s="13"/>
      <c r="E27" s="13"/>
      <c r="F27" s="13"/>
      <c r="G27" s="13"/>
      <c r="H27" s="13"/>
    </row>
    <row r="28" spans="1:13" x14ac:dyDescent="0.25">
      <c r="A28" s="15" t="s">
        <v>41</v>
      </c>
      <c r="E28" s="14"/>
    </row>
    <row r="29" spans="1:13" x14ac:dyDescent="0.25">
      <c r="A29" s="15" t="s">
        <v>43</v>
      </c>
      <c r="E29" s="14"/>
    </row>
    <row r="30" spans="1:13" x14ac:dyDescent="0.25">
      <c r="E30" s="14"/>
    </row>
    <row r="31" spans="1:13" s="5" customFormat="1" x14ac:dyDescent="0.25">
      <c r="A31" t="s">
        <v>12</v>
      </c>
      <c r="B31"/>
      <c r="C31" t="s">
        <v>40</v>
      </c>
      <c r="D31" t="s">
        <v>38</v>
      </c>
      <c r="E31" s="16">
        <f>(10.5/1000)/(1/3.6)</f>
        <v>3.78E-2</v>
      </c>
      <c r="F31" t="s">
        <v>22</v>
      </c>
      <c r="G31" s="6" t="s">
        <v>46</v>
      </c>
      <c r="H31" t="s">
        <v>48</v>
      </c>
    </row>
    <row r="32" spans="1:13" s="5" customFormat="1" x14ac:dyDescent="0.25">
      <c r="A32" t="s">
        <v>12</v>
      </c>
      <c r="B32"/>
      <c r="C32" t="s">
        <v>44</v>
      </c>
      <c r="D32" t="s">
        <v>38</v>
      </c>
      <c r="E32" s="17">
        <v>0</v>
      </c>
      <c r="F32" t="s">
        <v>22</v>
      </c>
      <c r="G32" s="8" t="s">
        <v>47</v>
      </c>
      <c r="H32"/>
    </row>
    <row r="33" spans="1:8" s="5" customFormat="1" x14ac:dyDescent="0.25">
      <c r="A33" t="s">
        <v>12</v>
      </c>
      <c r="B33"/>
      <c r="C33" t="s">
        <v>42</v>
      </c>
      <c r="D33" t="s">
        <v>38</v>
      </c>
      <c r="E33" s="17">
        <v>0</v>
      </c>
      <c r="F33" t="s">
        <v>22</v>
      </c>
      <c r="G33" s="6"/>
      <c r="H33"/>
    </row>
    <row r="34" spans="1:8" s="5" customFormat="1" x14ac:dyDescent="0.25">
      <c r="A34" t="s">
        <v>12</v>
      </c>
      <c r="B34"/>
      <c r="C34" t="s">
        <v>45</v>
      </c>
      <c r="D34" t="s">
        <v>38</v>
      </c>
      <c r="E34" s="17">
        <v>0</v>
      </c>
      <c r="F34" t="s">
        <v>22</v>
      </c>
      <c r="G34" s="6"/>
      <c r="H34"/>
    </row>
    <row r="35" spans="1:8" s="5" customFormat="1" x14ac:dyDescent="0.25">
      <c r="A35"/>
      <c r="B35"/>
      <c r="C35"/>
      <c r="D35"/>
      <c r="E35" s="16"/>
      <c r="F35"/>
      <c r="G35" s="6"/>
      <c r="H35"/>
    </row>
    <row r="36" spans="1:8" s="5" customFormat="1" x14ac:dyDescent="0.25">
      <c r="A36" t="s">
        <v>18</v>
      </c>
      <c r="B36"/>
      <c r="C36" t="s">
        <v>40</v>
      </c>
      <c r="D36" t="s">
        <v>38</v>
      </c>
      <c r="E36" s="17">
        <v>0</v>
      </c>
      <c r="F36" t="s">
        <v>22</v>
      </c>
      <c r="G36" s="6"/>
      <c r="H36"/>
    </row>
    <row r="37" spans="1:8" x14ac:dyDescent="0.25">
      <c r="A37" t="s">
        <v>18</v>
      </c>
      <c r="C37" t="s">
        <v>44</v>
      </c>
      <c r="D37" t="s">
        <v>38</v>
      </c>
      <c r="E37" s="17">
        <v>0</v>
      </c>
      <c r="F37" t="s">
        <v>22</v>
      </c>
    </row>
    <row r="38" spans="1:8" x14ac:dyDescent="0.25">
      <c r="A38" t="s">
        <v>18</v>
      </c>
      <c r="C38" t="s">
        <v>42</v>
      </c>
      <c r="D38" t="s">
        <v>38</v>
      </c>
      <c r="E38" s="17">
        <v>0</v>
      </c>
      <c r="F38" t="s">
        <v>22</v>
      </c>
    </row>
    <row r="39" spans="1:8" x14ac:dyDescent="0.25">
      <c r="A39" t="s">
        <v>18</v>
      </c>
      <c r="C39" t="s">
        <v>45</v>
      </c>
      <c r="D39" t="s">
        <v>38</v>
      </c>
      <c r="E39" s="17">
        <v>0</v>
      </c>
      <c r="F39" t="s">
        <v>22</v>
      </c>
    </row>
    <row r="40" spans="1:8" x14ac:dyDescent="0.25">
      <c r="E40" s="14"/>
    </row>
    <row r="41" spans="1:8" x14ac:dyDescent="0.25">
      <c r="E41" s="14"/>
    </row>
    <row r="42" spans="1:8" x14ac:dyDescent="0.25">
      <c r="E42" s="14"/>
    </row>
    <row r="43" spans="1:8" x14ac:dyDescent="0.25">
      <c r="E43" s="14"/>
    </row>
    <row r="44" spans="1:8" x14ac:dyDescent="0.25">
      <c r="E44" s="14"/>
    </row>
    <row r="45" spans="1:8" x14ac:dyDescent="0.25">
      <c r="E45" s="14"/>
    </row>
    <row r="46" spans="1:8" x14ac:dyDescent="0.25">
      <c r="E46" s="14"/>
    </row>
    <row r="47" spans="1:8" x14ac:dyDescent="0.25">
      <c r="E47" s="14"/>
    </row>
    <row r="48" spans="1:8" x14ac:dyDescent="0.25">
      <c r="E48" s="14"/>
    </row>
    <row r="49" spans="5:5" x14ac:dyDescent="0.25">
      <c r="E49" s="14"/>
    </row>
    <row r="50" spans="5:5" x14ac:dyDescent="0.25">
      <c r="E50" s="14"/>
    </row>
    <row r="51" spans="5:5" x14ac:dyDescent="0.25">
      <c r="E51" s="14"/>
    </row>
    <row r="52" spans="5:5" x14ac:dyDescent="0.25">
      <c r="E52" s="14"/>
    </row>
    <row r="53" spans="5:5" x14ac:dyDescent="0.25">
      <c r="E53" s="14"/>
    </row>
    <row r="54" spans="5:5" x14ac:dyDescent="0.25">
      <c r="E54" s="14"/>
    </row>
    <row r="55" spans="5:5" x14ac:dyDescent="0.25">
      <c r="E55" s="14"/>
    </row>
    <row r="56" spans="5:5" x14ac:dyDescent="0.25">
      <c r="E56" s="14"/>
    </row>
    <row r="57" spans="5:5" x14ac:dyDescent="0.25">
      <c r="E57" s="14"/>
    </row>
    <row r="58" spans="5:5" x14ac:dyDescent="0.25">
      <c r="E58" s="14"/>
    </row>
    <row r="59" spans="5:5" x14ac:dyDescent="0.25">
      <c r="E59" s="14"/>
    </row>
    <row r="60" spans="5:5" x14ac:dyDescent="0.25">
      <c r="E60" s="14"/>
    </row>
    <row r="61" spans="5:5" x14ac:dyDescent="0.25">
      <c r="E61" s="14"/>
    </row>
    <row r="62" spans="5:5" x14ac:dyDescent="0.25">
      <c r="E62" s="14"/>
    </row>
    <row r="63" spans="5:5" x14ac:dyDescent="0.25">
      <c r="E63" s="14"/>
    </row>
    <row r="64" spans="5:5" x14ac:dyDescent="0.25">
      <c r="E64" s="14"/>
    </row>
    <row r="65" spans="5:5" x14ac:dyDescent="0.25">
      <c r="E65" s="14"/>
    </row>
    <row r="66" spans="5:5" x14ac:dyDescent="0.25">
      <c r="E66" s="14"/>
    </row>
    <row r="67" spans="5:5" x14ac:dyDescent="0.25">
      <c r="E67" s="14"/>
    </row>
    <row r="68" spans="5:5" x14ac:dyDescent="0.25">
      <c r="E68" s="14"/>
    </row>
    <row r="69" spans="5:5" x14ac:dyDescent="0.25">
      <c r="E69" s="14"/>
    </row>
    <row r="70" spans="5:5" x14ac:dyDescent="0.25">
      <c r="E70" s="14"/>
    </row>
    <row r="71" spans="5:5" x14ac:dyDescent="0.25">
      <c r="E71" s="14"/>
    </row>
    <row r="72" spans="5:5" x14ac:dyDescent="0.25">
      <c r="E72" s="14"/>
    </row>
    <row r="73" spans="5:5" x14ac:dyDescent="0.25">
      <c r="E73" s="14"/>
    </row>
    <row r="74" spans="5:5" x14ac:dyDescent="0.25">
      <c r="E74" s="14"/>
    </row>
    <row r="75" spans="5:5" x14ac:dyDescent="0.25">
      <c r="E75" s="14"/>
    </row>
    <row r="76" spans="5:5" x14ac:dyDescent="0.25">
      <c r="E76" s="14"/>
    </row>
    <row r="77" spans="5:5" x14ac:dyDescent="0.25">
      <c r="E77" s="14"/>
    </row>
    <row r="78" spans="5:5" x14ac:dyDescent="0.25">
      <c r="E78" s="14"/>
    </row>
    <row r="79" spans="5:5" x14ac:dyDescent="0.25">
      <c r="E79" s="14"/>
    </row>
    <row r="80" spans="5:5" x14ac:dyDescent="0.25">
      <c r="E80" s="14"/>
    </row>
    <row r="81" spans="5:5" x14ac:dyDescent="0.25">
      <c r="E81" s="14"/>
    </row>
    <row r="82" spans="5:5" x14ac:dyDescent="0.25">
      <c r="E82" s="14"/>
    </row>
    <row r="83" spans="5:5" x14ac:dyDescent="0.25">
      <c r="E83" s="14"/>
    </row>
    <row r="84" spans="5:5" x14ac:dyDescent="0.25">
      <c r="E84" s="14"/>
    </row>
    <row r="85" spans="5:5" x14ac:dyDescent="0.25">
      <c r="E85" s="14"/>
    </row>
    <row r="86" spans="5:5" x14ac:dyDescent="0.25">
      <c r="E86" s="14"/>
    </row>
    <row r="87" spans="5:5" x14ac:dyDescent="0.25">
      <c r="E87" s="14"/>
    </row>
    <row r="88" spans="5:5" x14ac:dyDescent="0.25">
      <c r="E88" s="14"/>
    </row>
    <row r="89" spans="5:5" x14ac:dyDescent="0.25">
      <c r="E89" s="14"/>
    </row>
    <row r="90" spans="5:5" x14ac:dyDescent="0.25">
      <c r="E90" s="14"/>
    </row>
    <row r="91" spans="5:5" x14ac:dyDescent="0.25">
      <c r="E91" s="14"/>
    </row>
    <row r="92" spans="5:5" x14ac:dyDescent="0.25">
      <c r="E92" s="14"/>
    </row>
    <row r="93" spans="5:5" x14ac:dyDescent="0.25">
      <c r="E93" s="14"/>
    </row>
    <row r="94" spans="5:5" x14ac:dyDescent="0.25">
      <c r="E94" s="14"/>
    </row>
    <row r="95" spans="5:5" x14ac:dyDescent="0.25">
      <c r="E95" s="14"/>
    </row>
    <row r="96" spans="5:5" x14ac:dyDescent="0.25">
      <c r="E96" s="14"/>
    </row>
    <row r="97" spans="5:5" x14ac:dyDescent="0.25">
      <c r="E97" s="14"/>
    </row>
    <row r="98" spans="5:5" x14ac:dyDescent="0.25">
      <c r="E98" s="14"/>
    </row>
    <row r="99" spans="5:5" x14ac:dyDescent="0.25">
      <c r="E99" s="14"/>
    </row>
    <row r="100" spans="5:5" x14ac:dyDescent="0.25">
      <c r="E100" s="14"/>
    </row>
    <row r="101" spans="5:5" x14ac:dyDescent="0.25">
      <c r="E101" s="14"/>
    </row>
    <row r="102" spans="5:5" x14ac:dyDescent="0.25">
      <c r="E102" s="14"/>
    </row>
    <row r="103" spans="5:5" x14ac:dyDescent="0.25">
      <c r="E103" s="14"/>
    </row>
    <row r="104" spans="5:5" x14ac:dyDescent="0.25">
      <c r="E104" s="14"/>
    </row>
    <row r="105" spans="5:5" x14ac:dyDescent="0.25">
      <c r="E105" s="14"/>
    </row>
    <row r="106" spans="5:5" x14ac:dyDescent="0.25">
      <c r="E106" s="14"/>
    </row>
    <row r="107" spans="5:5" x14ac:dyDescent="0.25">
      <c r="E107" s="14"/>
    </row>
    <row r="108" spans="5:5" x14ac:dyDescent="0.25">
      <c r="E108" s="14"/>
    </row>
    <row r="109" spans="5:5" x14ac:dyDescent="0.25">
      <c r="E109" s="14"/>
    </row>
    <row r="110" spans="5:5" x14ac:dyDescent="0.25">
      <c r="E110" s="14"/>
    </row>
    <row r="111" spans="5:5" x14ac:dyDescent="0.25">
      <c r="E111" s="14"/>
    </row>
    <row r="112" spans="5:5" x14ac:dyDescent="0.25">
      <c r="E112" s="14"/>
    </row>
    <row r="113" spans="5:5" x14ac:dyDescent="0.25">
      <c r="E113" s="14"/>
    </row>
  </sheetData>
  <hyperlinks>
    <hyperlink ref="H25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2023-10-31T13:10:39Z</dcterms:created>
  <dcterms:modified xsi:type="dcterms:W3CDTF">2024-10-28T20:57:53Z</dcterms:modified>
</cp:coreProperties>
</file>