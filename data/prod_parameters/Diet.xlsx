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000" activeTab="1"/>
  </bookViews>
  <sheets>
    <sheet name="relations" sheetId="2" r:id="rId1"/>
    <sheet name="default" sheetId="1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7" i="1" l="1"/>
  <c r="K92" i="1"/>
  <c r="K45" i="1"/>
  <c r="K15" i="1"/>
  <c r="K16" i="1"/>
  <c r="K76" i="1" l="1"/>
  <c r="K75" i="1"/>
  <c r="K63" i="1"/>
  <c r="K84" i="1"/>
  <c r="K85" i="1"/>
  <c r="K86" i="1"/>
  <c r="K14" i="1"/>
  <c r="K74" i="1" l="1"/>
  <c r="K73" i="1"/>
  <c r="K72" i="1"/>
  <c r="K71" i="1"/>
  <c r="K69" i="1" l="1"/>
  <c r="K70" i="1" s="1"/>
  <c r="K67" i="1"/>
  <c r="K66" i="1" s="1"/>
  <c r="K65" i="1"/>
  <c r="K64" i="1" s="1"/>
  <c r="K62" i="1"/>
  <c r="K68" i="1" l="1"/>
  <c r="K60" i="1"/>
  <c r="K59" i="1"/>
  <c r="K58" i="1"/>
  <c r="K3" i="1" l="1"/>
</calcChain>
</file>

<file path=xl/sharedStrings.xml><?xml version="1.0" encoding="utf-8"?>
<sst xmlns="http://schemas.openxmlformats.org/spreadsheetml/2006/main" count="413" uniqueCount="104">
  <si>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</si>
  <si>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</si>
  <si>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</si>
  <si>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</si>
  <si>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</si>
  <si>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</si>
  <si>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</si>
  <si>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</si>
  <si>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</si>
  <si>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</si>
  <si>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</si>
  <si>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</si>
  <si>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</si>
  <si>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</si>
  <si>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</si>
  <si>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</si>
  <si>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</si>
  <si>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</si>
  <si>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</si>
  <si>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</si>
  <si>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</si>
  <si>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</si>
  <si>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</si>
  <si>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</si>
  <si>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</si>
  <si>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</si>
  <si>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</si>
  <si>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</si>
  <si>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</si>
  <si>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</si>
  <si>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</si>
  <si>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</si>
  <si>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</si>
  <si>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</si>
  <si>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</si>
  <si>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</si>
  <si>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</si>
  <si>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</si>
  <si>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</si>
  <si>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</si>
  <si>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</si>
  <si>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</si>
  <si>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</si>
  <si>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</si>
  <si>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</si>
  <si>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</si>
  <si>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</si>
  <si>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</si>
  <si>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</si>
  <si>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</si>
  <si>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</si>
  <si>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need to check overlap with food_to_prod</t>
  </si>
  <si>
    <t>Barley and products</t>
  </si>
  <si>
    <t>barley</t>
  </si>
  <si>
    <t>food</t>
  </si>
  <si>
    <t>food_group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</si>
  <si>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</si>
  <si>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</si>
  <si>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</si>
  <si>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</si>
  <si>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</si>
  <si>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</si>
  <si>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</si>
  <si>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</si>
  <si>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</si>
  <si>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t>offals</t>
  </si>
  <si>
    <t>fat</t>
  </si>
  <si>
    <t>skins</t>
  </si>
  <si>
    <t>butcher fat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</si>
  <si>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</si>
  <si>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</si>
  <si>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bran</t>
  </si>
  <si>
    <t>germ</t>
  </si>
  <si>
    <t>hulls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</si>
  <si>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</si>
  <si>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</si>
  <si>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</si>
  <si>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</si>
  <si>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</si>
  <si>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</si>
  <si>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</si>
  <si>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</si>
  <si>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</si>
  <si>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</si>
  <si>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</si>
  <si>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</si>
  <si>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</si>
  <si>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</si>
  <si>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</si>
  <si>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</si>
  <si>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</si>
  <si>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</si>
  <si>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</si>
  <si>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</si>
  <si>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</si>
  <si>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</si>
  <si>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</si>
  <si>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</si>
  <si>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</si>
  <si>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</si>
  <si>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</si>
  <si>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Share conventional is calculated as what remains (value should be -100)</t>
  </si>
  <si>
    <t>domestic</t>
  </si>
  <si>
    <t>Based on raw milk to dairies. Using product level shares difficult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</si>
</sst>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164" fontId="0" fillId="0" borderId="0" xfId="0" applyNumberFormat="1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G13" sqref="G13"/>
    </sheetView>
  </sheetViews>
  <sheetFormatPr defaultRowHeight="15" x14ac:dyDescent="0.25"/>
  <cols>
    <col min="1" max="1" width="19" bestFit="1" customWidth="1"/>
    <col min="2" max="2" width="11.28515625" bestFit="1" customWidth="1"/>
  </cols>
  <sheetData>
    <row r="1" spans="1:2" x14ac:dyDescent="0.25">
      <c r="A1" t="s">
        <v>54</v>
      </c>
      <c r="B1" t="s">
        <v>55</v>
      </c>
    </row>
    <row r="2" spans="1:2" x14ac:dyDescent="0.25">
      <c r="A2" t="s">
        <v>35</v>
      </c>
      <c r="B2" t="s">
        <v>26</v>
      </c>
    </row>
    <row r="3" spans="1:2" x14ac:dyDescent="0.25">
      <c r="A3" t="s">
        <v>44</v>
      </c>
      <c r="B3" t="s">
        <v>26</v>
      </c>
    </row>
    <row r="4" spans="1:2" x14ac:dyDescent="0.25">
      <c r="A4" t="s">
        <v>52</v>
      </c>
      <c r="B4" t="s">
        <v>26</v>
      </c>
    </row>
    <row r="5" spans="1:2" x14ac:dyDescent="0.25">
      <c r="A5" t="s">
        <v>61</v>
      </c>
      <c r="B5" t="s">
        <v>62</v>
      </c>
    </row>
    <row r="6" spans="1:2" x14ac:dyDescent="0.25">
      <c r="A6" s="7" t="s">
        <v>76</v>
      </c>
      <c r="B6" t="s">
        <v>95</v>
      </c>
    </row>
    <row r="7" spans="1:2" x14ac:dyDescent="0.25">
      <c r="A7" s="7" t="s">
        <v>75</v>
      </c>
      <c r="B7" t="s">
        <v>95</v>
      </c>
    </row>
    <row r="8" spans="1:2" x14ac:dyDescent="0.25">
      <c r="A8" s="7" t="s">
        <v>77</v>
      </c>
      <c r="B8" t="s">
        <v>95</v>
      </c>
    </row>
    <row r="9" spans="1:2" x14ac:dyDescent="0.25">
      <c r="A9" s="7" t="s">
        <v>78</v>
      </c>
      <c r="B9" t="s">
        <v>95</v>
      </c>
    </row>
    <row r="10" spans="1:2" x14ac:dyDescent="0.25">
      <c r="A10" s="7" t="s">
        <v>82</v>
      </c>
      <c r="B10" t="s">
        <v>95</v>
      </c>
    </row>
    <row r="11" spans="1:2" x14ac:dyDescent="0.25">
      <c r="A11" s="7" t="s">
        <v>83</v>
      </c>
      <c r="B11" t="s">
        <v>95</v>
      </c>
    </row>
    <row r="12" spans="1:2" x14ac:dyDescent="0.25">
      <c r="A12" s="7" t="s">
        <v>80</v>
      </c>
      <c r="B12" t="s">
        <v>95</v>
      </c>
    </row>
    <row r="13" spans="1:2" x14ac:dyDescent="0.25">
      <c r="A13" s="7" t="s">
        <v>81</v>
      </c>
      <c r="B13" t="s">
        <v>95</v>
      </c>
    </row>
    <row r="14" spans="1:2" x14ac:dyDescent="0.25">
      <c r="A14" s="7" t="s">
        <v>79</v>
      </c>
      <c r="B14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0"/>
  <sheetViews>
    <sheetView tabSelected="1" workbookViewId="0">
      <pane ySplit="1" topLeftCell="A74" activePane="bottomLeft" state="frozen"/>
      <selection pane="bottomLeft" activeCell="M105" sqref="M105"/>
    </sheetView>
  </sheetViews>
  <sheetFormatPr defaultRowHeight="15" x14ac:dyDescent="0.25"/>
  <cols>
    <col min="1" max="1" width="37.28515625" customWidth="1"/>
    <col min="2" max="2" width="19" customWidth="1"/>
    <col min="3" max="5" width="15.42578125" customWidth="1"/>
    <col min="6" max="9" width="14.28515625" customWidth="1"/>
    <col min="10" max="10" width="21.42578125" bestFit="1" customWidth="1"/>
    <col min="13" max="13" width="48.85546875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63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56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35</v>
      </c>
      <c r="J7" t="s">
        <v>18</v>
      </c>
      <c r="K7">
        <v>93.1</v>
      </c>
      <c r="L7" t="s">
        <v>19</v>
      </c>
    </row>
    <row r="8" spans="1:14" x14ac:dyDescent="0.25">
      <c r="A8" t="s">
        <v>44</v>
      </c>
      <c r="J8" t="s">
        <v>18</v>
      </c>
      <c r="K8">
        <v>14.1</v>
      </c>
      <c r="L8" t="s">
        <v>19</v>
      </c>
    </row>
    <row r="9" spans="1:14" x14ac:dyDescent="0.25">
      <c r="A9" t="s">
        <v>52</v>
      </c>
      <c r="J9" t="s">
        <v>18</v>
      </c>
      <c r="K9">
        <v>3.5</v>
      </c>
      <c r="L9" t="s">
        <v>19</v>
      </c>
    </row>
    <row r="10" spans="1:14" x14ac:dyDescent="0.25">
      <c r="A10" s="5" t="s">
        <v>11</v>
      </c>
      <c r="B10" s="5"/>
      <c r="C10" s="5"/>
      <c r="D10" s="5"/>
      <c r="E10" s="5"/>
      <c r="F10" s="5"/>
      <c r="G10" s="5"/>
      <c r="H10" s="5"/>
      <c r="I10" s="5"/>
      <c r="J10" s="6"/>
      <c r="K10" s="6"/>
      <c r="L10" s="6"/>
      <c r="M10" s="6"/>
      <c r="N10" s="6"/>
    </row>
    <row r="11" spans="1:14" x14ac:dyDescent="0.25">
      <c r="A11" s="5" t="s">
        <v>12</v>
      </c>
      <c r="B11" s="5"/>
      <c r="C11" s="5"/>
      <c r="D11" s="5"/>
      <c r="E11" s="5"/>
      <c r="F11" s="5"/>
      <c r="G11" s="5"/>
      <c r="H11" s="5"/>
      <c r="I11" s="5"/>
      <c r="J11" s="6"/>
      <c r="K11" s="6"/>
      <c r="L11" s="6"/>
      <c r="M11" s="6"/>
      <c r="N11" s="6"/>
    </row>
    <row r="12" spans="1:14" x14ac:dyDescent="0.25">
      <c r="A12" s="5" t="s">
        <v>13</v>
      </c>
      <c r="B12" s="5"/>
      <c r="C12" s="5"/>
      <c r="D12" s="5"/>
      <c r="E12" s="5"/>
      <c r="F12" s="5"/>
      <c r="G12" s="5"/>
      <c r="H12" s="5"/>
      <c r="I12" s="5"/>
      <c r="J12" s="6"/>
      <c r="K12" s="6"/>
      <c r="L12" s="6"/>
      <c r="M12" s="6"/>
      <c r="N12" s="6"/>
    </row>
    <row r="13" spans="1:14" x14ac:dyDescent="0.25">
      <c r="A13" s="5" t="s">
        <v>14</v>
      </c>
      <c r="B13" s="5"/>
      <c r="C13" s="5"/>
      <c r="D13" s="5"/>
      <c r="E13" s="5"/>
      <c r="F13" s="5"/>
      <c r="G13" s="5"/>
      <c r="H13" s="5"/>
      <c r="I13" s="5"/>
      <c r="J13" s="6"/>
      <c r="K13" s="6"/>
      <c r="L13" s="6"/>
      <c r="M13" s="6"/>
      <c r="N13" s="6"/>
    </row>
    <row r="14" spans="1:14" x14ac:dyDescent="0.25">
      <c r="A14" s="7" t="s">
        <v>76</v>
      </c>
      <c r="J14" t="s">
        <v>18</v>
      </c>
      <c r="K14" s="7">
        <f>29.5+8.5</f>
        <v>38</v>
      </c>
      <c r="L14" t="s">
        <v>19</v>
      </c>
      <c r="M14" s="7" t="s">
        <v>98</v>
      </c>
    </row>
    <row r="15" spans="1:14" x14ac:dyDescent="0.25">
      <c r="A15" s="7" t="s">
        <v>75</v>
      </c>
      <c r="J15" t="s">
        <v>18</v>
      </c>
      <c r="K15" s="7">
        <f>80.7+14.4+0.3*5</f>
        <v>96.600000000000009</v>
      </c>
      <c r="L15" t="s">
        <v>19</v>
      </c>
      <c r="M15" s="7" t="s">
        <v>98</v>
      </c>
    </row>
    <row r="16" spans="1:14" x14ac:dyDescent="0.25">
      <c r="A16" s="7" t="s">
        <v>77</v>
      </c>
      <c r="J16" t="s">
        <v>18</v>
      </c>
      <c r="K16" s="7">
        <f>45.6+44.1+1.3*5+1.8*10</f>
        <v>114.2</v>
      </c>
      <c r="L16" t="s">
        <v>19</v>
      </c>
      <c r="M16" s="7" t="s">
        <v>98</v>
      </c>
    </row>
    <row r="17" spans="1:14" x14ac:dyDescent="0.25">
      <c r="A17" s="7" t="s">
        <v>78</v>
      </c>
      <c r="J17" t="s">
        <v>18</v>
      </c>
      <c r="K17">
        <v>46.8</v>
      </c>
      <c r="L17" t="s">
        <v>19</v>
      </c>
    </row>
    <row r="18" spans="1:14" x14ac:dyDescent="0.25">
      <c r="A18" s="7" t="s">
        <v>82</v>
      </c>
      <c r="J18" t="s">
        <v>18</v>
      </c>
      <c r="K18">
        <v>8.1</v>
      </c>
      <c r="L18" t="s">
        <v>19</v>
      </c>
    </row>
    <row r="19" spans="1:14" x14ac:dyDescent="0.25">
      <c r="A19" s="7" t="s">
        <v>83</v>
      </c>
      <c r="J19" t="s">
        <v>18</v>
      </c>
      <c r="K19">
        <v>1</v>
      </c>
      <c r="L19" t="s">
        <v>19</v>
      </c>
    </row>
    <row r="20" spans="1:14" x14ac:dyDescent="0.25">
      <c r="A20" s="7" t="s">
        <v>80</v>
      </c>
      <c r="J20" t="s">
        <v>18</v>
      </c>
      <c r="K20">
        <v>6.6</v>
      </c>
      <c r="L20" t="s">
        <v>19</v>
      </c>
    </row>
    <row r="21" spans="1:14" x14ac:dyDescent="0.25">
      <c r="A21" s="7" t="s">
        <v>81</v>
      </c>
      <c r="J21" t="s">
        <v>18</v>
      </c>
      <c r="K21">
        <v>8.3000000000000007</v>
      </c>
      <c r="L21" t="s">
        <v>19</v>
      </c>
    </row>
    <row r="22" spans="1:14" x14ac:dyDescent="0.25">
      <c r="A22" s="7" t="s">
        <v>79</v>
      </c>
      <c r="J22" t="s">
        <v>18</v>
      </c>
      <c r="K22">
        <v>15.3</v>
      </c>
      <c r="L22" t="s">
        <v>19</v>
      </c>
    </row>
    <row r="23" spans="1:14" x14ac:dyDescent="0.25">
      <c r="A23" s="5" t="s">
        <v>23</v>
      </c>
      <c r="B23" s="5"/>
      <c r="C23" s="5"/>
      <c r="D23" s="5"/>
      <c r="E23" s="5"/>
      <c r="F23" s="5"/>
      <c r="G23" s="5"/>
      <c r="H23" s="5"/>
      <c r="I23" s="5"/>
      <c r="J23" s="6"/>
      <c r="K23" s="6"/>
      <c r="L23" s="6"/>
      <c r="M23" s="6"/>
      <c r="N23" s="6"/>
    </row>
    <row r="24" spans="1:14" x14ac:dyDescent="0.25">
      <c r="A24" t="s">
        <v>61</v>
      </c>
      <c r="J24" t="s">
        <v>18</v>
      </c>
      <c r="K24">
        <v>60.6</v>
      </c>
      <c r="L24" t="s">
        <v>19</v>
      </c>
    </row>
    <row r="25" spans="1:14" x14ac:dyDescent="0.25">
      <c r="A25" s="5" t="s">
        <v>15</v>
      </c>
      <c r="B25" s="5"/>
      <c r="C25" s="5"/>
      <c r="D25" s="5"/>
      <c r="E25" s="5"/>
      <c r="F25" s="5"/>
      <c r="G25" s="5"/>
      <c r="H25" s="5"/>
      <c r="I25" s="5"/>
      <c r="J25" s="6"/>
      <c r="K25" s="6"/>
      <c r="L25" s="6"/>
      <c r="M25" s="6"/>
      <c r="N25" s="6"/>
    </row>
    <row r="26" spans="1:14" x14ac:dyDescent="0.25">
      <c r="A26" s="5" t="s">
        <v>16</v>
      </c>
      <c r="B26" s="5"/>
      <c r="C26" s="5"/>
      <c r="D26" s="5"/>
      <c r="E26" s="5"/>
      <c r="F26" s="5"/>
      <c r="G26" s="5"/>
      <c r="H26" s="5"/>
      <c r="I26" s="5"/>
      <c r="J26" s="6"/>
      <c r="K26" s="6"/>
      <c r="L26" s="6"/>
      <c r="M26" s="6"/>
      <c r="N26" s="6"/>
    </row>
    <row r="27" spans="1:14" x14ac:dyDescent="0.25">
      <c r="A27" s="5" t="s">
        <v>20</v>
      </c>
      <c r="B27" s="5"/>
      <c r="C27" s="5"/>
      <c r="D27" s="5"/>
      <c r="E27" s="5"/>
      <c r="F27" s="5"/>
      <c r="G27" s="5"/>
      <c r="H27" s="5"/>
      <c r="I27" s="5"/>
      <c r="J27" s="6"/>
      <c r="K27" s="6"/>
      <c r="L27" s="6"/>
      <c r="M27" s="6"/>
      <c r="N27" s="6"/>
    </row>
    <row r="28" spans="1:14" x14ac:dyDescent="0.25">
      <c r="A28" s="5" t="s">
        <v>21</v>
      </c>
      <c r="B28" s="5"/>
      <c r="C28" s="5"/>
      <c r="D28" s="5"/>
      <c r="E28" s="5"/>
      <c r="F28" s="5"/>
      <c r="G28" s="5"/>
      <c r="H28" s="5"/>
      <c r="I28" s="5"/>
      <c r="J28" s="6"/>
      <c r="K28" s="6"/>
      <c r="L28" s="6"/>
      <c r="M28" s="6"/>
      <c r="N28" s="6"/>
    </row>
    <row r="29" spans="1:14" x14ac:dyDescent="0.25">
      <c r="A29" s="5" t="s">
        <v>22</v>
      </c>
      <c r="B29" s="5"/>
      <c r="C29" s="5"/>
      <c r="D29" s="5"/>
      <c r="E29" s="5"/>
      <c r="F29" s="5"/>
      <c r="G29" s="5"/>
      <c r="H29" s="5"/>
      <c r="I29" s="5"/>
      <c r="J29" s="6"/>
      <c r="K29" s="6"/>
      <c r="L29" s="6"/>
      <c r="M29" s="6"/>
      <c r="N29" s="6"/>
    </row>
    <row r="30" spans="1:14" x14ac:dyDescent="0.25">
      <c r="A30" s="5" t="s">
        <v>24</v>
      </c>
      <c r="B30" s="5"/>
      <c r="C30" s="5"/>
      <c r="D30" s="5"/>
      <c r="E30" s="5"/>
      <c r="F30" s="5"/>
      <c r="G30" s="5"/>
      <c r="H30" s="5"/>
      <c r="I30" s="5"/>
      <c r="J30" s="6"/>
      <c r="K30" s="6"/>
      <c r="L30" s="6"/>
      <c r="M30" s="6"/>
      <c r="N30" s="6"/>
    </row>
    <row r="31" spans="1:14" x14ac:dyDescent="0.25">
      <c r="A31" s="5" t="s">
        <v>29</v>
      </c>
      <c r="B31" s="5"/>
      <c r="C31" s="5"/>
      <c r="D31" s="5"/>
      <c r="E31" s="5"/>
      <c r="F31" s="5"/>
      <c r="G31" s="5"/>
      <c r="H31" s="5"/>
      <c r="I31" s="5"/>
      <c r="J31" s="6"/>
      <c r="K31" s="6"/>
      <c r="L31" s="6"/>
      <c r="M31" s="6"/>
      <c r="N31" s="6"/>
    </row>
    <row r="32" spans="1:14" x14ac:dyDescent="0.25">
      <c r="A32" s="5" t="s">
        <v>30</v>
      </c>
      <c r="B32" s="5"/>
      <c r="C32" s="5"/>
      <c r="D32" s="5"/>
      <c r="E32" s="5"/>
      <c r="F32" s="5"/>
      <c r="G32" s="5"/>
      <c r="H32" s="5"/>
      <c r="I32" s="5"/>
      <c r="J32" s="6"/>
      <c r="K32" s="6"/>
      <c r="L32" s="6"/>
      <c r="M32" s="6"/>
      <c r="N32" s="6"/>
    </row>
    <row r="33" spans="1:14" x14ac:dyDescent="0.25">
      <c r="A33" s="5" t="s">
        <v>31</v>
      </c>
      <c r="B33" s="5"/>
      <c r="C33" s="5"/>
      <c r="D33" s="5"/>
      <c r="E33" s="5"/>
      <c r="F33" s="5"/>
      <c r="G33" s="5"/>
      <c r="H33" s="5"/>
      <c r="I33" s="5"/>
      <c r="J33" s="6"/>
      <c r="K33" s="6"/>
      <c r="L33" s="6"/>
      <c r="M33" s="6"/>
      <c r="N33" s="6"/>
    </row>
    <row r="34" spans="1:14" x14ac:dyDescent="0.25">
      <c r="A34" s="5" t="s">
        <v>32</v>
      </c>
      <c r="B34" s="5"/>
      <c r="C34" s="5"/>
      <c r="D34" s="5"/>
      <c r="E34" s="5"/>
      <c r="F34" s="5"/>
      <c r="G34" s="5"/>
      <c r="H34" s="5"/>
      <c r="I34" s="5"/>
      <c r="J34" s="6"/>
      <c r="K34" s="6"/>
      <c r="L34" s="6"/>
      <c r="M34" s="6"/>
      <c r="N34" s="6"/>
    </row>
    <row r="35" spans="1:14" x14ac:dyDescent="0.25">
      <c r="A35" s="5" t="s">
        <v>33</v>
      </c>
      <c r="B35" s="5"/>
      <c r="C35" s="5"/>
      <c r="D35" s="5"/>
      <c r="E35" s="5"/>
      <c r="F35" s="5"/>
      <c r="G35" s="5"/>
      <c r="H35" s="5"/>
      <c r="I35" s="5"/>
      <c r="J35" s="6"/>
      <c r="K35" s="6"/>
      <c r="L35" s="6"/>
      <c r="M35" s="6"/>
      <c r="N35" s="6"/>
    </row>
    <row r="37" spans="1:14" x14ac:dyDescent="0.25">
      <c r="A37" s="3" t="s">
        <v>34</v>
      </c>
      <c r="B37" s="3"/>
      <c r="C37" s="3"/>
      <c r="D37" s="3"/>
      <c r="E37" s="3"/>
      <c r="F37" s="3"/>
      <c r="G37" s="3"/>
      <c r="H37" s="3"/>
      <c r="I37" s="3"/>
      <c r="J37" s="4"/>
      <c r="K37" s="4"/>
      <c r="L37" s="4"/>
      <c r="M37" s="4"/>
      <c r="N37" s="4"/>
    </row>
    <row r="38" spans="1:14" x14ac:dyDescent="0.25">
      <c r="B38" t="s">
        <v>26</v>
      </c>
      <c r="I38" t="s">
        <v>57</v>
      </c>
      <c r="J38" t="s">
        <v>60</v>
      </c>
      <c r="K38">
        <v>25</v>
      </c>
      <c r="L38" t="s">
        <v>39</v>
      </c>
    </row>
    <row r="39" spans="1:14" x14ac:dyDescent="0.25">
      <c r="B39" t="s">
        <v>26</v>
      </c>
      <c r="I39" t="s">
        <v>58</v>
      </c>
      <c r="J39" t="s">
        <v>60</v>
      </c>
      <c r="K39">
        <v>2</v>
      </c>
      <c r="L39" t="s">
        <v>39</v>
      </c>
    </row>
    <row r="40" spans="1:14" x14ac:dyDescent="0.25">
      <c r="B40" t="s">
        <v>26</v>
      </c>
      <c r="I40" t="s">
        <v>59</v>
      </c>
      <c r="J40" t="s">
        <v>60</v>
      </c>
      <c r="K40" s="7">
        <v>10.5</v>
      </c>
      <c r="L40" t="s">
        <v>39</v>
      </c>
      <c r="M40" s="7" t="s">
        <v>51</v>
      </c>
    </row>
    <row r="41" spans="1:14" x14ac:dyDescent="0.25">
      <c r="B41" t="s">
        <v>62</v>
      </c>
      <c r="I41" t="s">
        <v>57</v>
      </c>
      <c r="J41" t="s">
        <v>60</v>
      </c>
      <c r="K41">
        <v>11</v>
      </c>
      <c r="L41" t="s">
        <v>39</v>
      </c>
    </row>
    <row r="42" spans="1:14" x14ac:dyDescent="0.25">
      <c r="B42" t="s">
        <v>62</v>
      </c>
      <c r="I42" t="s">
        <v>58</v>
      </c>
      <c r="J42" t="s">
        <v>60</v>
      </c>
      <c r="K42">
        <v>4</v>
      </c>
      <c r="L42" t="s">
        <v>39</v>
      </c>
    </row>
    <row r="43" spans="1:14" x14ac:dyDescent="0.25">
      <c r="B43" t="s">
        <v>62</v>
      </c>
      <c r="I43" t="s">
        <v>59</v>
      </c>
      <c r="J43" t="s">
        <v>60</v>
      </c>
      <c r="K43" s="7">
        <v>5</v>
      </c>
      <c r="L43" t="s">
        <v>39</v>
      </c>
      <c r="M43" s="7" t="s">
        <v>51</v>
      </c>
    </row>
    <row r="44" spans="1:14" x14ac:dyDescent="0.25">
      <c r="B44" t="s">
        <v>95</v>
      </c>
      <c r="I44" t="s">
        <v>57</v>
      </c>
      <c r="J44" t="s">
        <v>60</v>
      </c>
      <c r="K44">
        <v>11</v>
      </c>
      <c r="L44" t="s">
        <v>39</v>
      </c>
    </row>
    <row r="45" spans="1:14" x14ac:dyDescent="0.25">
      <c r="B45" t="s">
        <v>95</v>
      </c>
      <c r="I45" t="s">
        <v>58</v>
      </c>
      <c r="J45" t="s">
        <v>60</v>
      </c>
      <c r="K45">
        <f>0.5</f>
        <v>0.5</v>
      </c>
      <c r="L45" t="s">
        <v>39</v>
      </c>
    </row>
    <row r="46" spans="1:14" x14ac:dyDescent="0.25">
      <c r="B46" t="s">
        <v>95</v>
      </c>
      <c r="I46" t="s">
        <v>59</v>
      </c>
      <c r="J46" t="s">
        <v>60</v>
      </c>
      <c r="K46" s="7">
        <v>1</v>
      </c>
      <c r="L46" t="s">
        <v>39</v>
      </c>
      <c r="M46" s="7" t="s">
        <v>51</v>
      </c>
    </row>
    <row r="48" spans="1:14" x14ac:dyDescent="0.25">
      <c r="A48" s="3" t="s">
        <v>69</v>
      </c>
      <c r="B48" s="3"/>
      <c r="C48" s="3"/>
      <c r="D48" s="3"/>
      <c r="E48" s="3"/>
      <c r="F48" s="3"/>
      <c r="G48" s="3"/>
      <c r="H48" s="3"/>
      <c r="I48" s="3"/>
      <c r="J48" s="4"/>
      <c r="K48" s="4"/>
      <c r="L48" s="4"/>
      <c r="M48" s="4"/>
      <c r="N48" s="4"/>
    </row>
    <row r="49" spans="1:14" x14ac:dyDescent="0.25">
      <c r="J49" s="8" t="s">
        <v>99</v>
      </c>
      <c r="K49" s="8">
        <v>0</v>
      </c>
      <c r="L49" s="8" t="s">
        <v>39</v>
      </c>
      <c r="M49" s="8" t="s">
        <v>46</v>
      </c>
    </row>
    <row r="50" spans="1:14" x14ac:dyDescent="0.25">
      <c r="J50" s="8" t="s">
        <v>100</v>
      </c>
      <c r="K50" s="8">
        <v>0</v>
      </c>
      <c r="L50" s="8" t="s">
        <v>39</v>
      </c>
      <c r="M50" s="8" t="s">
        <v>46</v>
      </c>
    </row>
    <row r="51" spans="1:14" x14ac:dyDescent="0.25">
      <c r="A51" t="s">
        <v>35</v>
      </c>
      <c r="C51" t="s">
        <v>38</v>
      </c>
      <c r="J51" t="s">
        <v>99</v>
      </c>
      <c r="K51">
        <v>79</v>
      </c>
      <c r="L51" t="s">
        <v>39</v>
      </c>
    </row>
    <row r="52" spans="1:14" x14ac:dyDescent="0.25">
      <c r="A52" t="s">
        <v>35</v>
      </c>
      <c r="C52" t="s">
        <v>38</v>
      </c>
      <c r="F52" t="s">
        <v>71</v>
      </c>
      <c r="J52" t="s">
        <v>100</v>
      </c>
      <c r="K52">
        <v>19</v>
      </c>
      <c r="L52" t="s">
        <v>39</v>
      </c>
    </row>
    <row r="53" spans="1:14" x14ac:dyDescent="0.25">
      <c r="A53" t="s">
        <v>35</v>
      </c>
      <c r="C53" t="s">
        <v>38</v>
      </c>
      <c r="F53" t="s">
        <v>72</v>
      </c>
      <c r="J53" t="s">
        <v>100</v>
      </c>
      <c r="K53">
        <v>2</v>
      </c>
      <c r="L53" t="s">
        <v>39</v>
      </c>
    </row>
    <row r="54" spans="1:14" x14ac:dyDescent="0.25">
      <c r="A54" s="9" t="s">
        <v>52</v>
      </c>
      <c r="B54" s="9"/>
      <c r="C54" s="9" t="s">
        <v>53</v>
      </c>
      <c r="D54" s="9"/>
      <c r="E54" s="9"/>
      <c r="F54" s="9"/>
      <c r="G54" s="9"/>
      <c r="H54" s="9"/>
      <c r="I54" s="9"/>
      <c r="J54" t="s">
        <v>99</v>
      </c>
      <c r="K54" s="9">
        <v>91</v>
      </c>
      <c r="L54" s="9" t="s">
        <v>39</v>
      </c>
      <c r="M54" s="9"/>
      <c r="N54" s="9"/>
    </row>
    <row r="55" spans="1:14" x14ac:dyDescent="0.25">
      <c r="A55" s="9" t="s">
        <v>52</v>
      </c>
      <c r="B55" s="9"/>
      <c r="C55" s="9" t="s">
        <v>53</v>
      </c>
      <c r="D55" s="9"/>
      <c r="E55" s="9"/>
      <c r="F55" s="9" t="s">
        <v>71</v>
      </c>
      <c r="G55" s="9"/>
      <c r="H55" s="9"/>
      <c r="I55" s="9"/>
      <c r="J55" t="s">
        <v>100</v>
      </c>
      <c r="K55" s="9">
        <v>0</v>
      </c>
      <c r="L55" s="9" t="s">
        <v>39</v>
      </c>
      <c r="M55" s="9"/>
      <c r="N55" s="9"/>
    </row>
    <row r="56" spans="1:14" x14ac:dyDescent="0.25">
      <c r="A56" s="9" t="s">
        <v>52</v>
      </c>
      <c r="B56" s="9"/>
      <c r="C56" s="9" t="s">
        <v>53</v>
      </c>
      <c r="D56" s="9"/>
      <c r="E56" s="9"/>
      <c r="F56" s="9" t="s">
        <v>73</v>
      </c>
      <c r="G56" s="9"/>
      <c r="H56" s="9"/>
      <c r="I56" s="9"/>
      <c r="J56" t="s">
        <v>100</v>
      </c>
      <c r="K56" s="9">
        <v>9</v>
      </c>
      <c r="L56" s="9" t="s">
        <v>39</v>
      </c>
      <c r="M56" s="9"/>
      <c r="N56" s="9"/>
    </row>
    <row r="57" spans="1:14" x14ac:dyDescent="0.25">
      <c r="A57" s="9" t="s">
        <v>61</v>
      </c>
      <c r="B57" s="9"/>
      <c r="C57" s="9"/>
      <c r="D57" s="9" t="s">
        <v>64</v>
      </c>
      <c r="E57" s="9" t="s">
        <v>62</v>
      </c>
      <c r="F57" s="9"/>
      <c r="G57" s="9"/>
      <c r="H57" s="9"/>
      <c r="I57" s="9"/>
      <c r="J57" t="s">
        <v>99</v>
      </c>
      <c r="K57" s="10">
        <v>73</v>
      </c>
      <c r="L57" s="9" t="s">
        <v>39</v>
      </c>
      <c r="M57" s="9"/>
      <c r="N57" s="9"/>
    </row>
    <row r="58" spans="1:14" x14ac:dyDescent="0.25">
      <c r="A58" s="9" t="s">
        <v>61</v>
      </c>
      <c r="B58" s="9"/>
      <c r="C58" s="9"/>
      <c r="D58" s="9" t="s">
        <v>64</v>
      </c>
      <c r="E58" s="9" t="s">
        <v>62</v>
      </c>
      <c r="F58" s="9" t="s">
        <v>65</v>
      </c>
      <c r="G58" s="9"/>
      <c r="H58" s="9"/>
      <c r="I58" s="9"/>
      <c r="J58" t="s">
        <v>100</v>
      </c>
      <c r="K58" s="11">
        <f>(1/0.76)*4</f>
        <v>5.2631578947368425</v>
      </c>
      <c r="L58" s="9" t="s">
        <v>39</v>
      </c>
      <c r="M58" s="9"/>
      <c r="N58" s="9"/>
    </row>
    <row r="59" spans="1:14" x14ac:dyDescent="0.25">
      <c r="A59" s="9" t="s">
        <v>61</v>
      </c>
      <c r="B59" s="9"/>
      <c r="C59" s="9"/>
      <c r="D59" s="9" t="s">
        <v>64</v>
      </c>
      <c r="E59" s="9" t="s">
        <v>62</v>
      </c>
      <c r="F59" s="9" t="s">
        <v>66</v>
      </c>
      <c r="G59" s="9"/>
      <c r="H59" s="9"/>
      <c r="I59" s="9"/>
      <c r="J59" t="s">
        <v>100</v>
      </c>
      <c r="K59" s="11">
        <f>(1/0.76)*6</f>
        <v>7.8947368421052637</v>
      </c>
      <c r="L59" s="9" t="s">
        <v>39</v>
      </c>
      <c r="M59" s="9"/>
      <c r="N59" s="9"/>
    </row>
    <row r="60" spans="1:14" x14ac:dyDescent="0.25">
      <c r="A60" s="9" t="s">
        <v>61</v>
      </c>
      <c r="B60" s="9"/>
      <c r="C60" s="9"/>
      <c r="D60" s="9" t="s">
        <v>64</v>
      </c>
      <c r="E60" s="9" t="s">
        <v>62</v>
      </c>
      <c r="F60" s="9" t="s">
        <v>67</v>
      </c>
      <c r="G60" s="9"/>
      <c r="H60" s="9"/>
      <c r="I60" s="9"/>
      <c r="J60" t="s">
        <v>100</v>
      </c>
      <c r="K60" s="11">
        <f>(1/0.76)*5</f>
        <v>6.5789473684210531</v>
      </c>
      <c r="L60" s="9" t="s">
        <v>39</v>
      </c>
      <c r="M60" s="9"/>
      <c r="N60" s="9"/>
    </row>
    <row r="61" spans="1:14" x14ac:dyDescent="0.25">
      <c r="A61" s="9" t="s">
        <v>61</v>
      </c>
      <c r="B61" s="9"/>
      <c r="C61" s="9"/>
      <c r="D61" s="9" t="s">
        <v>64</v>
      </c>
      <c r="E61" s="9" t="s">
        <v>62</v>
      </c>
      <c r="F61" s="9" t="s">
        <v>68</v>
      </c>
      <c r="G61" s="9"/>
      <c r="H61" s="9"/>
      <c r="I61" s="9"/>
      <c r="J61" t="s">
        <v>100</v>
      </c>
      <c r="K61" s="10">
        <v>18</v>
      </c>
      <c r="L61" s="9" t="s">
        <v>39</v>
      </c>
      <c r="M61" s="9"/>
      <c r="N61" s="9"/>
    </row>
    <row r="62" spans="1:14" x14ac:dyDescent="0.25">
      <c r="A62" s="12" t="s">
        <v>76</v>
      </c>
      <c r="B62" s="12"/>
      <c r="C62" s="12"/>
      <c r="D62" s="12" t="s">
        <v>93</v>
      </c>
      <c r="E62" s="12" t="s">
        <v>70</v>
      </c>
      <c r="F62" s="12"/>
      <c r="G62" s="12"/>
      <c r="H62" s="12"/>
      <c r="I62" s="12"/>
      <c r="J62" t="s">
        <v>99</v>
      </c>
      <c r="K62" s="14">
        <f>100-K63</f>
        <v>90.75</v>
      </c>
      <c r="L62" s="12" t="s">
        <v>39</v>
      </c>
      <c r="M62" t="s">
        <v>85</v>
      </c>
      <c r="N62" s="9"/>
    </row>
    <row r="63" spans="1:14" x14ac:dyDescent="0.25">
      <c r="A63" s="12" t="s">
        <v>76</v>
      </c>
      <c r="B63" s="12"/>
      <c r="C63" s="12"/>
      <c r="D63" s="12" t="s">
        <v>93</v>
      </c>
      <c r="E63" s="12" t="s">
        <v>70</v>
      </c>
      <c r="F63" s="12" t="s">
        <v>74</v>
      </c>
      <c r="G63" s="12"/>
      <c r="H63" s="12"/>
      <c r="I63" s="12"/>
      <c r="J63" t="s">
        <v>100</v>
      </c>
      <c r="K63" s="14">
        <f>(0.042-0.005)/0.4*100</f>
        <v>9.2500000000000018</v>
      </c>
      <c r="L63" s="12" t="s">
        <v>39</v>
      </c>
      <c r="N63" s="9"/>
    </row>
    <row r="64" spans="1:14" x14ac:dyDescent="0.25">
      <c r="A64" s="12" t="s">
        <v>75</v>
      </c>
      <c r="B64" s="12"/>
      <c r="C64" s="12"/>
      <c r="D64" s="12" t="s">
        <v>93</v>
      </c>
      <c r="E64" s="12" t="s">
        <v>70</v>
      </c>
      <c r="F64" s="12"/>
      <c r="G64" s="12"/>
      <c r="H64" s="12"/>
      <c r="I64" s="12"/>
      <c r="J64" t="s">
        <v>99</v>
      </c>
      <c r="K64" s="14">
        <f>100-K65</f>
        <v>93.25</v>
      </c>
      <c r="L64" s="12" t="s">
        <v>39</v>
      </c>
      <c r="M64" t="s">
        <v>86</v>
      </c>
      <c r="N64" s="9"/>
    </row>
    <row r="65" spans="1:14" x14ac:dyDescent="0.25">
      <c r="A65" s="12" t="s">
        <v>75</v>
      </c>
      <c r="B65" s="12"/>
      <c r="C65" s="12"/>
      <c r="D65" s="12" t="s">
        <v>93</v>
      </c>
      <c r="E65" s="12" t="s">
        <v>70</v>
      </c>
      <c r="F65" s="12" t="s">
        <v>74</v>
      </c>
      <c r="G65" s="12"/>
      <c r="H65" s="12"/>
      <c r="I65" s="12"/>
      <c r="J65" t="s">
        <v>100</v>
      </c>
      <c r="K65" s="14">
        <f>(0.042-0.015)/0.4*100</f>
        <v>6.75</v>
      </c>
      <c r="L65" s="12" t="s">
        <v>39</v>
      </c>
      <c r="N65" s="9"/>
    </row>
    <row r="66" spans="1:14" x14ac:dyDescent="0.25">
      <c r="A66" s="12" t="s">
        <v>77</v>
      </c>
      <c r="B66" s="12"/>
      <c r="C66" s="12"/>
      <c r="D66" s="12" t="s">
        <v>93</v>
      </c>
      <c r="E66" s="12" t="s">
        <v>70</v>
      </c>
      <c r="F66" s="12"/>
      <c r="G66" s="12"/>
      <c r="H66" s="12"/>
      <c r="I66" s="12"/>
      <c r="J66" t="s">
        <v>99</v>
      </c>
      <c r="K66" s="14">
        <f>100-K67</f>
        <v>93.25</v>
      </c>
      <c r="L66" s="12" t="s">
        <v>39</v>
      </c>
      <c r="M66" t="s">
        <v>87</v>
      </c>
      <c r="N66" s="9"/>
    </row>
    <row r="67" spans="1:14" x14ac:dyDescent="0.25">
      <c r="A67" s="12" t="s">
        <v>77</v>
      </c>
      <c r="B67" s="12"/>
      <c r="C67" s="12"/>
      <c r="D67" s="12" t="s">
        <v>93</v>
      </c>
      <c r="E67" s="12" t="s">
        <v>70</v>
      </c>
      <c r="F67" s="12" t="s">
        <v>74</v>
      </c>
      <c r="G67" s="12"/>
      <c r="H67" s="12"/>
      <c r="I67" s="12"/>
      <c r="J67" t="s">
        <v>100</v>
      </c>
      <c r="K67" s="14">
        <f>(0.042-0.015)/0.4*100</f>
        <v>6.75</v>
      </c>
      <c r="L67" s="12" t="s">
        <v>39</v>
      </c>
      <c r="N67" s="9"/>
    </row>
    <row r="68" spans="1:14" x14ac:dyDescent="0.25">
      <c r="A68" s="12" t="s">
        <v>78</v>
      </c>
      <c r="B68" s="12"/>
      <c r="C68" s="12"/>
      <c r="D68" s="12" t="s">
        <v>93</v>
      </c>
      <c r="E68" s="12" t="s">
        <v>70</v>
      </c>
      <c r="F68" s="12"/>
      <c r="G68" s="12"/>
      <c r="H68" s="12"/>
      <c r="I68" s="12"/>
      <c r="J68" t="s">
        <v>99</v>
      </c>
      <c r="K68" s="14">
        <f>(100-K69)*0.1</f>
        <v>9.3250000000000011</v>
      </c>
      <c r="L68" s="12" t="s">
        <v>39</v>
      </c>
      <c r="M68" t="s">
        <v>94</v>
      </c>
      <c r="N68" s="9"/>
    </row>
    <row r="69" spans="1:14" x14ac:dyDescent="0.25">
      <c r="A69" s="12" t="s">
        <v>78</v>
      </c>
      <c r="B69" s="12"/>
      <c r="C69" s="12"/>
      <c r="D69" s="12" t="s">
        <v>93</v>
      </c>
      <c r="E69" s="12" t="s">
        <v>70</v>
      </c>
      <c r="F69" s="12" t="s">
        <v>74</v>
      </c>
      <c r="G69" s="12"/>
      <c r="H69" s="12"/>
      <c r="I69" s="12"/>
      <c r="J69" t="s">
        <v>100</v>
      </c>
      <c r="K69" s="14">
        <f>(0.042-0.015)/0.4*100</f>
        <v>6.75</v>
      </c>
      <c r="L69" s="12" t="s">
        <v>39</v>
      </c>
      <c r="N69" s="9"/>
    </row>
    <row r="70" spans="1:14" x14ac:dyDescent="0.25">
      <c r="A70" s="12" t="s">
        <v>78</v>
      </c>
      <c r="B70" s="12"/>
      <c r="C70" s="12"/>
      <c r="D70" s="12" t="s">
        <v>93</v>
      </c>
      <c r="E70" s="12" t="s">
        <v>70</v>
      </c>
      <c r="F70" s="12" t="s">
        <v>84</v>
      </c>
      <c r="G70" s="12"/>
      <c r="H70" s="12"/>
      <c r="I70" s="12"/>
      <c r="J70" t="s">
        <v>100</v>
      </c>
      <c r="K70" s="14">
        <f>(100-K69)*0.9</f>
        <v>83.924999999999997</v>
      </c>
      <c r="L70" s="12" t="s">
        <v>39</v>
      </c>
      <c r="N70" s="9"/>
    </row>
    <row r="71" spans="1:14" x14ac:dyDescent="0.25">
      <c r="A71" s="12" t="s">
        <v>82</v>
      </c>
      <c r="B71" s="12"/>
      <c r="C71" s="12"/>
      <c r="D71" s="12" t="s">
        <v>93</v>
      </c>
      <c r="E71" s="12" t="s">
        <v>74</v>
      </c>
      <c r="F71" s="12"/>
      <c r="G71" s="12"/>
      <c r="H71" s="12"/>
      <c r="I71" s="12"/>
      <c r="J71" t="s">
        <v>99</v>
      </c>
      <c r="K71" s="12">
        <f>1/(0.1/0.4)*100</f>
        <v>400</v>
      </c>
      <c r="L71" s="12" t="s">
        <v>39</v>
      </c>
      <c r="M71" t="s">
        <v>92</v>
      </c>
      <c r="N71" s="9"/>
    </row>
    <row r="72" spans="1:14" x14ac:dyDescent="0.25">
      <c r="A72" s="13" t="s">
        <v>83</v>
      </c>
      <c r="B72" s="12"/>
      <c r="C72" s="12"/>
      <c r="D72" s="12" t="s">
        <v>93</v>
      </c>
      <c r="E72" s="12" t="s">
        <v>74</v>
      </c>
      <c r="F72" s="12"/>
      <c r="G72" s="12"/>
      <c r="H72" s="12"/>
      <c r="I72" s="12"/>
      <c r="J72" t="s">
        <v>99</v>
      </c>
      <c r="K72" s="14">
        <f>1/(0.12/0.4)*100</f>
        <v>333.33333333333337</v>
      </c>
      <c r="L72" s="12" t="s">
        <v>39</v>
      </c>
      <c r="M72" t="s">
        <v>88</v>
      </c>
      <c r="N72" s="9"/>
    </row>
    <row r="73" spans="1:14" x14ac:dyDescent="0.25">
      <c r="A73" s="12" t="s">
        <v>80</v>
      </c>
      <c r="B73" s="12"/>
      <c r="C73" s="12"/>
      <c r="D73" s="12" t="s">
        <v>93</v>
      </c>
      <c r="E73" s="12" t="s">
        <v>74</v>
      </c>
      <c r="F73" s="12"/>
      <c r="G73" s="12"/>
      <c r="H73" s="12"/>
      <c r="I73" s="12"/>
      <c r="J73" t="s">
        <v>99</v>
      </c>
      <c r="K73" s="14">
        <f>1/(0.13/0.4)*100</f>
        <v>307.69230769230768</v>
      </c>
      <c r="L73" s="12" t="s">
        <v>39</v>
      </c>
      <c r="M73" t="s">
        <v>89</v>
      </c>
      <c r="N73" s="9"/>
    </row>
    <row r="74" spans="1:14" x14ac:dyDescent="0.25">
      <c r="A74" s="12" t="s">
        <v>81</v>
      </c>
      <c r="B74" s="12"/>
      <c r="C74" s="12"/>
      <c r="D74" s="12" t="s">
        <v>93</v>
      </c>
      <c r="E74" s="12" t="s">
        <v>74</v>
      </c>
      <c r="F74" s="12"/>
      <c r="G74" s="12"/>
      <c r="H74" s="12"/>
      <c r="I74" s="12"/>
      <c r="J74" t="s">
        <v>99</v>
      </c>
      <c r="K74" s="12">
        <f>1/(0.4/0.4)*100</f>
        <v>100</v>
      </c>
      <c r="L74" s="12" t="s">
        <v>39</v>
      </c>
      <c r="M74" t="s">
        <v>90</v>
      </c>
      <c r="N74" s="9"/>
    </row>
    <row r="75" spans="1:14" x14ac:dyDescent="0.25">
      <c r="A75" s="12" t="s">
        <v>79</v>
      </c>
      <c r="B75" s="12"/>
      <c r="C75" s="12"/>
      <c r="D75" s="12" t="s">
        <v>93</v>
      </c>
      <c r="E75" s="12" t="s">
        <v>74</v>
      </c>
      <c r="F75" s="12"/>
      <c r="G75" s="12"/>
      <c r="H75" s="12"/>
      <c r="I75" s="12"/>
      <c r="J75" t="s">
        <v>99</v>
      </c>
      <c r="K75" s="14">
        <f>1/((0.4-0.8)/(0.01-0.4)+1)*100</f>
        <v>49.367088607594937</v>
      </c>
      <c r="L75" s="12" t="s">
        <v>39</v>
      </c>
      <c r="M75" t="s">
        <v>91</v>
      </c>
      <c r="N75" s="9"/>
    </row>
    <row r="76" spans="1:14" x14ac:dyDescent="0.25">
      <c r="A76" s="12" t="s">
        <v>79</v>
      </c>
      <c r="B76" s="9"/>
      <c r="C76" s="9"/>
      <c r="D76" s="12" t="s">
        <v>93</v>
      </c>
      <c r="E76" s="12" t="s">
        <v>74</v>
      </c>
      <c r="F76" s="12" t="s">
        <v>96</v>
      </c>
      <c r="G76" s="9"/>
      <c r="H76" s="9"/>
      <c r="I76" s="9"/>
      <c r="J76" t="s">
        <v>100</v>
      </c>
      <c r="K76" s="16">
        <f>1/((0.01-0.4)/(0.4-0.8)+1)*100</f>
        <v>50.632911392405056</v>
      </c>
      <c r="L76" s="12" t="s">
        <v>39</v>
      </c>
      <c r="M76" s="9" t="s">
        <v>97</v>
      </c>
      <c r="N76" s="9"/>
    </row>
    <row r="77" spans="1:14" x14ac:dyDescent="0.25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9"/>
      <c r="M77" s="9"/>
      <c r="N77" s="9"/>
    </row>
    <row r="78" spans="1:14" x14ac:dyDescent="0.25">
      <c r="A78" s="3" t="s">
        <v>40</v>
      </c>
      <c r="B78" s="3"/>
      <c r="C78" s="3"/>
      <c r="D78" s="3"/>
      <c r="E78" s="3"/>
      <c r="F78" s="3"/>
      <c r="G78" s="3"/>
      <c r="H78" s="3"/>
      <c r="I78" s="3"/>
      <c r="J78" s="4"/>
      <c r="K78" s="4"/>
      <c r="L78" s="4"/>
      <c r="M78" s="4"/>
      <c r="N78" s="4"/>
    </row>
    <row r="79" spans="1:14" x14ac:dyDescent="0.25">
      <c r="J79" s="8" t="s">
        <v>41</v>
      </c>
      <c r="K79" s="8">
        <v>100</v>
      </c>
      <c r="L79" s="8" t="s">
        <v>39</v>
      </c>
      <c r="M79" s="8" t="s">
        <v>46</v>
      </c>
    </row>
    <row r="80" spans="1:14" x14ac:dyDescent="0.25">
      <c r="A80" t="s">
        <v>35</v>
      </c>
      <c r="J80" t="s">
        <v>41</v>
      </c>
      <c r="K80">
        <v>22</v>
      </c>
      <c r="L80" t="s">
        <v>39</v>
      </c>
    </row>
    <row r="81" spans="1:14" x14ac:dyDescent="0.25">
      <c r="A81" t="s">
        <v>44</v>
      </c>
      <c r="J81" t="s">
        <v>41</v>
      </c>
      <c r="K81">
        <v>100</v>
      </c>
      <c r="L81" t="s">
        <v>39</v>
      </c>
    </row>
    <row r="82" spans="1:14" x14ac:dyDescent="0.25">
      <c r="A82" t="s">
        <v>52</v>
      </c>
      <c r="J82" t="s">
        <v>41</v>
      </c>
      <c r="K82">
        <v>4</v>
      </c>
      <c r="L82" t="s">
        <v>39</v>
      </c>
    </row>
    <row r="83" spans="1:14" x14ac:dyDescent="0.25">
      <c r="A83" t="s">
        <v>61</v>
      </c>
      <c r="J83" t="s">
        <v>41</v>
      </c>
      <c r="K83">
        <v>36</v>
      </c>
      <c r="L83" t="s">
        <v>39</v>
      </c>
    </row>
    <row r="84" spans="1:14" x14ac:dyDescent="0.25">
      <c r="A84" s="7" t="s">
        <v>76</v>
      </c>
      <c r="J84" t="s">
        <v>41</v>
      </c>
      <c r="K84" s="15">
        <f>8.5*20/(29.5+8.5)</f>
        <v>4.4736842105263159</v>
      </c>
      <c r="L84" t="s">
        <v>39</v>
      </c>
    </row>
    <row r="85" spans="1:14" x14ac:dyDescent="0.25">
      <c r="A85" s="7" t="s">
        <v>75</v>
      </c>
      <c r="J85" t="s">
        <v>41</v>
      </c>
      <c r="K85" s="15">
        <f>14.4*20/(80.7+14.4)</f>
        <v>3.0283911671924288</v>
      </c>
      <c r="L85" t="s">
        <v>39</v>
      </c>
    </row>
    <row r="86" spans="1:14" x14ac:dyDescent="0.25">
      <c r="A86" s="7" t="s">
        <v>77</v>
      </c>
      <c r="J86" t="s">
        <v>41</v>
      </c>
      <c r="K86" s="15">
        <f>44.1*20/(45.6+44.1)</f>
        <v>9.8327759197324411</v>
      </c>
      <c r="L86" t="s">
        <v>39</v>
      </c>
    </row>
    <row r="87" spans="1:14" x14ac:dyDescent="0.25">
      <c r="A87" s="7" t="s">
        <v>78</v>
      </c>
      <c r="J87" t="s">
        <v>41</v>
      </c>
      <c r="K87">
        <f>60</f>
        <v>60</v>
      </c>
      <c r="L87" t="s">
        <v>39</v>
      </c>
    </row>
    <row r="88" spans="1:14" x14ac:dyDescent="0.25">
      <c r="A88" s="7" t="s">
        <v>82</v>
      </c>
      <c r="J88" t="s">
        <v>41</v>
      </c>
      <c r="K88">
        <v>0</v>
      </c>
      <c r="L88" t="s">
        <v>39</v>
      </c>
    </row>
    <row r="89" spans="1:14" x14ac:dyDescent="0.25">
      <c r="A89" s="7" t="s">
        <v>83</v>
      </c>
      <c r="J89" t="s">
        <v>41</v>
      </c>
      <c r="K89">
        <v>20</v>
      </c>
      <c r="L89" t="s">
        <v>39</v>
      </c>
    </row>
    <row r="90" spans="1:14" x14ac:dyDescent="0.25">
      <c r="A90" s="7" t="s">
        <v>80</v>
      </c>
      <c r="J90" t="s">
        <v>41</v>
      </c>
      <c r="K90">
        <v>20</v>
      </c>
      <c r="L90" t="s">
        <v>39</v>
      </c>
    </row>
    <row r="91" spans="1:14" x14ac:dyDescent="0.25">
      <c r="A91" s="7" t="s">
        <v>81</v>
      </c>
      <c r="J91" t="s">
        <v>41</v>
      </c>
      <c r="K91">
        <v>20</v>
      </c>
      <c r="L91" t="s">
        <v>39</v>
      </c>
    </row>
    <row r="92" spans="1:14" x14ac:dyDescent="0.25">
      <c r="A92" s="7" t="s">
        <v>79</v>
      </c>
      <c r="J92" t="s">
        <v>41</v>
      </c>
      <c r="K92">
        <f>43</f>
        <v>43</v>
      </c>
      <c r="L92" t="s">
        <v>39</v>
      </c>
    </row>
    <row r="96" spans="1:14" x14ac:dyDescent="0.25">
      <c r="A96" s="3" t="s">
        <v>50</v>
      </c>
      <c r="B96" s="3"/>
      <c r="C96" s="3"/>
      <c r="D96" s="3"/>
      <c r="E96" s="3"/>
      <c r="F96" s="3"/>
      <c r="G96" s="3"/>
      <c r="H96" s="3"/>
      <c r="I96" s="3"/>
      <c r="J96" s="4"/>
      <c r="K96" s="4"/>
      <c r="L96" s="4"/>
      <c r="M96" s="4"/>
      <c r="N96" s="4"/>
    </row>
    <row r="97" spans="1:13" x14ac:dyDescent="0.25">
      <c r="G97" s="8"/>
      <c r="H97" s="8" t="s">
        <v>47</v>
      </c>
      <c r="I97" s="8"/>
      <c r="J97" s="8" t="s">
        <v>42</v>
      </c>
      <c r="K97" s="8">
        <v>-100</v>
      </c>
      <c r="L97" s="8" t="s">
        <v>48</v>
      </c>
      <c r="M97" s="8" t="s">
        <v>101</v>
      </c>
    </row>
    <row r="98" spans="1:13" x14ac:dyDescent="0.25">
      <c r="G98" s="8"/>
      <c r="H98" s="8" t="s">
        <v>45</v>
      </c>
      <c r="I98" s="8"/>
      <c r="J98" s="8" t="s">
        <v>42</v>
      </c>
      <c r="K98" s="8">
        <v>0</v>
      </c>
      <c r="L98" s="8" t="s">
        <v>39</v>
      </c>
      <c r="M98" s="8" t="s">
        <v>46</v>
      </c>
    </row>
    <row r="99" spans="1:13" x14ac:dyDescent="0.25">
      <c r="A99" t="s">
        <v>35</v>
      </c>
      <c r="H99" t="s">
        <v>45</v>
      </c>
      <c r="J99" t="s">
        <v>42</v>
      </c>
      <c r="K99" s="7">
        <v>5</v>
      </c>
      <c r="L99" t="s">
        <v>39</v>
      </c>
    </row>
    <row r="100" spans="1:13" x14ac:dyDescent="0.25">
      <c r="A100" t="s">
        <v>52</v>
      </c>
      <c r="H100" t="s">
        <v>45</v>
      </c>
      <c r="J100" t="s">
        <v>42</v>
      </c>
      <c r="K100" s="7">
        <v>10</v>
      </c>
      <c r="L100" t="s">
        <v>39</v>
      </c>
    </row>
    <row r="101" spans="1:13" x14ac:dyDescent="0.25">
      <c r="A101" s="7" t="s">
        <v>76</v>
      </c>
      <c r="G101" t="s">
        <v>102</v>
      </c>
      <c r="H101" t="s">
        <v>45</v>
      </c>
      <c r="J101" t="s">
        <v>42</v>
      </c>
      <c r="K101" s="17">
        <v>17</v>
      </c>
      <c r="L101" t="s">
        <v>39</v>
      </c>
      <c r="M101" t="s">
        <v>103</v>
      </c>
    </row>
    <row r="102" spans="1:13" x14ac:dyDescent="0.25">
      <c r="A102" s="7" t="s">
        <v>75</v>
      </c>
      <c r="G102" t="s">
        <v>102</v>
      </c>
      <c r="H102" t="s">
        <v>45</v>
      </c>
      <c r="J102" t="s">
        <v>42</v>
      </c>
      <c r="K102" s="17">
        <v>17</v>
      </c>
      <c r="L102" t="s">
        <v>39</v>
      </c>
    </row>
    <row r="103" spans="1:13" x14ac:dyDescent="0.25">
      <c r="A103" s="7" t="s">
        <v>77</v>
      </c>
      <c r="G103" t="s">
        <v>102</v>
      </c>
      <c r="H103" t="s">
        <v>45</v>
      </c>
      <c r="J103" t="s">
        <v>42</v>
      </c>
      <c r="K103" s="17">
        <v>17</v>
      </c>
      <c r="L103" t="s">
        <v>39</v>
      </c>
    </row>
    <row r="104" spans="1:13" x14ac:dyDescent="0.25">
      <c r="A104" s="7" t="s">
        <v>78</v>
      </c>
      <c r="G104" t="s">
        <v>102</v>
      </c>
      <c r="H104" t="s">
        <v>45</v>
      </c>
      <c r="J104" t="s">
        <v>42</v>
      </c>
      <c r="K104" s="17">
        <v>17</v>
      </c>
      <c r="L104" t="s">
        <v>39</v>
      </c>
    </row>
    <row r="105" spans="1:13" x14ac:dyDescent="0.25">
      <c r="A105" s="7" t="s">
        <v>82</v>
      </c>
      <c r="G105" t="s">
        <v>102</v>
      </c>
      <c r="H105" t="s">
        <v>45</v>
      </c>
      <c r="J105" t="s">
        <v>42</v>
      </c>
      <c r="K105" s="17">
        <v>17</v>
      </c>
      <c r="L105" t="s">
        <v>39</v>
      </c>
    </row>
    <row r="106" spans="1:13" x14ac:dyDescent="0.25">
      <c r="A106" s="7" t="s">
        <v>83</v>
      </c>
      <c r="G106" t="s">
        <v>102</v>
      </c>
      <c r="H106" t="s">
        <v>45</v>
      </c>
      <c r="J106" t="s">
        <v>42</v>
      </c>
      <c r="K106" s="17">
        <v>17</v>
      </c>
      <c r="L106" t="s">
        <v>39</v>
      </c>
    </row>
    <row r="107" spans="1:13" x14ac:dyDescent="0.25">
      <c r="A107" s="7" t="s">
        <v>80</v>
      </c>
      <c r="G107" t="s">
        <v>102</v>
      </c>
      <c r="H107" t="s">
        <v>45</v>
      </c>
      <c r="J107" t="s">
        <v>42</v>
      </c>
      <c r="K107" s="17">
        <v>17</v>
      </c>
      <c r="L107" t="s">
        <v>39</v>
      </c>
    </row>
    <row r="108" spans="1:13" x14ac:dyDescent="0.25">
      <c r="A108" s="7" t="s">
        <v>81</v>
      </c>
      <c r="G108" t="s">
        <v>102</v>
      </c>
      <c r="H108" t="s">
        <v>45</v>
      </c>
      <c r="J108" t="s">
        <v>42</v>
      </c>
      <c r="K108" s="17">
        <v>17</v>
      </c>
      <c r="L108" t="s">
        <v>39</v>
      </c>
    </row>
    <row r="109" spans="1:13" x14ac:dyDescent="0.25">
      <c r="A109" s="7" t="s">
        <v>79</v>
      </c>
      <c r="G109" t="s">
        <v>102</v>
      </c>
      <c r="H109" t="s">
        <v>45</v>
      </c>
      <c r="J109" t="s">
        <v>42</v>
      </c>
      <c r="K109" s="17">
        <v>17</v>
      </c>
      <c r="L109" t="s">
        <v>39</v>
      </c>
    </row>
    <row r="110" spans="1:13" x14ac:dyDescent="0.25">
      <c r="A110" t="s">
        <v>61</v>
      </c>
      <c r="G110" t="s">
        <v>102</v>
      </c>
      <c r="H110" t="s">
        <v>45</v>
      </c>
      <c r="J110" t="s">
        <v>42</v>
      </c>
      <c r="K110" s="7">
        <v>2</v>
      </c>
      <c r="L110" t="s">
        <v>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relations</vt:lpstr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2023-04-27T09:19:37Z</dcterms:modified>
</cp:coreProperties>
</file>